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DASHBOARD" sheetId="1" state="visible" r:id="rId3"/>
    <sheet name="_RANK" sheetId="2" state="hidden" r:id="rId4"/>
    <sheet name="_LISTAS" sheetId="3" state="hidden" r:id="rId5"/>
    <sheet name="AC" sheetId="4" state="visible" r:id="rId6"/>
    <sheet name="AL" sheetId="5" state="visible" r:id="rId7"/>
    <sheet name="AM" sheetId="6" state="visible" r:id="rId8"/>
    <sheet name="AP" sheetId="7" state="visible" r:id="rId9"/>
    <sheet name="BA" sheetId="8" state="visible" r:id="rId10"/>
    <sheet name="CE" sheetId="9" state="visible" r:id="rId11"/>
    <sheet name="DF" sheetId="10" state="visible" r:id="rId12"/>
    <sheet name="ES" sheetId="11" state="visible" r:id="rId13"/>
    <sheet name="GO" sheetId="12" state="visible" r:id="rId14"/>
    <sheet name="MA" sheetId="13" state="visible" r:id="rId15"/>
    <sheet name="MT" sheetId="14" state="visible" r:id="rId16"/>
    <sheet name="MS" sheetId="15" state="visible" r:id="rId17"/>
    <sheet name="MG" sheetId="16" state="visible" r:id="rId18"/>
    <sheet name="PA" sheetId="17" state="visible" r:id="rId19"/>
    <sheet name="PB" sheetId="18" state="visible" r:id="rId20"/>
    <sheet name="PE" sheetId="19" state="visible" r:id="rId21"/>
    <sheet name="PR" sheetId="20" state="visible" r:id="rId22"/>
    <sheet name="PI" sheetId="21" state="visible" r:id="rId23"/>
    <sheet name="RJ" sheetId="22" state="visible" r:id="rId24"/>
    <sheet name="RN" sheetId="23" state="visible" r:id="rId25"/>
    <sheet name="RS" sheetId="24" state="visible" r:id="rId26"/>
    <sheet name="RO" sheetId="25" state="visible" r:id="rId27"/>
    <sheet name="RR" sheetId="26" state="visible" r:id="rId28"/>
    <sheet name="SC" sheetId="27" state="visible" r:id="rId29"/>
    <sheet name="SE" sheetId="28" state="visible" r:id="rId30"/>
    <sheet name="SP" sheetId="29" state="visible" r:id="rId31"/>
    <sheet name="TO" sheetId="30" state="visible" r:id="rId3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<sst xmlns="http://schemas.openxmlformats.org/spreadsheetml/2006/main" count="386" uniqueCount="195">
  <si>
    <t xml:space="preserve">🏠  PRÁTICO DOCUMENTOS ONLINE  —  CALCULADORA DE EMOLUMENTOS</t>
  </si>
  <si>
    <t xml:space="preserve">📋  DADOS DO IMÓVEL</t>
  </si>
  <si>
    <t xml:space="preserve">⚙️  PARÂMETROS FINANCEIROS</t>
  </si>
  <si>
    <t xml:space="preserve">Valor do Imóvel (R$)</t>
  </si>
  <si>
    <t xml:space="preserve">← Digite o valor aqui</t>
  </si>
  <si>
    <t xml:space="preserve">Taxa cobrada ao cliente</t>
  </si>
  <si>
    <t xml:space="preserve">% da economia gerada</t>
  </si>
  <si>
    <t xml:space="preserve">UF do Estado do Imóvel</t>
  </si>
  <si>
    <t xml:space="preserve">SP</t>
  </si>
  <si>
    <t xml:space="preserve">Comissão ao corretor</t>
  </si>
  <si>
    <t xml:space="preserve">% do bruto PRÁTICO</t>
  </si>
  <si>
    <t xml:space="preserve">Alíquota de impostos</t>
  </si>
  <si>
    <t xml:space="preserve">ISS + IRPJ estimado</t>
  </si>
  <si>
    <t xml:space="preserve">🏛️  CARTÓRIOS PARCEIROS — CUSTO DA ESCRITURA (DINÂMICO)</t>
  </si>
  <si>
    <t xml:space="preserve">PARCEIRO</t>
  </si>
  <si>
    <t xml:space="preserve">ESTADO</t>
  </si>
  <si>
    <t xml:space="preserve">ESCRITURA</t>
  </si>
  <si>
    <t xml:space="preserve">ECONOMIA vs LOCAL</t>
  </si>
  <si>
    <t xml:space="preserve">STATUS</t>
  </si>
  <si>
    <t xml:space="preserve">OBSERVAÇÃO</t>
  </si>
  <si>
    <t xml:space="preserve">● DF</t>
  </si>
  <si>
    <t xml:space="preserve">Distrito Federal</t>
  </si>
  <si>
    <t xml:space="preserve">✅ Parceiro Ativo</t>
  </si>
  <si>
    <t xml:space="preserve">Melhor acima de R$ 515.750</t>
  </si>
  <si>
    <t xml:space="preserve">● RS</t>
  </si>
  <si>
    <t xml:space="preserve">Rio Grande do Sul</t>
  </si>
  <si>
    <t xml:space="preserve">Melhor até R$ 515.749</t>
  </si>
  <si>
    <t xml:space="preserve">● SC</t>
  </si>
  <si>
    <t xml:space="preserve">Santa Catarina</t>
  </si>
  <si>
    <t xml:space="preserve">📊 Monitorar</t>
  </si>
  <si>
    <t xml:space="preserve">Intermediário</t>
  </si>
  <si>
    <t xml:space="preserve">📊  COMPARATIVO COM ESTADO LOCAL  (todos os valores dinâmicos)</t>
  </si>
  <si>
    <t xml:space="preserve">ESTADO LOCAL</t>
  </si>
  <si>
    <t xml:space="preserve">ESCRITURA LOCAL</t>
  </si>
  <si>
    <t xml:space="preserve">+ PROCURAÇÃO</t>
  </si>
  <si>
    <t xml:space="preserve">CUSTO TOTAL</t>
  </si>
  <si>
    <t xml:space="preserve">MELHOR PARCEIRO</t>
  </si>
  <si>
    <t xml:space="preserve">CUSTO PARCEIRO</t>
  </si>
  <si>
    <t xml:space="preserve">ECONOMIA TOTAL</t>
  </si>
  <si>
    <t xml:space="preserve">ECONOMIA %</t>
  </si>
  <si>
    <t xml:space="preserve">VIABILIDADE</t>
  </si>
  <si>
    <t xml:space="preserve">💰  GANHOS DA PRÁTICO NESTA OPERAÇÃO</t>
  </si>
  <si>
    <t xml:space="preserve">BRUTO PRÁTICO</t>
  </si>
  <si>
    <t xml:space="preserve">REPASSE CORRETOR</t>
  </si>
  <si>
    <t xml:space="preserve">APÓS COMISSÃO</t>
  </si>
  <si>
    <t xml:space="preserve">APÓS IMPOSTOS</t>
  </si>
  <si>
    <t xml:space="preserve">LUCRO LÍQUIDO</t>
  </si>
  <si>
    <t xml:space="preserve">MARGEM %</t>
  </si>
  <si>
    <t xml:space="preserve">🎯  RANKING DINÂMICO — DO MAIS CARO AO MAIS BARATO  (atualiza automaticamente com o valor digitado acima)</t>
  </si>
  <si>
    <t xml:space="preserve">Quanto mais caro o estado local, maior a economia que você oferece ao cliente. Valores recalculados automaticamente.</t>
  </si>
  <si>
    <t xml:space="preserve">#</t>
  </si>
  <si>
    <t xml:space="preserve">UF</t>
  </si>
  <si>
    <t xml:space="preserve">+ PROC.</t>
  </si>
  <si>
    <t xml:space="preserve">CUSTO PARC.</t>
  </si>
  <si>
    <t xml:space="preserve">ECONOMIA</t>
  </si>
  <si>
    <t xml:space="preserve">ECON. %</t>
  </si>
  <si>
    <t xml:space="preserve">POTENCIAL</t>
  </si>
  <si>
    <t xml:space="preserve">🔴 ALTÍSSIMO</t>
  </si>
  <si>
    <t xml:space="preserve">🟠 ALTO</t>
  </si>
  <si>
    <t xml:space="preserve">🟡 MÉDIO</t>
  </si>
  <si>
    <t xml:space="preserve">🟢 BAIXO</t>
  </si>
  <si>
    <t xml:space="preserve">🔵 PARCEIRO</t>
  </si>
  <si>
    <t xml:space="preserve">* Ranking recalcula automaticamente ao digitar novo valor de imóvel. Custo total = escritura + procuração local. Tabelas vigentes 2025/2026. Gerado em: 23/02/2026</t>
  </si>
  <si>
    <t xml:space="preserve">Nome</t>
  </si>
  <si>
    <t xml:space="preserve">Escritura</t>
  </si>
  <si>
    <t xml:space="preserve">Procuracao</t>
  </si>
  <si>
    <t xml:space="preserve">TotalLocal</t>
  </si>
  <si>
    <t xml:space="preserve">Parceiro</t>
  </si>
  <si>
    <t xml:space="preserve">CustoParceiro</t>
  </si>
  <si>
    <t xml:space="preserve">Economia</t>
  </si>
  <si>
    <t xml:space="preserve">EconPct</t>
  </si>
  <si>
    <t xml:space="preserve">Bruto</t>
  </si>
  <si>
    <t xml:space="preserve">AC</t>
  </si>
  <si>
    <t xml:space="preserve">Acre</t>
  </si>
  <si>
    <t xml:space="preserve">AL</t>
  </si>
  <si>
    <t xml:space="preserve">Alagoas</t>
  </si>
  <si>
    <t xml:space="preserve">AM</t>
  </si>
  <si>
    <t xml:space="preserve">Amazonas</t>
  </si>
  <si>
    <t xml:space="preserve">AP</t>
  </si>
  <si>
    <t xml:space="preserve">Amapá</t>
  </si>
  <si>
    <t xml:space="preserve">BA</t>
  </si>
  <si>
    <t xml:space="preserve">Bahia</t>
  </si>
  <si>
    <t xml:space="preserve">CE</t>
  </si>
  <si>
    <t xml:space="preserve">Ceará</t>
  </si>
  <si>
    <t xml:space="preserve">DF</t>
  </si>
  <si>
    <t xml:space="preserve">ES</t>
  </si>
  <si>
    <t xml:space="preserve">Espírito Santo</t>
  </si>
  <si>
    <t xml:space="preserve">GO</t>
  </si>
  <si>
    <t xml:space="preserve">Goiás</t>
  </si>
  <si>
    <t xml:space="preserve">MA</t>
  </si>
  <si>
    <t xml:space="preserve">Maranhão</t>
  </si>
  <si>
    <t xml:space="preserve">MT</t>
  </si>
  <si>
    <t xml:space="preserve">Mato Grosso</t>
  </si>
  <si>
    <t xml:space="preserve">MS</t>
  </si>
  <si>
    <t xml:space="preserve">Mato Grosso do Sul</t>
  </si>
  <si>
    <t xml:space="preserve">MG</t>
  </si>
  <si>
    <t xml:space="preserve">Minas Gerais</t>
  </si>
  <si>
    <t xml:space="preserve">PA</t>
  </si>
  <si>
    <t xml:space="preserve">Pará</t>
  </si>
  <si>
    <t xml:space="preserve">PB</t>
  </si>
  <si>
    <t xml:space="preserve">Paraíba</t>
  </si>
  <si>
    <t xml:space="preserve">PE</t>
  </si>
  <si>
    <t xml:space="preserve">Pernambuco</t>
  </si>
  <si>
    <t xml:space="preserve">PR</t>
  </si>
  <si>
    <t xml:space="preserve">Paraná</t>
  </si>
  <si>
    <t xml:space="preserve">PI</t>
  </si>
  <si>
    <t xml:space="preserve">Piauí</t>
  </si>
  <si>
    <t xml:space="preserve">RJ</t>
  </si>
  <si>
    <t xml:space="preserve">Rio de Janeiro</t>
  </si>
  <si>
    <t xml:space="preserve">RN</t>
  </si>
  <si>
    <t xml:space="preserve">Rio Grande do Norte</t>
  </si>
  <si>
    <t xml:space="preserve">RS</t>
  </si>
  <si>
    <t xml:space="preserve">RO</t>
  </si>
  <si>
    <t xml:space="preserve">Rondônia</t>
  </si>
  <si>
    <t xml:space="preserve">RR</t>
  </si>
  <si>
    <t xml:space="preserve">Roraima</t>
  </si>
  <si>
    <t xml:space="preserve">SC</t>
  </si>
  <si>
    <t xml:space="preserve">SE</t>
  </si>
  <si>
    <t xml:space="preserve">Sergipe</t>
  </si>
  <si>
    <t xml:space="preserve">São Paulo</t>
  </si>
  <si>
    <t xml:space="preserve">TO</t>
  </si>
  <si>
    <t xml:space="preserve">Tocantins</t>
  </si>
  <si>
    <t xml:space="preserve">AC — Acre</t>
  </si>
  <si>
    <t xml:space="preserve">AL — Alagoas</t>
  </si>
  <si>
    <t xml:space="preserve">AM — Amazonas</t>
  </si>
  <si>
    <t xml:space="preserve">AP — Amapá</t>
  </si>
  <si>
    <t xml:space="preserve">BA — Bahia</t>
  </si>
  <si>
    <t xml:space="preserve">CE — Ceará</t>
  </si>
  <si>
    <t xml:space="preserve">DF — Distrito Federal</t>
  </si>
  <si>
    <t xml:space="preserve">ES — Espírito Santo</t>
  </si>
  <si>
    <t xml:space="preserve">GO — Goiás</t>
  </si>
  <si>
    <t xml:space="preserve">MA — Maranhão</t>
  </si>
  <si>
    <t xml:space="preserve">MT — Mato Grosso</t>
  </si>
  <si>
    <t xml:space="preserve">MS — Mato Grosso do Sul</t>
  </si>
  <si>
    <t xml:space="preserve">MG — Minas Gerais</t>
  </si>
  <si>
    <t xml:space="preserve">PA — Pará</t>
  </si>
  <si>
    <t xml:space="preserve">PB — Paraíba</t>
  </si>
  <si>
    <t xml:space="preserve">PE — Pernambuco</t>
  </si>
  <si>
    <t xml:space="preserve">PR — Paraná</t>
  </si>
  <si>
    <t xml:space="preserve">PI — Piauí</t>
  </si>
  <si>
    <t xml:space="preserve">RJ — Rio de Janeiro</t>
  </si>
  <si>
    <t xml:space="preserve">RN — Rio Grande do Norte</t>
  </si>
  <si>
    <t xml:space="preserve">RS — Rio Grande do Sul</t>
  </si>
  <si>
    <t xml:space="preserve">RO — Rondônia</t>
  </si>
  <si>
    <t xml:space="preserve">RR — Roraima</t>
  </si>
  <si>
    <t xml:space="preserve">SC — Santa Catarina</t>
  </si>
  <si>
    <t xml:space="preserve">SE — Sergipe</t>
  </si>
  <si>
    <t xml:space="preserve">SP — São Paulo</t>
  </si>
  <si>
    <t xml:space="preserve">TO — Tocantins</t>
  </si>
  <si>
    <t xml:space="preserve">Fonte:</t>
  </si>
  <si>
    <t xml:space="preserve">TJAC 2025</t>
  </si>
  <si>
    <t xml:space="preserve">⚠️ Verificar tabela completa no TJAC</t>
  </si>
  <si>
    <t xml:space="preserve">De (R$)</t>
  </si>
  <si>
    <t xml:space="preserve">Até (R$)</t>
  </si>
  <si>
    <t xml:space="preserve">Emolumento (R$)</t>
  </si>
  <si>
    <t xml:space="preserve">TJAL — Tabela vigente 2025</t>
  </si>
  <si>
    <t xml:space="preserve">✅ CORRIGIDO — Fórmula progressiva (+R$28,66/R$1.280) teto R$175.392,87. Procuração R$22,43</t>
  </si>
  <si>
    <t xml:space="preserve">TJAM 2025</t>
  </si>
  <si>
    <t xml:space="preserve">TJAP 2025</t>
  </si>
  <si>
    <t xml:space="preserve">TJBA — Decreto 954/2024</t>
  </si>
  <si>
    <t xml:space="preserve">✅ VERIFICADO — Fonte oficial TJBA + Procuração R$118,58 (confirmada PDF)</t>
  </si>
  <si>
    <t xml:space="preserve">TJCE — Portaria 2749/2024-GABPRESI (vigência 01/01/2025)</t>
  </si>
  <si>
    <t xml:space="preserve">✅ CORRIGIDO — Tabela FORA DO MUNICÍPIO (002022-002031). Teto R$3.088,94 → total máx R$3.596,40</t>
  </si>
  <si>
    <t xml:space="preserve">ANOREG/DF — Resolução 2/2025</t>
  </si>
  <si>
    <t xml:space="preserve">✅ VERIFICADO — Tabela 2026 vigente + Procuração = 50% escritura (R$1.186,10 para R$500k)</t>
  </si>
  <si>
    <t xml:space="preserve">TJES 2025</t>
  </si>
  <si>
    <t xml:space="preserve">TJGO 2026</t>
  </si>
  <si>
    <t xml:space="preserve">TJMA 2025</t>
  </si>
  <si>
    <t xml:space="preserve">TJMT — Provimento 80/2025 (2026)</t>
  </si>
  <si>
    <t xml:space="preserve">✅ CORRIGIDO — Tabela 2026 (reajuste 15,30%). Máximo R$6.948,45 confirmado</t>
  </si>
  <si>
    <t xml:space="preserve">TJMS 2025</t>
  </si>
  <si>
    <t xml:space="preserve">TJMG 2025</t>
  </si>
  <si>
    <t xml:space="preserve">✅ Procuração R$68,94 confirmada (genérica por outorgante)</t>
  </si>
  <si>
    <t xml:space="preserve">TJPA 2025</t>
  </si>
  <si>
    <t xml:space="preserve">ANOREG/PB — Ato CGJ 01/2025 (2026)</t>
  </si>
  <si>
    <t xml:space="preserve">✅ CORRIGIDO — Faixas progressivas confirmadas. Procuração R$170,35 (confirmada PDF)</t>
  </si>
  <si>
    <t xml:space="preserve">TJPE 2025</t>
  </si>
  <si>
    <t xml:space="preserve">✅ Procuração R$237,84 confirmada (em causa própria/alienação bens)</t>
  </si>
  <si>
    <t xml:space="preserve">TJPR 2025</t>
  </si>
  <si>
    <t xml:space="preserve">⚠️ Tabela incompleta acima de R$226k — verificar TJPR</t>
  </si>
  <si>
    <t xml:space="preserve">TJPI — Tabela vigente 2025/2026</t>
  </si>
  <si>
    <t xml:space="preserve">✅ CORRIGIDO — Tabela código 34 (Escritura com valor). R$500k = R$6,360.31</t>
  </si>
  <si>
    <t xml:space="preserve">PJERJ/CGJ — Tabela 07 (Tabela 22 - Lei 9.873/22) vigência 2026</t>
  </si>
  <si>
    <t xml:space="preserve">✅ CORRIGIDO — Nota 19ª: +R$252,43 a cada R$140.427,98 acima de R$561.712. R$500k=R$2,907.22</t>
  </si>
  <si>
    <t xml:space="preserve">TJRN 2025</t>
  </si>
  <si>
    <t xml:space="preserve">TJRS/ARPEN-RS — DJe 8048/2025 (2026)</t>
  </si>
  <si>
    <t xml:space="preserve">✅ CORRIGIDO — Tabela 2026 (reajuste 5,86% IPC/IEPE/UFRGS). Procuração R$110,10 confirmada</t>
  </si>
  <si>
    <t xml:space="preserve">TJRO 2025</t>
  </si>
  <si>
    <t xml:space="preserve">TJRR 2025</t>
  </si>
  <si>
    <t xml:space="preserve">TJSC — Circular CGJ 643/2025 (2026)</t>
  </si>
  <si>
    <t xml:space="preserve">✅ CORRIGIDO — Tabela 2026. Fórmula acima R$226k (+R$50/R$50k). Procuração R$62,59 confirmada</t>
  </si>
  <si>
    <t xml:space="preserve">TJSE 2025</t>
  </si>
  <si>
    <t xml:space="preserve">CNB/SP 2026</t>
  </si>
  <si>
    <t xml:space="preserve">TJTO 2025</t>
  </si>
  <si>
    <t xml:space="preserve">⚠️ Tabela incompleta — verificar TJTO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</si>
</sst>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&quot;R$ &quot;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1565C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D47A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1"/>
      <color rgb="FF4A148C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2"/>
      <color rgb="FFB71C1C"/>
      <name val="Arial"/>
      <family val="0"/>
      <charset val="1"/>
    </font>
    <font>
      <b val="true"/>
      <sz val="13"/>
      <color rgb="FFB71C1C"/>
      <name val="Arial"/>
      <family val="0"/>
      <charset val="1"/>
    </font>
    <font>
      <b val="true"/>
      <sz val="11"/>
      <color rgb="FFB71C1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CC6600"/>
      <name val="Arial"/>
      <family val="0"/>
      <charset val="1"/>
    </font>
    <font>
      <b val="true"/>
      <sz val="9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C00000"/>
      <name val="Arial"/>
      <family val="0"/>
      <charset val="1"/>
    </font>
    <font>
      <i val="true"/>
      <sz val="8"/>
      <color rgb="FF1B5E20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D6A8F"/>
        <bgColor rgb="FF1565C0"/>
      </patternFill>
    </fill>
    <fill>
      <patternFill patternType="solid">
        <fgColor rgb="FF5C4033"/>
        <bgColor rgb="FF444444"/>
      </patternFill>
    </fill>
    <fill>
      <patternFill patternType="solid">
        <fgColor rgb="FFEAF2FB"/>
        <bgColor rgb="FFEEEEEE"/>
      </patternFill>
    </fill>
    <fill>
      <patternFill patternType="solid">
        <fgColor rgb="FFFFFDE7"/>
        <bgColor rgb="FFFAFAFA"/>
      </patternFill>
    </fill>
    <fill>
      <patternFill patternType="solid">
        <fgColor rgb="FFFBF0EA"/>
        <bgColor rgb="FFFFEBEE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BBDEFB"/>
        <bgColor rgb="FFC8E6C9"/>
      </patternFill>
    </fill>
    <fill>
      <patternFill patternType="solid">
        <fgColor rgb="FFC8E6C9"/>
        <bgColor rgb="FFBBDEFB"/>
      </patternFill>
    </fill>
    <fill>
      <patternFill patternType="solid">
        <fgColor rgb="FFEEEEEE"/>
        <bgColor rgb="FFEAF2FB"/>
      </patternFill>
    </fill>
    <fill>
      <patternFill patternType="solid">
        <fgColor rgb="FF0D47A1"/>
        <bgColor rgb="FF1565C0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E8F5E9"/>
        <bgColor rgb="FFEAF2FB"/>
      </patternFill>
    </fill>
    <fill>
      <patternFill patternType="solid">
        <fgColor rgb="FFB71C1C"/>
        <bgColor rgb="FFC62828"/>
      </patternFill>
    </fill>
    <fill>
      <patternFill patternType="solid">
        <fgColor rgb="FFC62828"/>
        <bgColor rgb="FFB71C1C"/>
      </patternFill>
    </fill>
    <fill>
      <patternFill patternType="solid">
        <fgColor rgb="FFFFEBEE"/>
        <bgColor rgb="FFFFE8E8"/>
      </patternFill>
    </fill>
    <fill>
      <patternFill patternType="solid">
        <fgColor rgb="FFFFCDD2"/>
        <bgColor rgb="FFFFE8E8"/>
      </patternFill>
    </fill>
    <fill>
      <patternFill patternType="solid">
        <fgColor rgb="FF1A237E"/>
        <bgColor rgb="FF1A3A5C"/>
      </patternFill>
    </fill>
    <fill>
      <patternFill patternType="solid">
        <fgColor rgb="FFFFE8E8"/>
        <bgColor rgb="FFFFEBEE"/>
      </patternFill>
    </fill>
    <fill>
      <patternFill patternType="solid">
        <fgColor rgb="FFFFF3CD"/>
        <bgColor rgb="FFFBF0EA"/>
      </patternFill>
    </fill>
    <fill>
      <patternFill patternType="solid">
        <fgColor rgb="FFF5F5F5"/>
        <bgColor rgb="FFF5F9FF"/>
      </patternFill>
    </fill>
    <fill>
      <patternFill patternType="solid">
        <fgColor rgb="FFFAFAFA"/>
        <bgColor rgb="FFF5F9FF"/>
      </patternFill>
    </fill>
    <fill>
      <patternFill patternType="solid">
        <fgColor rgb="FFF5F9FF"/>
        <bgColor rgb="FFFAFAFA"/>
      </patternFill>
    </fill>
    <fill>
      <patternFill patternType="solid">
        <fgColor rgb="FFFFFFFF"/>
        <bgColor rgb="FFFAFA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57C00"/>
      </left>
      <right/>
      <top style="medium">
        <color rgb="FFF57C00"/>
      </top>
      <bottom style="medium">
        <color rgb="FFF57C00"/>
      </bottom>
      <diagonal/>
    </border>
    <border diagonalUp="false" diagonalDown="false">
      <left style="medium">
        <color rgb="FFF57C00"/>
      </left>
      <right style="medium">
        <color rgb="FFF57C00"/>
      </right>
      <top style="medium">
        <color rgb="FFF57C00"/>
      </top>
      <bottom style="medium">
        <color rgb="FFF57C00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2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2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BF0EA"/>
      <rgbColor rgb="FFFF00FF"/>
      <rgbColor rgb="FF00FFFF"/>
      <rgbColor rgb="FF800000"/>
      <rgbColor rgb="FF1B5E20"/>
      <rgbColor rgb="FF000080"/>
      <rgbColor rgb="FFCC6600"/>
      <rgbColor rgb="FF6A1B9A"/>
      <rgbColor rgb="FF2D6A8F"/>
      <rgbColor rgb="FFCCCCCC"/>
      <rgbColor rgb="FF888888"/>
      <rgbColor rgb="FFEEEEEE"/>
      <rgbColor rgb="FFC62828"/>
      <rgbColor rgb="FFFFFDE7"/>
      <rgbColor rgb="FFE8F5E9"/>
      <rgbColor rgb="FF4A148C"/>
      <rgbColor rgb="FFFAFAFA"/>
      <rgbColor rgb="FF1565C0"/>
      <rgbColor rgb="FFBBDEFB"/>
      <rgbColor rgb="FF000080"/>
      <rgbColor rgb="FFFF00FF"/>
      <rgbColor rgb="FFFFEBEE"/>
      <rgbColor rgb="FF00FFFF"/>
      <rgbColor rgb="FF800080"/>
      <rgbColor rgb="FF800000"/>
      <rgbColor rgb="FF555555"/>
      <rgbColor rgb="FF0000FF"/>
      <rgbColor rgb="FF00CCFF"/>
      <rgbColor rgb="FFEAF2FB"/>
      <rgbColor rgb="FFC8E6C9"/>
      <rgbColor rgb="FFFFF3CD"/>
      <rgbColor rgb="FFEDE7F6"/>
      <rgbColor rgb="FFF3E5F5"/>
      <rgbColor rgb="FFFFE8E8"/>
      <rgbColor rgb="FFFFCDD2"/>
      <rgbColor rgb="FF0D47A1"/>
      <rgbColor rgb="FF33CCCC"/>
      <rgbColor rgb="FFF5F9FF"/>
      <rgbColor rgb="FFF5F5F5"/>
      <rgbColor rgb="FFFF9900"/>
      <rgbColor rgb="FFF57C00"/>
      <rgbColor rgb="FF666666"/>
      <rgbColor rgb="FF999999"/>
      <rgbColor rgb="FF1A3A5C"/>
      <rgbColor rgb="FF2E7D32"/>
      <rgbColor rgb="FF003300"/>
      <rgbColor rgb="FF444444"/>
      <rgbColor rgb="FFB71C1C"/>
      <rgbColor rgb="FF5C4033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5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7" min="4" style="1" width="16"/>
    <col collapsed="false" customWidth="true" hidden="false" outlineLevel="0" max="8" min="8" style="1" width="3"/>
    <col collapsed="false" customWidth="true" hidden="false" outlineLevel="0" max="13" min="9" style="1" width="16"/>
    <col collapsed="false" customWidth="true" hidden="false" outlineLevel="0" max="14" min="14" style="1" width="1"/>
  </cols>
  <sheetData>
    <row r="1" customFormat="false" ht="6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19.5" hidden="false" customHeight="true" outlineLevel="0" collapsed="false">
      <c r="B4" s="3" t="s">
        <v>1</v>
      </c>
      <c r="C4" s="3"/>
      <c r="D4" s="3"/>
      <c r="E4" s="3"/>
      <c r="F4" s="3"/>
      <c r="H4" s="4" t="s">
        <v>2</v>
      </c>
      <c r="I4" s="4"/>
      <c r="J4" s="4"/>
      <c r="K4" s="4"/>
      <c r="L4" s="4"/>
      <c r="M4" s="4"/>
    </row>
    <row r="5" customFormat="false" ht="27.75" hidden="false" customHeight="true" outlineLevel="0" collapsed="false">
      <c r="B5" s="5" t="s">
        <v>3</v>
      </c>
      <c r="C5" s="6" t="n">
        <v>500000</v>
      </c>
      <c r="D5" s="6"/>
      <c r="E5" s="7" t="s">
        <v>4</v>
      </c>
      <c r="F5" s="7"/>
      <c r="H5" s="8" t="s">
        <v>5</v>
      </c>
      <c r="I5" s="9" t="n">
        <v>0.7</v>
      </c>
      <c r="J5" s="9"/>
      <c r="K5" s="10" t="s">
        <v>6</v>
      </c>
      <c r="L5" s="10"/>
      <c r="M5" s="10"/>
    </row>
    <row r="6" customFormat="false" ht="27.75" hidden="false" customHeight="true" outlineLevel="0" collapsed="false">
      <c r="B6" s="5" t="s">
        <v>7</v>
      </c>
      <c r="C6" s="11" t="s">
        <v>8</v>
      </c>
      <c r="D6" s="12" t="str">
        <f aca="false">IFERROR(VLOOKUP(C6,_LISTAS!$A:$B,2,FALSE()),"— selecione")</f>
        <v>SP — São Paulo</v>
      </c>
      <c r="E6" s="12"/>
      <c r="F6" s="12"/>
      <c r="H6" s="8" t="s">
        <v>9</v>
      </c>
      <c r="I6" s="9" t="n">
        <v>0.4</v>
      </c>
      <c r="J6" s="9"/>
      <c r="K6" s="10" t="s">
        <v>10</v>
      </c>
      <c r="L6" s="10"/>
      <c r="M6" s="10"/>
    </row>
    <row r="7" customFormat="false" ht="27.75" hidden="false" customHeight="true" outlineLevel="0" collapsed="false">
      <c r="H7" s="8" t="s">
        <v>11</v>
      </c>
      <c r="I7" s="9" t="n">
        <v>0.15</v>
      </c>
      <c r="J7" s="9"/>
      <c r="K7" s="10" t="s">
        <v>12</v>
      </c>
      <c r="L7" s="10"/>
      <c r="M7" s="10"/>
    </row>
    <row r="8" customFormat="false" ht="6" hidden="false" customHeight="true" outlineLevel="0" collapsed="false"/>
    <row r="9" customFormat="false" ht="19.5" hidden="false" customHeight="true" outlineLevel="0" collapsed="false">
      <c r="B9" s="13" t="s">
        <v>13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8" hidden="false" customHeight="true" outlineLevel="0" collapsed="false">
      <c r="B10" s="14" t="s">
        <v>14</v>
      </c>
      <c r="C10" s="14" t="s">
        <v>15</v>
      </c>
      <c r="D10" s="14" t="s">
        <v>16</v>
      </c>
      <c r="E10" s="14" t="s">
        <v>17</v>
      </c>
      <c r="F10" s="14" t="s">
        <v>18</v>
      </c>
      <c r="G10" s="14" t="s">
        <v>19</v>
      </c>
      <c r="H10" s="15"/>
      <c r="I10" s="15"/>
      <c r="J10" s="15"/>
      <c r="K10" s="15"/>
      <c r="L10" s="15"/>
      <c r="M10" s="15"/>
    </row>
    <row r="11" customFormat="false" ht="21.75" hidden="false" customHeight="true" outlineLevel="0" collapsed="false">
      <c r="B11" s="16" t="s">
        <v>20</v>
      </c>
      <c r="C11" s="17" t="s">
        <v>21</v>
      </c>
      <c r="D11" s="18" t="n">
        <f aca="false">IFERROR(VLOOKUP($C$5,DF!$A:$C,3,TRUE()),0)</f>
        <v>2372.2</v>
      </c>
      <c r="E11" s="19" t="n">
        <f aca="false">IFERROR(VLOOKUP($C$6,_RANK!$A:$E,5,FALSE())-D11,0)</f>
        <v>4770.62</v>
      </c>
      <c r="F11" s="20" t="s">
        <v>22</v>
      </c>
      <c r="G11" s="21" t="s">
        <v>23</v>
      </c>
      <c r="H11" s="22"/>
      <c r="I11" s="22"/>
      <c r="J11" s="22"/>
      <c r="K11" s="22"/>
      <c r="L11" s="22"/>
      <c r="M11" s="22"/>
    </row>
    <row r="12" customFormat="false" ht="21.75" hidden="false" customHeight="true" outlineLevel="0" collapsed="false">
      <c r="B12" s="23" t="s">
        <v>24</v>
      </c>
      <c r="C12" s="24" t="s">
        <v>25</v>
      </c>
      <c r="D12" s="25" t="n">
        <f aca="false">IFERROR(VLOOKUP($C$5,RS!$A:$C,3,TRUE()),0)</f>
        <v>2473.7</v>
      </c>
      <c r="E12" s="26" t="n">
        <f aca="false">IFERROR(VLOOKUP($C$6,_RANK!$A:$E,5,FALSE())-D12,0)</f>
        <v>4669.12</v>
      </c>
      <c r="F12" s="27" t="s">
        <v>22</v>
      </c>
      <c r="G12" s="28" t="s">
        <v>26</v>
      </c>
      <c r="H12" s="29"/>
      <c r="I12" s="29"/>
      <c r="J12" s="29"/>
      <c r="K12" s="29"/>
      <c r="L12" s="29"/>
      <c r="M12" s="29"/>
    </row>
    <row r="13" customFormat="false" ht="21.75" hidden="false" customHeight="true" outlineLevel="0" collapsed="false">
      <c r="B13" s="30" t="s">
        <v>27</v>
      </c>
      <c r="C13" s="31" t="s">
        <v>28</v>
      </c>
      <c r="D13" s="32" t="n">
        <f aca="false">IFERROR(VLOOKUP($C$5,SC!$A:$C,3,TRUE()),0)</f>
        <v>2997.58</v>
      </c>
      <c r="E13" s="33" t="n">
        <f aca="false">IFERROR(VLOOKUP($C$6,_RANK!$A:$E,5,FALSE())-D13,0)</f>
        <v>4145.24</v>
      </c>
      <c r="F13" s="34" t="s">
        <v>29</v>
      </c>
      <c r="G13" s="35" t="s">
        <v>30</v>
      </c>
      <c r="H13" s="36"/>
      <c r="I13" s="36"/>
      <c r="J13" s="36"/>
      <c r="K13" s="36"/>
      <c r="L13" s="36"/>
      <c r="M13" s="36"/>
    </row>
    <row r="14" customFormat="false" ht="6" hidden="false" customHeight="true" outlineLevel="0" collapsed="false"/>
    <row r="15" customFormat="false" ht="25.5" hidden="false" customHeight="true" outlineLevel="0" collapsed="false">
      <c r="B15" s="37" t="str">
        <f aca="false">IF(D11=MIN(D11,D12,D13),"🔵  ENVIAR PARA DF — Distrito Federal é o mais econômico para este valor",IF(D12=MIN(D11,D12,D13),"🟢  ENVIAR PARA RS — Rio Grande do Sul é o mais econômico para este valor","⚪  VERIFICAR SC — Santa Catarina pode ser mais vantajoso"))</f>
        <v>🔵  ENVIAR PARA DF — Distrito Federal é o mais econômico para este valor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customFormat="false" ht="6" hidden="false" customHeight="true" outlineLevel="0" collapsed="false"/>
    <row r="17" customFormat="false" ht="19.5" hidden="false" customHeight="true" outlineLevel="0" collapsed="false">
      <c r="B17" s="38" t="s">
        <v>31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customFormat="false" ht="18" hidden="false" customHeight="true" outlineLevel="0" collapsed="false">
      <c r="B18" s="39" t="s">
        <v>32</v>
      </c>
      <c r="C18" s="39" t="s">
        <v>33</v>
      </c>
      <c r="D18" s="39" t="s">
        <v>34</v>
      </c>
      <c r="E18" s="39" t="s">
        <v>35</v>
      </c>
      <c r="F18" s="39" t="s">
        <v>36</v>
      </c>
      <c r="G18" s="39" t="s">
        <v>37</v>
      </c>
      <c r="H18" s="39" t="s">
        <v>38</v>
      </c>
      <c r="I18" s="39" t="s">
        <v>39</v>
      </c>
      <c r="J18" s="39" t="s">
        <v>40</v>
      </c>
      <c r="K18" s="40"/>
      <c r="L18" s="40"/>
      <c r="M18" s="40"/>
    </row>
    <row r="19" customFormat="false" ht="27.75" hidden="false" customHeight="true" outlineLevel="0" collapsed="false">
      <c r="B19" s="41" t="str">
        <f aca="false">C6&amp;" — "&amp;IFERROR(VLOOKUP(C6,_LISTAS!$A:$B,2,FALSE()),C6)</f>
        <v>SP — SP — São Paulo</v>
      </c>
      <c r="C19" s="42" t="n">
        <f aca="true">IFERROR(VLOOKUP($C$5,INDIRECT(C6&amp;"!$A:$C"),3,TRUE()),0)</f>
        <v>6942.82</v>
      </c>
      <c r="D19" s="43" t="n">
        <f aca="false">IFERROR(VLOOKUP(C6,_LISTAS!$A:$D,4,FALSE()),200)</f>
        <v>200</v>
      </c>
      <c r="E19" s="44" t="n">
        <f aca="false">IFERROR(D19+E19,0)</f>
        <v>0</v>
      </c>
      <c r="F19" s="45" t="str">
        <f aca="false">IF(D11=MIN(D11,D12,D13),"DF",IF(D12=MIN(D11,D12,D13),"RS","SC"))</f>
        <v>DF</v>
      </c>
      <c r="G19" s="43" t="n">
        <f aca="false">MIN(D11,D12,D13)</f>
        <v>2372.2</v>
      </c>
      <c r="H19" s="46" t="n">
        <f aca="false">IFERROR(F19-H19,0)</f>
        <v>0</v>
      </c>
      <c r="I19" s="47" t="n">
        <f aca="false">IFERROR(I19/F19,0)</f>
        <v>0</v>
      </c>
      <c r="J19" s="48" t="str">
        <f aca="false">IF(I19&gt;500,"✅ VIÁVEL","⚠️ Verificar")</f>
        <v>⚠️ Verificar</v>
      </c>
      <c r="K19" s="49"/>
      <c r="L19" s="49"/>
      <c r="M19" s="49"/>
    </row>
    <row r="20" customFormat="false" ht="6" hidden="false" customHeight="true" outlineLevel="0" collapsed="false"/>
    <row r="21" customFormat="false" ht="19.5" hidden="false" customHeight="true" outlineLevel="0" collapsed="false">
      <c r="B21" s="50" t="s">
        <v>41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customFormat="false" ht="18" hidden="false" customHeight="true" outlineLevel="0" collapsed="false">
      <c r="B22" s="51" t="s">
        <v>42</v>
      </c>
      <c r="C22" s="51" t="s">
        <v>43</v>
      </c>
      <c r="D22" s="51" t="s">
        <v>44</v>
      </c>
      <c r="E22" s="51" t="s">
        <v>45</v>
      </c>
      <c r="F22" s="51" t="s">
        <v>46</v>
      </c>
      <c r="G22" s="51" t="s">
        <v>47</v>
      </c>
      <c r="H22" s="52"/>
      <c r="I22" s="52"/>
      <c r="J22" s="52"/>
      <c r="K22" s="52"/>
      <c r="L22" s="52"/>
      <c r="M22" s="52"/>
    </row>
    <row r="23" customFormat="false" ht="27.75" hidden="false" customHeight="true" outlineLevel="0" collapsed="false">
      <c r="B23" s="53" t="n">
        <f aca="false">IFERROR(I19*$I$5,0)</f>
        <v>0</v>
      </c>
      <c r="C23" s="54" t="n">
        <f aca="false">IFERROR(B23*$I$6,0)</f>
        <v>0</v>
      </c>
      <c r="D23" s="54" t="n">
        <f aca="false">IFERROR(B23-C23,0)</f>
        <v>0</v>
      </c>
      <c r="E23" s="54" t="n">
        <f aca="false">IFERROR(D23*(1-$I$7),0)</f>
        <v>0</v>
      </c>
      <c r="F23" s="55" t="n">
        <f aca="false">IFERROR(E23,0)</f>
        <v>0</v>
      </c>
      <c r="G23" s="56" t="n">
        <f aca="false">IFERROR(F23/I19,0)</f>
        <v>0</v>
      </c>
      <c r="H23" s="57"/>
      <c r="I23" s="57"/>
      <c r="J23" s="57"/>
      <c r="K23" s="57"/>
      <c r="L23" s="57"/>
      <c r="M23" s="57"/>
    </row>
    <row r="24" customFormat="false" ht="6" hidden="false" customHeight="true" outlineLevel="0" collapsed="false"/>
    <row r="25" customFormat="false" ht="30" hidden="false" customHeight="true" outlineLevel="0" collapsed="false">
      <c r="B25" s="58" t="s">
        <v>48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</row>
    <row r="26" customFormat="false" ht="18" hidden="false" customHeight="true" outlineLevel="0" collapsed="false">
      <c r="B26" s="59" t="s">
        <v>49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customFormat="false" ht="19.5" hidden="false" customHeight="true" outlineLevel="0" collapsed="false">
      <c r="B27" s="60" t="s">
        <v>50</v>
      </c>
      <c r="C27" s="60" t="s">
        <v>51</v>
      </c>
      <c r="D27" s="60" t="s">
        <v>15</v>
      </c>
      <c r="E27" s="60" t="s">
        <v>16</v>
      </c>
      <c r="F27" s="60" t="s">
        <v>52</v>
      </c>
      <c r="G27" s="60" t="s">
        <v>35</v>
      </c>
      <c r="H27" s="60" t="s">
        <v>14</v>
      </c>
      <c r="I27" s="60" t="s">
        <v>53</v>
      </c>
      <c r="J27" s="60" t="s">
        <v>54</v>
      </c>
      <c r="K27" s="60" t="s">
        <v>55</v>
      </c>
      <c r="L27" s="60" t="s">
        <v>42</v>
      </c>
      <c r="M27" s="60" t="s">
        <v>56</v>
      </c>
    </row>
    <row r="28" customFormat="false" ht="18" hidden="false" customHeight="true" outlineLevel="0" collapsed="false">
      <c r="B28" s="61" t="n">
        <v>1</v>
      </c>
      <c r="C28" s="62" t="str">
        <f aca="false">IFERROR(INDEX(_RANK!$A$2:$A$28,MATCH(LARGE(_RANK!$E$2:$E$28,1),_RANK!$E$2:$E$28,0)),"")</f>
        <v>AP</v>
      </c>
      <c r="D28" s="63" t="str">
        <f aca="false">IFERROR(INDEX(_RANK!$B$2:$B$28,MATCH(LARGE(_RANK!$E$2:$E$28,1),_RANK!$E$2:$E$28,0)),"")</f>
        <v>Amapá</v>
      </c>
      <c r="E28" s="64" t="n">
        <f aca="false">IFERROR(INDEX(_RANK!$C$2:$C$28,MATCH(LARGE(_RANK!$E$2:$E$28,1),_RANK!$E$2:$E$28,0)),0)</f>
        <v>15030.42</v>
      </c>
      <c r="F28" s="65" t="n">
        <f aca="false">IFERROR(INDEX(_RANK!$D$2:$D$28,MATCH(LARGE(_RANK!$E$2:$E$28,1),_RANK!$E$2:$E$28,0)),0)</f>
        <v>200</v>
      </c>
      <c r="G28" s="64" t="n">
        <f aca="false">LARGE(_RANK!$E$2:$E$28,1)</f>
        <v>15230.42</v>
      </c>
      <c r="H28" s="66" t="str">
        <f aca="false">IFERROR(INDEX(_RANK!$F$2:$F$28,MATCH(LARGE(_RANK!$E$2:$E$28,1),_RANK!$E$2:$E$28,0)),"")</f>
        <v>RS</v>
      </c>
      <c r="I28" s="67" t="n">
        <f aca="false">IFERROR(INDEX(_RANK!$G$2:$G$28,MATCH(LARGE(_RANK!$E$2:$E$28,1),_RANK!$E$2:$E$28,0)),0)</f>
        <v>2473.7</v>
      </c>
      <c r="J28" s="64" t="n">
        <f aca="false">IFERROR(INDEX(_RANK!$H$2:$H$28,MATCH(LARGE(_RANK!$E$2:$E$28,1),_RANK!$E$2:$E$28,0)),0)</f>
        <v>12756.72</v>
      </c>
      <c r="K28" s="68" t="n">
        <f aca="false">IFERROR(INDEX(_RANK!$I$2:$I$28,MATCH(LARGE(_RANK!$E$2:$E$28,1),_RANK!$E$2:$E$28,0)),0)</f>
        <v>0.837581629396957</v>
      </c>
      <c r="L28" s="64" t="n">
        <f aca="false">IFERROR(INDEX(_RANK!$J$2:$J$28,MATCH(LARGE(_RANK!$E$2:$E$28,1),_RANK!$E$2:$E$28,0)),0)</f>
        <v>8929.704</v>
      </c>
      <c r="M28" s="62" t="s">
        <v>57</v>
      </c>
    </row>
    <row r="29" customFormat="false" ht="18" hidden="false" customHeight="true" outlineLevel="0" collapsed="false">
      <c r="B29" s="61" t="n">
        <v>2</v>
      </c>
      <c r="C29" s="62" t="str">
        <f aca="false">IFERROR(INDEX(_RANK!$A$2:$A$28,MATCH(LARGE(_RANK!$E$2:$E$28,2),_RANK!$E$2:$E$28,0)),"")</f>
        <v>RN</v>
      </c>
      <c r="D29" s="63" t="str">
        <f aca="false">IFERROR(INDEX(_RANK!$B$2:$B$28,MATCH(LARGE(_RANK!$E$2:$E$28,2),_RANK!$E$2:$E$28,0)),"")</f>
        <v>Rio Grande do Norte</v>
      </c>
      <c r="E29" s="64" t="n">
        <f aca="false">IFERROR(INDEX(_RANK!$C$2:$C$28,MATCH(LARGE(_RANK!$E$2:$E$28,2),_RANK!$E$2:$E$28,0)),0)</f>
        <v>14108.04</v>
      </c>
      <c r="F29" s="65" t="n">
        <f aca="false">IFERROR(INDEX(_RANK!$D$2:$D$28,MATCH(LARGE(_RANK!$E$2:$E$28,2),_RANK!$E$2:$E$28,0)),0)</f>
        <v>200</v>
      </c>
      <c r="G29" s="64" t="n">
        <f aca="false">LARGE(_RANK!$E$2:$E$28,2)</f>
        <v>14308.04</v>
      </c>
      <c r="H29" s="66" t="str">
        <f aca="false">IFERROR(INDEX(_RANK!$F$2:$F$28,MATCH(LARGE(_RANK!$E$2:$E$28,2),_RANK!$E$2:$E$28,0)),"")</f>
        <v>RS</v>
      </c>
      <c r="I29" s="67" t="n">
        <f aca="false">IFERROR(INDEX(_RANK!$G$2:$G$28,MATCH(LARGE(_RANK!$E$2:$E$28,2),_RANK!$E$2:$E$28,0)),0)</f>
        <v>2473.7</v>
      </c>
      <c r="J29" s="64" t="n">
        <f aca="false">IFERROR(INDEX(_RANK!$H$2:$H$28,MATCH(LARGE(_RANK!$E$2:$E$28,2),_RANK!$E$2:$E$28,0)),0)</f>
        <v>11834.34</v>
      </c>
      <c r="K29" s="68" t="n">
        <f aca="false">IFERROR(INDEX(_RANK!$I$2:$I$28,MATCH(LARGE(_RANK!$E$2:$E$28,2),_RANK!$E$2:$E$28,0)),0)</f>
        <v>0.827111190631281</v>
      </c>
      <c r="L29" s="64" t="n">
        <f aca="false">IFERROR(INDEX(_RANK!$J$2:$J$28,MATCH(LARGE(_RANK!$E$2:$E$28,2),_RANK!$E$2:$E$28,0)),0)</f>
        <v>8284.038</v>
      </c>
      <c r="M29" s="62" t="s">
        <v>57</v>
      </c>
    </row>
    <row r="30" customFormat="false" ht="18" hidden="false" customHeight="true" outlineLevel="0" collapsed="false">
      <c r="B30" s="61" t="n">
        <v>3</v>
      </c>
      <c r="C30" s="62" t="str">
        <f aca="false">IFERROR(INDEX(_RANK!$A$2:$A$28,MATCH(LARGE(_RANK!$E$2:$E$28,3),_RANK!$E$2:$E$28,0)),"")</f>
        <v>AC</v>
      </c>
      <c r="D30" s="63" t="str">
        <f aca="false">IFERROR(INDEX(_RANK!$B$2:$B$28,MATCH(LARGE(_RANK!$E$2:$E$28,3),_RANK!$E$2:$E$28,0)),"")</f>
        <v>Acre</v>
      </c>
      <c r="E30" s="64" t="n">
        <f aca="false">IFERROR(INDEX(_RANK!$C$2:$C$28,MATCH(LARGE(_RANK!$E$2:$E$28,3),_RANK!$E$2:$E$28,0)),0)</f>
        <v>13440.9</v>
      </c>
      <c r="F30" s="65" t="n">
        <f aca="false">IFERROR(INDEX(_RANK!$D$2:$D$28,MATCH(LARGE(_RANK!$E$2:$E$28,3),_RANK!$E$2:$E$28,0)),0)</f>
        <v>150</v>
      </c>
      <c r="G30" s="64" t="n">
        <f aca="false">LARGE(_RANK!$E$2:$E$28,3)</f>
        <v>13590.9</v>
      </c>
      <c r="H30" s="66" t="str">
        <f aca="false">IFERROR(INDEX(_RANK!$F$2:$F$28,MATCH(LARGE(_RANK!$E$2:$E$28,3),_RANK!$E$2:$E$28,0)),"")</f>
        <v>RS</v>
      </c>
      <c r="I30" s="67" t="n">
        <f aca="false">IFERROR(INDEX(_RANK!$G$2:$G$28,MATCH(LARGE(_RANK!$E$2:$E$28,3),_RANK!$E$2:$E$28,0)),0)</f>
        <v>2473.7</v>
      </c>
      <c r="J30" s="64" t="n">
        <f aca="false">IFERROR(INDEX(_RANK!$H$2:$H$28,MATCH(LARGE(_RANK!$E$2:$E$28,3),_RANK!$E$2:$E$28,0)),0)</f>
        <v>11117.2</v>
      </c>
      <c r="K30" s="68" t="n">
        <f aca="false">IFERROR(INDEX(_RANK!$I$2:$I$28,MATCH(LARGE(_RANK!$E$2:$E$28,3),_RANK!$E$2:$E$28,0)),0)</f>
        <v>0.817988507015724</v>
      </c>
      <c r="L30" s="64" t="n">
        <f aca="false">IFERROR(INDEX(_RANK!$J$2:$J$28,MATCH(LARGE(_RANK!$E$2:$E$28,3),_RANK!$E$2:$E$28,0)),0)</f>
        <v>7782.04</v>
      </c>
      <c r="M30" s="62" t="s">
        <v>57</v>
      </c>
    </row>
    <row r="31" customFormat="false" ht="18" hidden="false" customHeight="true" outlineLevel="0" collapsed="false">
      <c r="B31" s="61" t="n">
        <v>4</v>
      </c>
      <c r="C31" s="62" t="str">
        <f aca="false">IFERROR(INDEX(_RANK!$A$2:$A$28,MATCH(LARGE(_RANK!$E$2:$E$28,4),_RANK!$E$2:$E$28,0)),"")</f>
        <v>AL</v>
      </c>
      <c r="D31" s="63" t="str">
        <f aca="false">IFERROR(INDEX(_RANK!$B$2:$B$28,MATCH(LARGE(_RANK!$E$2:$E$28,4),_RANK!$E$2:$E$28,0)),"")</f>
        <v>Alagoas</v>
      </c>
      <c r="E31" s="64" t="n">
        <f aca="false">IFERROR(INDEX(_RANK!$C$2:$C$28,MATCH(LARGE(_RANK!$E$2:$E$28,4),_RANK!$E$2:$E$28,0)),0)</f>
        <v>11505.94</v>
      </c>
      <c r="F31" s="65" t="n">
        <f aca="false">IFERROR(INDEX(_RANK!$D$2:$D$28,MATCH(LARGE(_RANK!$E$2:$E$28,4),_RANK!$E$2:$E$28,0)),0)</f>
        <v>22.43</v>
      </c>
      <c r="G31" s="64" t="n">
        <f aca="false">LARGE(_RANK!$E$2:$E$28,4)</f>
        <v>11528.37</v>
      </c>
      <c r="H31" s="66" t="str">
        <f aca="false">IFERROR(INDEX(_RANK!$F$2:$F$28,MATCH(LARGE(_RANK!$E$2:$E$28,4),_RANK!$E$2:$E$28,0)),"")</f>
        <v>RS</v>
      </c>
      <c r="I31" s="67" t="n">
        <f aca="false">IFERROR(INDEX(_RANK!$G$2:$G$28,MATCH(LARGE(_RANK!$E$2:$E$28,4),_RANK!$E$2:$E$28,0)),0)</f>
        <v>2473.7</v>
      </c>
      <c r="J31" s="64" t="n">
        <f aca="false">IFERROR(INDEX(_RANK!$H$2:$H$28,MATCH(LARGE(_RANK!$E$2:$E$28,4),_RANK!$E$2:$E$28,0)),0)</f>
        <v>9054.67</v>
      </c>
      <c r="K31" s="68" t="n">
        <f aca="false">IFERROR(INDEX(_RANK!$I$2:$I$28,MATCH(LARGE(_RANK!$E$2:$E$28,4),_RANK!$E$2:$E$28,0)),0)</f>
        <v>0.785424999371117</v>
      </c>
      <c r="L31" s="64" t="n">
        <f aca="false">IFERROR(INDEX(_RANK!$J$2:$J$28,MATCH(LARGE(_RANK!$E$2:$E$28,4),_RANK!$E$2:$E$28,0)),0)</f>
        <v>6338.269</v>
      </c>
      <c r="M31" s="62" t="s">
        <v>57</v>
      </c>
    </row>
    <row r="32" customFormat="false" ht="18" hidden="false" customHeight="true" outlineLevel="0" collapsed="false">
      <c r="B32" s="61" t="n">
        <v>5</v>
      </c>
      <c r="C32" s="62" t="str">
        <f aca="false">IFERROR(INDEX(_RANK!$A$2:$A$28,MATCH(LARGE(_RANK!$E$2:$E$28,5),_RANK!$E$2:$E$28,0)),"")</f>
        <v>PB</v>
      </c>
      <c r="D32" s="63" t="str">
        <f aca="false">IFERROR(INDEX(_RANK!$B$2:$B$28,MATCH(LARGE(_RANK!$E$2:$E$28,5),_RANK!$E$2:$E$28,0)),"")</f>
        <v>Paraíba</v>
      </c>
      <c r="E32" s="64" t="n">
        <f aca="false">IFERROR(INDEX(_RANK!$C$2:$C$28,MATCH(LARGE(_RANK!$E$2:$E$28,5),_RANK!$E$2:$E$28,0)),0)</f>
        <v>9369.12</v>
      </c>
      <c r="F32" s="65" t="n">
        <f aca="false">IFERROR(INDEX(_RANK!$D$2:$D$28,MATCH(LARGE(_RANK!$E$2:$E$28,5),_RANK!$E$2:$E$28,0)),0)</f>
        <v>170.35</v>
      </c>
      <c r="G32" s="64" t="n">
        <f aca="false">LARGE(_RANK!$E$2:$E$28,5)</f>
        <v>9539.47</v>
      </c>
      <c r="H32" s="66" t="str">
        <f aca="false">IFERROR(INDEX(_RANK!$F$2:$F$28,MATCH(LARGE(_RANK!$E$2:$E$28,5),_RANK!$E$2:$E$28,0)),"")</f>
        <v>RS</v>
      </c>
      <c r="I32" s="67" t="n">
        <f aca="false">IFERROR(INDEX(_RANK!$G$2:$G$28,MATCH(LARGE(_RANK!$E$2:$E$28,5),_RANK!$E$2:$E$28,0)),0)</f>
        <v>2473.7</v>
      </c>
      <c r="J32" s="64" t="n">
        <f aca="false">IFERROR(INDEX(_RANK!$H$2:$H$28,MATCH(LARGE(_RANK!$E$2:$E$28,5),_RANK!$E$2:$E$28,0)),0)</f>
        <v>7065.77</v>
      </c>
      <c r="K32" s="68" t="n">
        <f aca="false">IFERROR(INDEX(_RANK!$I$2:$I$28,MATCH(LARGE(_RANK!$E$2:$E$28,5),_RANK!$E$2:$E$28,0)),0)</f>
        <v>0.740687899851879</v>
      </c>
      <c r="L32" s="64" t="n">
        <f aca="false">IFERROR(INDEX(_RANK!$J$2:$J$28,MATCH(LARGE(_RANK!$E$2:$E$28,5),_RANK!$E$2:$E$28,0)),0)</f>
        <v>4946.039</v>
      </c>
      <c r="M32" s="62" t="s">
        <v>57</v>
      </c>
    </row>
    <row r="33" customFormat="false" ht="18" hidden="false" customHeight="true" outlineLevel="0" collapsed="false">
      <c r="B33" s="69" t="n">
        <v>6</v>
      </c>
      <c r="C33" s="70" t="str">
        <f aca="false">IFERROR(INDEX(_RANK!$A$2:$A$28,MATCH(LARGE(_RANK!$E$2:$E$28,6),_RANK!$E$2:$E$28,0)),"")</f>
        <v>AM</v>
      </c>
      <c r="D33" s="71" t="str">
        <f aca="false">IFERROR(INDEX(_RANK!$B$2:$B$28,MATCH(LARGE(_RANK!$E$2:$E$28,6),_RANK!$E$2:$E$28,0)),"")</f>
        <v>Amazonas</v>
      </c>
      <c r="E33" s="72" t="n">
        <f aca="false">IFERROR(INDEX(_RANK!$C$2:$C$28,MATCH(LARGE(_RANK!$E$2:$E$28,6),_RANK!$E$2:$E$28,0)),0)</f>
        <v>9021.69</v>
      </c>
      <c r="F33" s="73" t="n">
        <f aca="false">IFERROR(INDEX(_RANK!$D$2:$D$28,MATCH(LARGE(_RANK!$E$2:$E$28,6),_RANK!$E$2:$E$28,0)),0)</f>
        <v>200</v>
      </c>
      <c r="G33" s="72" t="n">
        <f aca="false">LARGE(_RANK!$E$2:$E$28,6)</f>
        <v>9221.69</v>
      </c>
      <c r="H33" s="74" t="str">
        <f aca="false">IFERROR(INDEX(_RANK!$F$2:$F$28,MATCH(LARGE(_RANK!$E$2:$E$28,6),_RANK!$E$2:$E$28,0)),"")</f>
        <v>RS</v>
      </c>
      <c r="I33" s="75" t="n">
        <f aca="false">IFERROR(INDEX(_RANK!$G$2:$G$28,MATCH(LARGE(_RANK!$E$2:$E$28,6),_RANK!$E$2:$E$28,0)),0)</f>
        <v>2473.7</v>
      </c>
      <c r="J33" s="72" t="n">
        <f aca="false">IFERROR(INDEX(_RANK!$H$2:$H$28,MATCH(LARGE(_RANK!$E$2:$E$28,6),_RANK!$E$2:$E$28,0)),0)</f>
        <v>6747.99</v>
      </c>
      <c r="K33" s="76" t="n">
        <f aca="false">IFERROR(INDEX(_RANK!$I$2:$I$28,MATCH(LARGE(_RANK!$E$2:$E$28,6),_RANK!$E$2:$E$28,0)),0)</f>
        <v>0.731751989060574</v>
      </c>
      <c r="L33" s="72" t="n">
        <f aca="false">IFERROR(INDEX(_RANK!$J$2:$J$28,MATCH(LARGE(_RANK!$E$2:$E$28,6),_RANK!$E$2:$E$28,0)),0)</f>
        <v>4723.593</v>
      </c>
      <c r="M33" s="70" t="s">
        <v>58</v>
      </c>
    </row>
    <row r="34" customFormat="false" ht="18" hidden="false" customHeight="true" outlineLevel="0" collapsed="false">
      <c r="B34" s="69" t="n">
        <v>7</v>
      </c>
      <c r="C34" s="70" t="str">
        <f aca="false">IFERROR(INDEX(_RANK!$A$2:$A$28,MATCH(LARGE(_RANK!$E$2:$E$28,7),_RANK!$E$2:$E$28,0)),"")</f>
        <v>RO</v>
      </c>
      <c r="D34" s="71" t="str">
        <f aca="false">IFERROR(INDEX(_RANK!$B$2:$B$28,MATCH(LARGE(_RANK!$E$2:$E$28,7),_RANK!$E$2:$E$28,0)),"")</f>
        <v>Rondônia</v>
      </c>
      <c r="E34" s="72" t="n">
        <f aca="false">IFERROR(INDEX(_RANK!$C$2:$C$28,MATCH(LARGE(_RANK!$E$2:$E$28,7),_RANK!$E$2:$E$28,0)),0)</f>
        <v>8711.83</v>
      </c>
      <c r="F34" s="73" t="n">
        <f aca="false">IFERROR(INDEX(_RANK!$D$2:$D$28,MATCH(LARGE(_RANK!$E$2:$E$28,7),_RANK!$E$2:$E$28,0)),0)</f>
        <v>200</v>
      </c>
      <c r="G34" s="72" t="n">
        <f aca="false">LARGE(_RANK!$E$2:$E$28,7)</f>
        <v>8911.83</v>
      </c>
      <c r="H34" s="74" t="str">
        <f aca="false">IFERROR(INDEX(_RANK!$F$2:$F$28,MATCH(LARGE(_RANK!$E$2:$E$28,7),_RANK!$E$2:$E$28,0)),"")</f>
        <v>RS</v>
      </c>
      <c r="I34" s="75" t="n">
        <f aca="false">IFERROR(INDEX(_RANK!$G$2:$G$28,MATCH(LARGE(_RANK!$E$2:$E$28,7),_RANK!$E$2:$E$28,0)),0)</f>
        <v>2473.7</v>
      </c>
      <c r="J34" s="72" t="n">
        <f aca="false">IFERROR(INDEX(_RANK!$H$2:$H$28,MATCH(LARGE(_RANK!$E$2:$E$28,7),_RANK!$E$2:$E$28,0)),0)</f>
        <v>6438.13</v>
      </c>
      <c r="K34" s="76" t="n">
        <f aca="false">IFERROR(INDEX(_RANK!$I$2:$I$28,MATCH(LARGE(_RANK!$E$2:$E$28,7),_RANK!$E$2:$E$28,0)),0)</f>
        <v>0.722425136027056</v>
      </c>
      <c r="L34" s="72" t="n">
        <f aca="false">IFERROR(INDEX(_RANK!$J$2:$J$28,MATCH(LARGE(_RANK!$E$2:$E$28,7),_RANK!$E$2:$E$28,0)),0)</f>
        <v>4506.691</v>
      </c>
      <c r="M34" s="70" t="s">
        <v>58</v>
      </c>
    </row>
    <row r="35" customFormat="false" ht="18" hidden="false" customHeight="true" outlineLevel="0" collapsed="false">
      <c r="B35" s="69" t="n">
        <v>8</v>
      </c>
      <c r="C35" s="70" t="str">
        <f aca="false">IFERROR(INDEX(_RANK!$A$2:$A$28,MATCH(LARGE(_RANK!$E$2:$E$28,8),_RANK!$E$2:$E$28,0)),"")</f>
        <v>MA</v>
      </c>
      <c r="D35" s="71" t="str">
        <f aca="false">IFERROR(INDEX(_RANK!$B$2:$B$28,MATCH(LARGE(_RANK!$E$2:$E$28,8),_RANK!$E$2:$E$28,0)),"")</f>
        <v>Maranhão</v>
      </c>
      <c r="E35" s="72" t="n">
        <f aca="false">IFERROR(INDEX(_RANK!$C$2:$C$28,MATCH(LARGE(_RANK!$E$2:$E$28,8),_RANK!$E$2:$E$28,0)),0)</f>
        <v>8388.96</v>
      </c>
      <c r="F35" s="73" t="n">
        <f aca="false">IFERROR(INDEX(_RANK!$D$2:$D$28,MATCH(LARGE(_RANK!$E$2:$E$28,8),_RANK!$E$2:$E$28,0)),0)</f>
        <v>200</v>
      </c>
      <c r="G35" s="72" t="n">
        <f aca="false">LARGE(_RANK!$E$2:$E$28,8)</f>
        <v>8588.96</v>
      </c>
      <c r="H35" s="74" t="str">
        <f aca="false">IFERROR(INDEX(_RANK!$F$2:$F$28,MATCH(LARGE(_RANK!$E$2:$E$28,8),_RANK!$E$2:$E$28,0)),"")</f>
        <v>RS</v>
      </c>
      <c r="I35" s="75" t="n">
        <f aca="false">IFERROR(INDEX(_RANK!$G$2:$G$28,MATCH(LARGE(_RANK!$E$2:$E$28,8),_RANK!$E$2:$E$28,0)),0)</f>
        <v>2473.7</v>
      </c>
      <c r="J35" s="72" t="n">
        <f aca="false">IFERROR(INDEX(_RANK!$H$2:$H$28,MATCH(LARGE(_RANK!$E$2:$E$28,8),_RANK!$E$2:$E$28,0)),0)</f>
        <v>6115.26</v>
      </c>
      <c r="K35" s="76" t="n">
        <f aca="false">IFERROR(INDEX(_RANK!$I$2:$I$28,MATCH(LARGE(_RANK!$E$2:$E$28,8),_RANK!$E$2:$E$28,0)),0)</f>
        <v>0.711990741603174</v>
      </c>
      <c r="L35" s="72" t="n">
        <f aca="false">IFERROR(INDEX(_RANK!$J$2:$J$28,MATCH(LARGE(_RANK!$E$2:$E$28,8),_RANK!$E$2:$E$28,0)),0)</f>
        <v>4280.682</v>
      </c>
      <c r="M35" s="70" t="s">
        <v>58</v>
      </c>
    </row>
    <row r="36" customFormat="false" ht="18" hidden="false" customHeight="true" outlineLevel="0" collapsed="false">
      <c r="B36" s="69" t="n">
        <v>9</v>
      </c>
      <c r="C36" s="70" t="str">
        <f aca="false">IFERROR(INDEX(_RANK!$A$2:$A$28,MATCH(LARGE(_RANK!$E$2:$E$28,9),_RANK!$E$2:$E$28,0)),"")</f>
        <v>MS</v>
      </c>
      <c r="D36" s="71" t="str">
        <f aca="false">IFERROR(INDEX(_RANK!$B$2:$B$28,MATCH(LARGE(_RANK!$E$2:$E$28,9),_RANK!$E$2:$E$28,0)),"")</f>
        <v>Mato Grosso do Sul</v>
      </c>
      <c r="E36" s="72" t="n">
        <f aca="false">IFERROR(INDEX(_RANK!$C$2:$C$28,MATCH(LARGE(_RANK!$E$2:$E$28,9),_RANK!$E$2:$E$28,0)),0)</f>
        <v>8219.16</v>
      </c>
      <c r="F36" s="73" t="n">
        <f aca="false">IFERROR(INDEX(_RANK!$D$2:$D$28,MATCH(LARGE(_RANK!$E$2:$E$28,9),_RANK!$E$2:$E$28,0)),0)</f>
        <v>200</v>
      </c>
      <c r="G36" s="72" t="n">
        <f aca="false">LARGE(_RANK!$E$2:$E$28,9)</f>
        <v>8419.16</v>
      </c>
      <c r="H36" s="74" t="str">
        <f aca="false">IFERROR(INDEX(_RANK!$F$2:$F$28,MATCH(LARGE(_RANK!$E$2:$E$28,9),_RANK!$E$2:$E$28,0)),"")</f>
        <v>RS</v>
      </c>
      <c r="I36" s="75" t="n">
        <f aca="false">IFERROR(INDEX(_RANK!$G$2:$G$28,MATCH(LARGE(_RANK!$E$2:$E$28,9),_RANK!$E$2:$E$28,0)),0)</f>
        <v>2473.7</v>
      </c>
      <c r="J36" s="72" t="n">
        <f aca="false">IFERROR(INDEX(_RANK!$H$2:$H$28,MATCH(LARGE(_RANK!$E$2:$E$28,9),_RANK!$E$2:$E$28,0)),0)</f>
        <v>5945.46</v>
      </c>
      <c r="K36" s="76" t="n">
        <f aca="false">IFERROR(INDEX(_RANK!$I$2:$I$28,MATCH(LARGE(_RANK!$E$2:$E$28,9),_RANK!$E$2:$E$28,0)),0)</f>
        <v>0.706182089424598</v>
      </c>
      <c r="L36" s="72" t="n">
        <f aca="false">IFERROR(INDEX(_RANK!$J$2:$J$28,MATCH(LARGE(_RANK!$E$2:$E$28,9),_RANK!$E$2:$E$28,0)),0)</f>
        <v>4161.822</v>
      </c>
      <c r="M36" s="70" t="s">
        <v>58</v>
      </c>
    </row>
    <row r="37" customFormat="false" ht="18" hidden="false" customHeight="true" outlineLevel="0" collapsed="false">
      <c r="B37" s="69" t="n">
        <v>10</v>
      </c>
      <c r="C37" s="70" t="str">
        <f aca="false">IFERROR(INDEX(_RANK!$A$2:$A$28,MATCH(LARGE(_RANK!$E$2:$E$28,10),_RANK!$E$2:$E$28,0)),"")</f>
        <v>GO</v>
      </c>
      <c r="D37" s="71" t="str">
        <f aca="false">IFERROR(INDEX(_RANK!$B$2:$B$28,MATCH(LARGE(_RANK!$E$2:$E$28,10),_RANK!$E$2:$E$28,0)),"")</f>
        <v>Goiás</v>
      </c>
      <c r="E37" s="72" t="n">
        <f aca="false">IFERROR(INDEX(_RANK!$C$2:$C$28,MATCH(LARGE(_RANK!$E$2:$E$28,10),_RANK!$E$2:$E$28,0)),0)</f>
        <v>7388.58</v>
      </c>
      <c r="F37" s="73" t="n">
        <f aca="false">IFERROR(INDEX(_RANK!$D$2:$D$28,MATCH(LARGE(_RANK!$E$2:$E$28,10),_RANK!$E$2:$E$28,0)),0)</f>
        <v>200</v>
      </c>
      <c r="G37" s="72" t="n">
        <f aca="false">LARGE(_RANK!$E$2:$E$28,10)</f>
        <v>7588.58</v>
      </c>
      <c r="H37" s="74" t="str">
        <f aca="false">IFERROR(INDEX(_RANK!$F$2:$F$28,MATCH(LARGE(_RANK!$E$2:$E$28,10),_RANK!$E$2:$E$28,0)),"")</f>
        <v>RS</v>
      </c>
      <c r="I37" s="75" t="n">
        <f aca="false">IFERROR(INDEX(_RANK!$G$2:$G$28,MATCH(LARGE(_RANK!$E$2:$E$28,10),_RANK!$E$2:$E$28,0)),0)</f>
        <v>2473.7</v>
      </c>
      <c r="J37" s="72" t="n">
        <f aca="false">IFERROR(INDEX(_RANK!$H$2:$H$28,MATCH(LARGE(_RANK!$E$2:$E$28,10),_RANK!$E$2:$E$28,0)),0)</f>
        <v>5114.88</v>
      </c>
      <c r="K37" s="76" t="n">
        <f aca="false">IFERROR(INDEX(_RANK!$I$2:$I$28,MATCH(LARGE(_RANK!$E$2:$E$28,10),_RANK!$E$2:$E$28,0)),0)</f>
        <v>0.674023335064004</v>
      </c>
      <c r="L37" s="72" t="n">
        <f aca="false">IFERROR(INDEX(_RANK!$J$2:$J$28,MATCH(LARGE(_RANK!$E$2:$E$28,10),_RANK!$E$2:$E$28,0)),0)</f>
        <v>3580.416</v>
      </c>
      <c r="M37" s="70" t="s">
        <v>58</v>
      </c>
    </row>
    <row r="38" customFormat="false" ht="18" hidden="false" customHeight="true" outlineLevel="0" collapsed="false">
      <c r="B38" s="77" t="n">
        <v>11</v>
      </c>
      <c r="C38" s="78" t="str">
        <f aca="false">IFERROR(INDEX(_RANK!$A$2:$A$28,MATCH(LARGE(_RANK!$E$2:$E$28,11),_RANK!$E$2:$E$28,0)),"")</f>
        <v>ES</v>
      </c>
      <c r="D38" s="79" t="str">
        <f aca="false">IFERROR(INDEX(_RANK!$B$2:$B$28,MATCH(LARGE(_RANK!$E$2:$E$28,11),_RANK!$E$2:$E$28,0)),"")</f>
        <v>Espírito Santo</v>
      </c>
      <c r="E38" s="80" t="n">
        <f aca="false">IFERROR(INDEX(_RANK!$C$2:$C$28,MATCH(LARGE(_RANK!$E$2:$E$28,11),_RANK!$E$2:$E$28,0)),0)</f>
        <v>7254.52</v>
      </c>
      <c r="F38" s="81" t="n">
        <f aca="false">IFERROR(INDEX(_RANK!$D$2:$D$28,MATCH(LARGE(_RANK!$E$2:$E$28,11),_RANK!$E$2:$E$28,0)),0)</f>
        <v>180</v>
      </c>
      <c r="G38" s="80" t="n">
        <f aca="false">LARGE(_RANK!$E$2:$E$28,11)</f>
        <v>7434.52</v>
      </c>
      <c r="H38" s="82" t="str">
        <f aca="false">IFERROR(INDEX(_RANK!$F$2:$F$28,MATCH(LARGE(_RANK!$E$2:$E$28,11),_RANK!$E$2:$E$28,0)),"")</f>
        <v>RS</v>
      </c>
      <c r="I38" s="83" t="n">
        <f aca="false">IFERROR(INDEX(_RANK!$G$2:$G$28,MATCH(LARGE(_RANK!$E$2:$E$28,11),_RANK!$E$2:$E$28,0)),0)</f>
        <v>2473.7</v>
      </c>
      <c r="J38" s="80" t="n">
        <f aca="false">IFERROR(INDEX(_RANK!$H$2:$H$28,MATCH(LARGE(_RANK!$E$2:$E$28,11),_RANK!$E$2:$E$28,0)),0)</f>
        <v>4960.82</v>
      </c>
      <c r="K38" s="84" t="n">
        <f aca="false">IFERROR(INDEX(_RANK!$I$2:$I$28,MATCH(LARGE(_RANK!$E$2:$E$28,11),_RANK!$E$2:$E$28,0)),0)</f>
        <v>0.667268364332869</v>
      </c>
      <c r="L38" s="80" t="n">
        <f aca="false">IFERROR(INDEX(_RANK!$J$2:$J$28,MATCH(LARGE(_RANK!$E$2:$E$28,11),_RANK!$E$2:$E$28,0)),0)</f>
        <v>3472.574</v>
      </c>
      <c r="M38" s="78" t="s">
        <v>59</v>
      </c>
    </row>
    <row r="39" customFormat="false" ht="18" hidden="false" customHeight="true" outlineLevel="0" collapsed="false">
      <c r="B39" s="77" t="n">
        <v>12</v>
      </c>
      <c r="C39" s="78" t="str">
        <f aca="false">IFERROR(INDEX(_RANK!$A$2:$A$28,MATCH(LARGE(_RANK!$E$2:$E$28,12),_RANK!$E$2:$E$28,0)),"")</f>
        <v>PE</v>
      </c>
      <c r="D39" s="79" t="str">
        <f aca="false">IFERROR(INDEX(_RANK!$B$2:$B$28,MATCH(LARGE(_RANK!$E$2:$E$28,12),_RANK!$E$2:$E$28,0)),"")</f>
        <v>Pernambuco</v>
      </c>
      <c r="E39" s="80" t="n">
        <f aca="false">IFERROR(INDEX(_RANK!$C$2:$C$28,MATCH(LARGE(_RANK!$E$2:$E$28,12),_RANK!$E$2:$E$28,0)),0)</f>
        <v>7084.1</v>
      </c>
      <c r="F39" s="81" t="n">
        <f aca="false">IFERROR(INDEX(_RANK!$D$2:$D$28,MATCH(LARGE(_RANK!$E$2:$E$28,12),_RANK!$E$2:$E$28,0)),0)</f>
        <v>237.84</v>
      </c>
      <c r="G39" s="80" t="n">
        <f aca="false">LARGE(_RANK!$E$2:$E$28,12)</f>
        <v>7321.94</v>
      </c>
      <c r="H39" s="82" t="str">
        <f aca="false">IFERROR(INDEX(_RANK!$F$2:$F$28,MATCH(LARGE(_RANK!$E$2:$E$28,12),_RANK!$E$2:$E$28,0)),"")</f>
        <v>RS</v>
      </c>
      <c r="I39" s="83" t="n">
        <f aca="false">IFERROR(INDEX(_RANK!$G$2:$G$28,MATCH(LARGE(_RANK!$E$2:$E$28,12),_RANK!$E$2:$E$28,0)),0)</f>
        <v>2473.7</v>
      </c>
      <c r="J39" s="80" t="n">
        <f aca="false">IFERROR(INDEX(_RANK!$H$2:$H$28,MATCH(LARGE(_RANK!$E$2:$E$28,12),_RANK!$E$2:$E$28,0)),0)</f>
        <v>4848.24</v>
      </c>
      <c r="K39" s="84" t="n">
        <f aca="false">IFERROR(INDEX(_RANK!$I$2:$I$28,MATCH(LARGE(_RANK!$E$2:$E$28,12),_RANK!$E$2:$E$28,0)),0)</f>
        <v>0.662152380380063</v>
      </c>
      <c r="L39" s="80" t="n">
        <f aca="false">IFERROR(INDEX(_RANK!$J$2:$J$28,MATCH(LARGE(_RANK!$E$2:$E$28,12),_RANK!$E$2:$E$28,0)),0)</f>
        <v>3393.768</v>
      </c>
      <c r="M39" s="78" t="s">
        <v>59</v>
      </c>
    </row>
    <row r="40" customFormat="false" ht="18" hidden="false" customHeight="true" outlineLevel="0" collapsed="false">
      <c r="B40" s="77" t="n">
        <v>13</v>
      </c>
      <c r="C40" s="78" t="str">
        <f aca="false">IFERROR(INDEX(_RANK!$A$2:$A$28,MATCH(LARGE(_RANK!$E$2:$E$28,13),_RANK!$E$2:$E$28,0)),"")</f>
        <v>MT</v>
      </c>
      <c r="D40" s="79" t="str">
        <f aca="false">IFERROR(INDEX(_RANK!$B$2:$B$28,MATCH(LARGE(_RANK!$E$2:$E$28,13),_RANK!$E$2:$E$28,0)),"")</f>
        <v>Mato Grosso</v>
      </c>
      <c r="E40" s="80" t="n">
        <f aca="false">IFERROR(INDEX(_RANK!$C$2:$C$28,MATCH(LARGE(_RANK!$E$2:$E$28,13),_RANK!$E$2:$E$28,0)),0)</f>
        <v>6948.45</v>
      </c>
      <c r="F40" s="81" t="n">
        <f aca="false">IFERROR(INDEX(_RANK!$D$2:$D$28,MATCH(LARGE(_RANK!$E$2:$E$28,13),_RANK!$E$2:$E$28,0)),0)</f>
        <v>300</v>
      </c>
      <c r="G40" s="80" t="n">
        <f aca="false">LARGE(_RANK!$E$2:$E$28,13)</f>
        <v>7248.45</v>
      </c>
      <c r="H40" s="82" t="str">
        <f aca="false">IFERROR(INDEX(_RANK!$F$2:$F$28,MATCH(LARGE(_RANK!$E$2:$E$28,13),_RANK!$E$2:$E$28,0)),"")</f>
        <v>RS</v>
      </c>
      <c r="I40" s="83" t="n">
        <f aca="false">IFERROR(INDEX(_RANK!$G$2:$G$28,MATCH(LARGE(_RANK!$E$2:$E$28,13),_RANK!$E$2:$E$28,0)),0)</f>
        <v>2473.7</v>
      </c>
      <c r="J40" s="80" t="n">
        <f aca="false">IFERROR(INDEX(_RANK!$H$2:$H$28,MATCH(LARGE(_RANK!$E$2:$E$28,13),_RANK!$E$2:$E$28,0)),0)</f>
        <v>4774.75</v>
      </c>
      <c r="K40" s="84" t="n">
        <f aca="false">IFERROR(INDEX(_RANK!$I$2:$I$28,MATCH(LARGE(_RANK!$E$2:$E$28,13),_RANK!$E$2:$E$28,0)),0)</f>
        <v>0.658727038194373</v>
      </c>
      <c r="L40" s="80" t="n">
        <f aca="false">IFERROR(INDEX(_RANK!$J$2:$J$28,MATCH(LARGE(_RANK!$E$2:$E$28,13),_RANK!$E$2:$E$28,0)),0)</f>
        <v>3342.325</v>
      </c>
      <c r="M40" s="78" t="s">
        <v>59</v>
      </c>
    </row>
    <row r="41" customFormat="false" ht="18" hidden="false" customHeight="true" outlineLevel="0" collapsed="false">
      <c r="B41" s="77" t="n">
        <v>14</v>
      </c>
      <c r="C41" s="78" t="str">
        <f aca="false">IFERROR(INDEX(_RANK!$A$2:$A$28,MATCH(LARGE(_RANK!$E$2:$E$28,14),_RANK!$E$2:$E$28,0)),"")</f>
        <v>SP</v>
      </c>
      <c r="D41" s="79" t="str">
        <f aca="false">IFERROR(INDEX(_RANK!$B$2:$B$28,MATCH(LARGE(_RANK!$E$2:$E$28,14),_RANK!$E$2:$E$28,0)),"")</f>
        <v>São Paulo</v>
      </c>
      <c r="E41" s="80" t="n">
        <f aca="false">IFERROR(INDEX(_RANK!$C$2:$C$28,MATCH(LARGE(_RANK!$E$2:$E$28,14),_RANK!$E$2:$E$28,0)),0)</f>
        <v>6942.82</v>
      </c>
      <c r="F41" s="81" t="n">
        <f aca="false">IFERROR(INDEX(_RANK!$D$2:$D$28,MATCH(LARGE(_RANK!$E$2:$E$28,14),_RANK!$E$2:$E$28,0)),0)</f>
        <v>200</v>
      </c>
      <c r="G41" s="80" t="n">
        <f aca="false">LARGE(_RANK!$E$2:$E$28,14)</f>
        <v>7142.82</v>
      </c>
      <c r="H41" s="82" t="str">
        <f aca="false">IFERROR(INDEX(_RANK!$F$2:$F$28,MATCH(LARGE(_RANK!$E$2:$E$28,14),_RANK!$E$2:$E$28,0)),"")</f>
        <v>RS</v>
      </c>
      <c r="I41" s="83" t="n">
        <f aca="false">IFERROR(INDEX(_RANK!$G$2:$G$28,MATCH(LARGE(_RANK!$E$2:$E$28,14),_RANK!$E$2:$E$28,0)),0)</f>
        <v>2473.7</v>
      </c>
      <c r="J41" s="80" t="n">
        <f aca="false">IFERROR(INDEX(_RANK!$H$2:$H$28,MATCH(LARGE(_RANK!$E$2:$E$28,14),_RANK!$E$2:$E$28,0)),0)</f>
        <v>4669.12</v>
      </c>
      <c r="K41" s="84" t="n">
        <f aca="false">IFERROR(INDEX(_RANK!$I$2:$I$28,MATCH(LARGE(_RANK!$E$2:$E$28,14),_RANK!$E$2:$E$28,0)),0)</f>
        <v>0.653680199137036</v>
      </c>
      <c r="L41" s="80" t="n">
        <f aca="false">IFERROR(INDEX(_RANK!$J$2:$J$28,MATCH(LARGE(_RANK!$E$2:$E$28,14),_RANK!$E$2:$E$28,0)),0)</f>
        <v>3268.384</v>
      </c>
      <c r="M41" s="78" t="s">
        <v>59</v>
      </c>
    </row>
    <row r="42" customFormat="false" ht="18" hidden="false" customHeight="true" outlineLevel="0" collapsed="false">
      <c r="B42" s="77" t="n">
        <v>15</v>
      </c>
      <c r="C42" s="78" t="str">
        <f aca="false">IFERROR(INDEX(_RANK!$A$2:$A$28,MATCH(LARGE(_RANK!$E$2:$E$28,15),_RANK!$E$2:$E$28,0)),"")</f>
        <v>PI</v>
      </c>
      <c r="D42" s="79" t="str">
        <f aca="false">IFERROR(INDEX(_RANK!$B$2:$B$28,MATCH(LARGE(_RANK!$E$2:$E$28,15),_RANK!$E$2:$E$28,0)),"")</f>
        <v>Piauí</v>
      </c>
      <c r="E42" s="80" t="n">
        <f aca="false">IFERROR(INDEX(_RANK!$C$2:$C$28,MATCH(LARGE(_RANK!$E$2:$E$28,15),_RANK!$E$2:$E$28,0)),0)</f>
        <v>6360.31</v>
      </c>
      <c r="F42" s="81" t="n">
        <f aca="false">IFERROR(INDEX(_RANK!$D$2:$D$28,MATCH(LARGE(_RANK!$E$2:$E$28,15),_RANK!$E$2:$E$28,0)),0)</f>
        <v>200</v>
      </c>
      <c r="G42" s="80" t="n">
        <f aca="false">LARGE(_RANK!$E$2:$E$28,15)</f>
        <v>6560.31</v>
      </c>
      <c r="H42" s="82" t="str">
        <f aca="false">IFERROR(INDEX(_RANK!$F$2:$F$28,MATCH(LARGE(_RANK!$E$2:$E$28,15),_RANK!$E$2:$E$28,0)),"")</f>
        <v>RS</v>
      </c>
      <c r="I42" s="83" t="n">
        <f aca="false">IFERROR(INDEX(_RANK!$G$2:$G$28,MATCH(LARGE(_RANK!$E$2:$E$28,15),_RANK!$E$2:$E$28,0)),0)</f>
        <v>2473.7</v>
      </c>
      <c r="J42" s="80" t="n">
        <f aca="false">IFERROR(INDEX(_RANK!$H$2:$H$28,MATCH(LARGE(_RANK!$E$2:$E$28,15),_RANK!$E$2:$E$28,0)),0)</f>
        <v>4086.61</v>
      </c>
      <c r="K42" s="84" t="n">
        <f aca="false">IFERROR(INDEX(_RANK!$I$2:$I$28,MATCH(LARGE(_RANK!$E$2:$E$28,15),_RANK!$E$2:$E$28,0)),0)</f>
        <v>0.622929404250714</v>
      </c>
      <c r="L42" s="80" t="n">
        <f aca="false">IFERROR(INDEX(_RANK!$J$2:$J$28,MATCH(LARGE(_RANK!$E$2:$E$28,15),_RANK!$E$2:$E$28,0)),0)</f>
        <v>2860.627</v>
      </c>
      <c r="M42" s="78" t="s">
        <v>59</v>
      </c>
    </row>
    <row r="43" customFormat="false" ht="18" hidden="false" customHeight="true" outlineLevel="0" collapsed="false">
      <c r="B43" s="85" t="n">
        <v>16</v>
      </c>
      <c r="C43" s="86" t="str">
        <f aca="false">IFERROR(INDEX(_RANK!$A$2:$A$28,MATCH(LARGE(_RANK!$E$2:$E$28,16),_RANK!$E$2:$E$28,0)),"")</f>
        <v>MG</v>
      </c>
      <c r="D43" s="87" t="str">
        <f aca="false">IFERROR(INDEX(_RANK!$B$2:$B$28,MATCH(LARGE(_RANK!$E$2:$E$28,16),_RANK!$E$2:$E$28,0)),"")</f>
        <v>Minas Gerais</v>
      </c>
      <c r="E43" s="88" t="n">
        <f aca="false">IFERROR(INDEX(_RANK!$C$2:$C$28,MATCH(LARGE(_RANK!$E$2:$E$28,16),_RANK!$E$2:$E$28,0)),0)</f>
        <v>5523.14</v>
      </c>
      <c r="F43" s="89" t="n">
        <f aca="false">IFERROR(INDEX(_RANK!$D$2:$D$28,MATCH(LARGE(_RANK!$E$2:$E$28,16),_RANK!$E$2:$E$28,0)),0)</f>
        <v>68.94</v>
      </c>
      <c r="G43" s="88" t="n">
        <f aca="false">LARGE(_RANK!$E$2:$E$28,16)</f>
        <v>5592.08</v>
      </c>
      <c r="H43" s="90" t="str">
        <f aca="false">IFERROR(INDEX(_RANK!$F$2:$F$28,MATCH(LARGE(_RANK!$E$2:$E$28,16),_RANK!$E$2:$E$28,0)),"")</f>
        <v>RS</v>
      </c>
      <c r="I43" s="91" t="n">
        <f aca="false">IFERROR(INDEX(_RANK!$G$2:$G$28,MATCH(LARGE(_RANK!$E$2:$E$28,16),_RANK!$E$2:$E$28,0)),0)</f>
        <v>2473.7</v>
      </c>
      <c r="J43" s="88" t="n">
        <f aca="false">IFERROR(INDEX(_RANK!$H$2:$H$28,MATCH(LARGE(_RANK!$E$2:$E$28,16),_RANK!$E$2:$E$28,0)),0)</f>
        <v>3118.38</v>
      </c>
      <c r="K43" s="92" t="n">
        <f aca="false">IFERROR(INDEX(_RANK!$I$2:$I$28,MATCH(LARGE(_RANK!$E$2:$E$28,16),_RANK!$E$2:$E$28,0)),0)</f>
        <v>0.55764223687787</v>
      </c>
      <c r="L43" s="88" t="n">
        <f aca="false">IFERROR(INDEX(_RANK!$J$2:$J$28,MATCH(LARGE(_RANK!$E$2:$E$28,16),_RANK!$E$2:$E$28,0)),0)</f>
        <v>2182.866</v>
      </c>
      <c r="M43" s="86" t="s">
        <v>60</v>
      </c>
    </row>
    <row r="44" customFormat="false" ht="18" hidden="false" customHeight="true" outlineLevel="0" collapsed="false">
      <c r="B44" s="93" t="n">
        <v>17</v>
      </c>
      <c r="C44" s="94" t="str">
        <f aca="false">IFERROR(INDEX(_RANK!$A$2:$A$28,MATCH(LARGE(_RANK!$E$2:$E$28,17),_RANK!$E$2:$E$28,0)),"")</f>
        <v>SE</v>
      </c>
      <c r="D44" s="95" t="str">
        <f aca="false">IFERROR(INDEX(_RANK!$B$2:$B$28,MATCH(LARGE(_RANK!$E$2:$E$28,17),_RANK!$E$2:$E$28,0)),"")</f>
        <v>Sergipe</v>
      </c>
      <c r="E44" s="96" t="n">
        <f aca="false">IFERROR(INDEX(_RANK!$C$2:$C$28,MATCH(LARGE(_RANK!$E$2:$E$28,17),_RANK!$E$2:$E$28,0)),0)</f>
        <v>5179.16</v>
      </c>
      <c r="F44" s="97" t="n">
        <f aca="false">IFERROR(INDEX(_RANK!$D$2:$D$28,MATCH(LARGE(_RANK!$E$2:$E$28,17),_RANK!$E$2:$E$28,0)),0)</f>
        <v>200</v>
      </c>
      <c r="G44" s="96" t="n">
        <f aca="false">LARGE(_RANK!$E$2:$E$28,17)</f>
        <v>5379.16</v>
      </c>
      <c r="H44" s="98" t="str">
        <f aca="false">IFERROR(INDEX(_RANK!$F$2:$F$28,MATCH(LARGE(_RANK!$E$2:$E$28,17),_RANK!$E$2:$E$28,0)),"")</f>
        <v>RS</v>
      </c>
      <c r="I44" s="99" t="n">
        <f aca="false">IFERROR(INDEX(_RANK!$G$2:$G$28,MATCH(LARGE(_RANK!$E$2:$E$28,17),_RANK!$E$2:$E$28,0)),0)</f>
        <v>2473.7</v>
      </c>
      <c r="J44" s="96" t="n">
        <f aca="false">IFERROR(INDEX(_RANK!$H$2:$H$28,MATCH(LARGE(_RANK!$E$2:$E$28,17),_RANK!$E$2:$E$28,0)),0)</f>
        <v>2905.46</v>
      </c>
      <c r="K44" s="100" t="n">
        <f aca="false">IFERROR(INDEX(_RANK!$I$2:$I$28,MATCH(LARGE(_RANK!$E$2:$E$28,17),_RANK!$E$2:$E$28,0)),0)</f>
        <v>0.540132660117937</v>
      </c>
      <c r="L44" s="96" t="n">
        <f aca="false">IFERROR(INDEX(_RANK!$J$2:$J$28,MATCH(LARGE(_RANK!$E$2:$E$28,17),_RANK!$E$2:$E$28,0)),0)</f>
        <v>2033.822</v>
      </c>
      <c r="M44" s="94" t="s">
        <v>60</v>
      </c>
    </row>
    <row r="45" customFormat="false" ht="18" hidden="false" customHeight="true" outlineLevel="0" collapsed="false">
      <c r="B45" s="85" t="n">
        <v>18</v>
      </c>
      <c r="C45" s="86" t="str">
        <f aca="false">IFERROR(INDEX(_RANK!$A$2:$A$28,MATCH(LARGE(_RANK!$E$2:$E$28,18),_RANK!$E$2:$E$28,0)),"")</f>
        <v>TO</v>
      </c>
      <c r="D45" s="87" t="str">
        <f aca="false">IFERROR(INDEX(_RANK!$B$2:$B$28,MATCH(LARGE(_RANK!$E$2:$E$28,18),_RANK!$E$2:$E$28,0)),"")</f>
        <v>Tocantins</v>
      </c>
      <c r="E45" s="88" t="n">
        <f aca="false">IFERROR(INDEX(_RANK!$C$2:$C$28,MATCH(LARGE(_RANK!$E$2:$E$28,18),_RANK!$E$2:$E$28,0)),0)</f>
        <v>5075.36</v>
      </c>
      <c r="F45" s="89" t="n">
        <f aca="false">IFERROR(INDEX(_RANK!$D$2:$D$28,MATCH(LARGE(_RANK!$E$2:$E$28,18),_RANK!$E$2:$E$28,0)),0)</f>
        <v>200</v>
      </c>
      <c r="G45" s="88" t="n">
        <f aca="false">LARGE(_RANK!$E$2:$E$28,18)</f>
        <v>5275.36</v>
      </c>
      <c r="H45" s="90" t="str">
        <f aca="false">IFERROR(INDEX(_RANK!$F$2:$F$28,MATCH(LARGE(_RANK!$E$2:$E$28,18),_RANK!$E$2:$E$28,0)),"")</f>
        <v>RS</v>
      </c>
      <c r="I45" s="91" t="n">
        <f aca="false">IFERROR(INDEX(_RANK!$G$2:$G$28,MATCH(LARGE(_RANK!$E$2:$E$28,18),_RANK!$E$2:$E$28,0)),0)</f>
        <v>2473.7</v>
      </c>
      <c r="J45" s="88" t="n">
        <f aca="false">IFERROR(INDEX(_RANK!$H$2:$H$28,MATCH(LARGE(_RANK!$E$2:$E$28,18),_RANK!$E$2:$E$28,0)),0)</f>
        <v>2801.66</v>
      </c>
      <c r="K45" s="92" t="n">
        <f aca="false">IFERROR(INDEX(_RANK!$I$2:$I$28,MATCH(LARGE(_RANK!$E$2:$E$28,18),_RANK!$E$2:$E$28,0)),0)</f>
        <v>0.531084134542477</v>
      </c>
      <c r="L45" s="88" t="n">
        <f aca="false">IFERROR(INDEX(_RANK!$J$2:$J$28,MATCH(LARGE(_RANK!$E$2:$E$28,18),_RANK!$E$2:$E$28,0)),0)</f>
        <v>1961.162</v>
      </c>
      <c r="M45" s="86" t="s">
        <v>60</v>
      </c>
    </row>
    <row r="46" customFormat="false" ht="18" hidden="false" customHeight="true" outlineLevel="0" collapsed="false">
      <c r="B46" s="93" t="n">
        <v>19</v>
      </c>
      <c r="C46" s="94" t="str">
        <f aca="false">IFERROR(INDEX(_RANK!$A$2:$A$28,MATCH(LARGE(_RANK!$E$2:$E$28,19),_RANK!$E$2:$E$28,0)),"")</f>
        <v>PR</v>
      </c>
      <c r="D46" s="95" t="str">
        <f aca="false">IFERROR(INDEX(_RANK!$B$2:$B$28,MATCH(LARGE(_RANK!$E$2:$E$28,19),_RANK!$E$2:$E$28,0)),"")</f>
        <v>Paraná</v>
      </c>
      <c r="E46" s="96" t="n">
        <f aca="false">IFERROR(INDEX(_RANK!$C$2:$C$28,MATCH(LARGE(_RANK!$E$2:$E$28,19),_RANK!$E$2:$E$28,0)),0)</f>
        <v>4460.8</v>
      </c>
      <c r="F46" s="97" t="n">
        <f aca="false">IFERROR(INDEX(_RANK!$D$2:$D$28,MATCH(LARGE(_RANK!$E$2:$E$28,19),_RANK!$E$2:$E$28,0)),0)</f>
        <v>200</v>
      </c>
      <c r="G46" s="96" t="n">
        <f aca="false">LARGE(_RANK!$E$2:$E$28,19)</f>
        <v>4660.8</v>
      </c>
      <c r="H46" s="98" t="str">
        <f aca="false">IFERROR(INDEX(_RANK!$F$2:$F$28,MATCH(LARGE(_RANK!$E$2:$E$28,19),_RANK!$E$2:$E$28,0)),"")</f>
        <v>RS</v>
      </c>
      <c r="I46" s="99" t="n">
        <f aca="false">IFERROR(INDEX(_RANK!$G$2:$G$28,MATCH(LARGE(_RANK!$E$2:$E$28,19),_RANK!$E$2:$E$28,0)),0)</f>
        <v>2473.7</v>
      </c>
      <c r="J46" s="96" t="n">
        <f aca="false">IFERROR(INDEX(_RANK!$H$2:$H$28,MATCH(LARGE(_RANK!$E$2:$E$28,19),_RANK!$E$2:$E$28,0)),0)</f>
        <v>2187.1</v>
      </c>
      <c r="K46" s="100" t="n">
        <f aca="false">IFERROR(INDEX(_RANK!$I$2:$I$28,MATCH(LARGE(_RANK!$E$2:$E$28,19),_RANK!$E$2:$E$28,0)),0)</f>
        <v>0.469254205286646</v>
      </c>
      <c r="L46" s="96" t="n">
        <f aca="false">IFERROR(INDEX(_RANK!$J$2:$J$28,MATCH(LARGE(_RANK!$E$2:$E$28,19),_RANK!$E$2:$E$28,0)),0)</f>
        <v>1530.97</v>
      </c>
      <c r="M46" s="94" t="s">
        <v>60</v>
      </c>
    </row>
    <row r="47" customFormat="false" ht="18" hidden="false" customHeight="true" outlineLevel="0" collapsed="false">
      <c r="B47" s="85" t="n">
        <v>20</v>
      </c>
      <c r="C47" s="86" t="str">
        <f aca="false">IFERROR(INDEX(_RANK!$A$2:$A$28,MATCH(LARGE(_RANK!$E$2:$E$28,20),_RANK!$E$2:$E$28,0)),"")</f>
        <v>RR</v>
      </c>
      <c r="D47" s="87" t="str">
        <f aca="false">IFERROR(INDEX(_RANK!$B$2:$B$28,MATCH(LARGE(_RANK!$E$2:$E$28,20),_RANK!$E$2:$E$28,0)),"")</f>
        <v>Roraima</v>
      </c>
      <c r="E47" s="88" t="n">
        <f aca="false">IFERROR(INDEX(_RANK!$C$2:$C$28,MATCH(LARGE(_RANK!$E$2:$E$28,20),_RANK!$E$2:$E$28,0)),0)</f>
        <v>4213.03</v>
      </c>
      <c r="F47" s="89" t="n">
        <f aca="false">IFERROR(INDEX(_RANK!$D$2:$D$28,MATCH(LARGE(_RANK!$E$2:$E$28,20),_RANK!$E$2:$E$28,0)),0)</f>
        <v>200</v>
      </c>
      <c r="G47" s="88" t="n">
        <f aca="false">LARGE(_RANK!$E$2:$E$28,20)</f>
        <v>4413.03</v>
      </c>
      <c r="H47" s="90" t="str">
        <f aca="false">IFERROR(INDEX(_RANK!$F$2:$F$28,MATCH(LARGE(_RANK!$E$2:$E$28,20),_RANK!$E$2:$E$28,0)),"")</f>
        <v>RS</v>
      </c>
      <c r="I47" s="91" t="n">
        <f aca="false">IFERROR(INDEX(_RANK!$G$2:$G$28,MATCH(LARGE(_RANK!$E$2:$E$28,20),_RANK!$E$2:$E$28,0)),0)</f>
        <v>2473.7</v>
      </c>
      <c r="J47" s="88" t="n">
        <f aca="false">IFERROR(INDEX(_RANK!$H$2:$H$28,MATCH(LARGE(_RANK!$E$2:$E$28,20),_RANK!$E$2:$E$28,0)),0)</f>
        <v>1939.33</v>
      </c>
      <c r="K47" s="92" t="n">
        <f aca="false">IFERROR(INDEX(_RANK!$I$2:$I$28,MATCH(LARGE(_RANK!$E$2:$E$28,20),_RANK!$E$2:$E$28,0)),0)</f>
        <v>0.439455430849099</v>
      </c>
      <c r="L47" s="88" t="n">
        <f aca="false">IFERROR(INDEX(_RANK!$J$2:$J$28,MATCH(LARGE(_RANK!$E$2:$E$28,20),_RANK!$E$2:$E$28,0)),0)</f>
        <v>1357.531</v>
      </c>
      <c r="M47" s="86" t="s">
        <v>60</v>
      </c>
    </row>
    <row r="48" customFormat="false" ht="18" hidden="false" customHeight="true" outlineLevel="0" collapsed="false">
      <c r="B48" s="93" t="n">
        <v>21</v>
      </c>
      <c r="C48" s="94" t="str">
        <f aca="false">IFERROR(INDEX(_RANK!$A$2:$A$28,MATCH(LARGE(_RANK!$E$2:$E$28,21),_RANK!$E$2:$E$28,0)),"")</f>
        <v>PA</v>
      </c>
      <c r="D48" s="95" t="str">
        <f aca="false">IFERROR(INDEX(_RANK!$B$2:$B$28,MATCH(LARGE(_RANK!$E$2:$E$28,21),_RANK!$E$2:$E$28,0)),"")</f>
        <v>Pará</v>
      </c>
      <c r="E48" s="96" t="n">
        <f aca="false">IFERROR(INDEX(_RANK!$C$2:$C$28,MATCH(LARGE(_RANK!$E$2:$E$28,21),_RANK!$E$2:$E$28,0)),0)</f>
        <v>4152.8</v>
      </c>
      <c r="F48" s="97" t="n">
        <f aca="false">IFERROR(INDEX(_RANK!$D$2:$D$28,MATCH(LARGE(_RANK!$E$2:$E$28,21),_RANK!$E$2:$E$28,0)),0)</f>
        <v>200</v>
      </c>
      <c r="G48" s="96" t="n">
        <f aca="false">LARGE(_RANK!$E$2:$E$28,21)</f>
        <v>4352.8</v>
      </c>
      <c r="H48" s="98" t="str">
        <f aca="false">IFERROR(INDEX(_RANK!$F$2:$F$28,MATCH(LARGE(_RANK!$E$2:$E$28,21),_RANK!$E$2:$E$28,0)),"")</f>
        <v>RS</v>
      </c>
      <c r="I48" s="99" t="n">
        <f aca="false">IFERROR(INDEX(_RANK!$G$2:$G$28,MATCH(LARGE(_RANK!$E$2:$E$28,21),_RANK!$E$2:$E$28,0)),0)</f>
        <v>2473.7</v>
      </c>
      <c r="J48" s="96" t="n">
        <f aca="false">IFERROR(INDEX(_RANK!$H$2:$H$28,MATCH(LARGE(_RANK!$E$2:$E$28,21),_RANK!$E$2:$E$28,0)),0)</f>
        <v>1879.1</v>
      </c>
      <c r="K48" s="100" t="n">
        <f aca="false">IFERROR(INDEX(_RANK!$I$2:$I$28,MATCH(LARGE(_RANK!$E$2:$E$28,21),_RANK!$E$2:$E$28,0)),0)</f>
        <v>0.431699136188201</v>
      </c>
      <c r="L48" s="96" t="n">
        <f aca="false">IFERROR(INDEX(_RANK!$J$2:$J$28,MATCH(LARGE(_RANK!$E$2:$E$28,21),_RANK!$E$2:$E$28,0)),0)</f>
        <v>1315.37</v>
      </c>
      <c r="M48" s="94" t="s">
        <v>60</v>
      </c>
    </row>
    <row r="49" customFormat="false" ht="18" hidden="false" customHeight="true" outlineLevel="0" collapsed="false">
      <c r="B49" s="85" t="n">
        <v>22</v>
      </c>
      <c r="C49" s="86" t="str">
        <f aca="false">IFERROR(INDEX(_RANK!$A$2:$A$28,MATCH(LARGE(_RANK!$E$2:$E$28,22),_RANK!$E$2:$E$28,0)),"")</f>
        <v>BA</v>
      </c>
      <c r="D49" s="87" t="str">
        <f aca="false">IFERROR(INDEX(_RANK!$B$2:$B$28,MATCH(LARGE(_RANK!$E$2:$E$28,22),_RANK!$E$2:$E$28,0)),"")</f>
        <v>Bahia</v>
      </c>
      <c r="E49" s="88" t="n">
        <f aca="false">IFERROR(INDEX(_RANK!$C$2:$C$28,MATCH(LARGE(_RANK!$E$2:$E$28,22),_RANK!$E$2:$E$28,0)),0)</f>
        <v>4067.28</v>
      </c>
      <c r="F49" s="89" t="n">
        <f aca="false">IFERROR(INDEX(_RANK!$D$2:$D$28,MATCH(LARGE(_RANK!$E$2:$E$28,22),_RANK!$E$2:$E$28,0)),0)</f>
        <v>118.58</v>
      </c>
      <c r="G49" s="88" t="n">
        <f aca="false">LARGE(_RANK!$E$2:$E$28,22)</f>
        <v>4185.86</v>
      </c>
      <c r="H49" s="90" t="str">
        <f aca="false">IFERROR(INDEX(_RANK!$F$2:$F$28,MATCH(LARGE(_RANK!$E$2:$E$28,22),_RANK!$E$2:$E$28,0)),"")</f>
        <v>RS</v>
      </c>
      <c r="I49" s="91" t="n">
        <f aca="false">IFERROR(INDEX(_RANK!$G$2:$G$28,MATCH(LARGE(_RANK!$E$2:$E$28,22),_RANK!$E$2:$E$28,0)),0)</f>
        <v>2473.7</v>
      </c>
      <c r="J49" s="88" t="n">
        <f aca="false">IFERROR(INDEX(_RANK!$H$2:$H$28,MATCH(LARGE(_RANK!$E$2:$E$28,22),_RANK!$E$2:$E$28,0)),0)</f>
        <v>1712.16</v>
      </c>
      <c r="K49" s="92" t="n">
        <f aca="false">IFERROR(INDEX(_RANK!$I$2:$I$28,MATCH(LARGE(_RANK!$E$2:$E$28,22),_RANK!$E$2:$E$28,0)),0)</f>
        <v>0.409034224747125</v>
      </c>
      <c r="L49" s="88" t="n">
        <f aca="false">IFERROR(INDEX(_RANK!$J$2:$J$28,MATCH(LARGE(_RANK!$E$2:$E$28,22),_RANK!$E$2:$E$28,0)),0)</f>
        <v>1198.512</v>
      </c>
      <c r="M49" s="86" t="s">
        <v>60</v>
      </c>
    </row>
    <row r="50" customFormat="false" ht="18" hidden="false" customHeight="true" outlineLevel="0" collapsed="false">
      <c r="B50" s="101" t="n">
        <v>23</v>
      </c>
      <c r="C50" s="102" t="str">
        <f aca="false">IFERROR(INDEX(_RANK!$A$2:$A$28,MATCH(LARGE(_RANK!$E$2:$E$28,23),_RANK!$E$2:$E$28,0)),"")</f>
        <v>CE</v>
      </c>
      <c r="D50" s="103" t="str">
        <f aca="false">IFERROR(INDEX(_RANK!$B$2:$B$28,MATCH(LARGE(_RANK!$E$2:$E$28,23),_RANK!$E$2:$E$28,0)),"")</f>
        <v>Ceará</v>
      </c>
      <c r="E50" s="104" t="n">
        <f aca="false">IFERROR(INDEX(_RANK!$C$2:$C$28,MATCH(LARGE(_RANK!$E$2:$E$28,23),_RANK!$E$2:$E$28,0)),0)</f>
        <v>3596.4</v>
      </c>
      <c r="F50" s="105" t="n">
        <f aca="false">IFERROR(INDEX(_RANK!$D$2:$D$28,MATCH(LARGE(_RANK!$E$2:$E$28,23),_RANK!$E$2:$E$28,0)),0)</f>
        <v>62.13</v>
      </c>
      <c r="G50" s="104" t="n">
        <f aca="false">LARGE(_RANK!$E$2:$E$28,23)</f>
        <v>3658.53</v>
      </c>
      <c r="H50" s="106" t="str">
        <f aca="false">IFERROR(INDEX(_RANK!$F$2:$F$28,MATCH(LARGE(_RANK!$E$2:$E$28,23),_RANK!$E$2:$E$28,0)),"")</f>
        <v>RS</v>
      </c>
      <c r="I50" s="107" t="n">
        <f aca="false">IFERROR(INDEX(_RANK!$G$2:$G$28,MATCH(LARGE(_RANK!$E$2:$E$28,23),_RANK!$E$2:$E$28,0)),0)</f>
        <v>2473.7</v>
      </c>
      <c r="J50" s="104" t="n">
        <f aca="false">IFERROR(INDEX(_RANK!$H$2:$H$28,MATCH(LARGE(_RANK!$E$2:$E$28,23),_RANK!$E$2:$E$28,0)),0)</f>
        <v>1184.83</v>
      </c>
      <c r="K50" s="108" t="n">
        <f aca="false">IFERROR(INDEX(_RANK!$I$2:$I$28,MATCH(LARGE(_RANK!$E$2:$E$28,23),_RANK!$E$2:$E$28,0)),0)</f>
        <v>0.323854116270743</v>
      </c>
      <c r="L50" s="104" t="n">
        <f aca="false">IFERROR(INDEX(_RANK!$J$2:$J$28,MATCH(LARGE(_RANK!$E$2:$E$28,23),_RANK!$E$2:$E$28,0)),0)</f>
        <v>829.381</v>
      </c>
      <c r="M50" s="102" t="s">
        <v>61</v>
      </c>
    </row>
    <row r="51" customFormat="false" ht="18" hidden="false" customHeight="true" outlineLevel="0" collapsed="false">
      <c r="B51" s="101" t="n">
        <v>24</v>
      </c>
      <c r="C51" s="102" t="str">
        <f aca="false">IFERROR(INDEX(_RANK!$A$2:$A$28,MATCH(LARGE(_RANK!$E$2:$E$28,24),_RANK!$E$2:$E$28,0)),"")</f>
        <v>DF</v>
      </c>
      <c r="D51" s="103" t="str">
        <f aca="false">IFERROR(INDEX(_RANK!$B$2:$B$28,MATCH(LARGE(_RANK!$E$2:$E$28,24),_RANK!$E$2:$E$28,0)),"")</f>
        <v>Distrito Federal</v>
      </c>
      <c r="E51" s="104" t="n">
        <f aca="false">IFERROR(INDEX(_RANK!$C$2:$C$28,MATCH(LARGE(_RANK!$E$2:$E$28,24),_RANK!$E$2:$E$28,0)),0)</f>
        <v>2372.2</v>
      </c>
      <c r="F51" s="105" t="n">
        <f aca="false">IFERROR(INDEX(_RANK!$D$2:$D$28,MATCH(LARGE(_RANK!$E$2:$E$28,24),_RANK!$E$2:$E$28,0)),0)</f>
        <v>1186.1</v>
      </c>
      <c r="G51" s="104" t="n">
        <f aca="false">LARGE(_RANK!$E$2:$E$28,24)</f>
        <v>3558.3</v>
      </c>
      <c r="H51" s="106" t="str">
        <f aca="false">IFERROR(INDEX(_RANK!$F$2:$F$28,MATCH(LARGE(_RANK!$E$2:$E$28,24),_RANK!$E$2:$E$28,0)),"")</f>
        <v>RS</v>
      </c>
      <c r="I51" s="107" t="n">
        <f aca="false">IFERROR(INDEX(_RANK!$G$2:$G$28,MATCH(LARGE(_RANK!$E$2:$E$28,24),_RANK!$E$2:$E$28,0)),0)</f>
        <v>2473.7</v>
      </c>
      <c r="J51" s="104" t="n">
        <f aca="false">IFERROR(INDEX(_RANK!$H$2:$H$28,MATCH(LARGE(_RANK!$E$2:$E$28,24),_RANK!$E$2:$E$28,0)),0)</f>
        <v>1084.6</v>
      </c>
      <c r="K51" s="108" t="n">
        <f aca="false">IFERROR(INDEX(_RANK!$I$2:$I$28,MATCH(LARGE(_RANK!$E$2:$E$28,24),_RANK!$E$2:$E$28,0)),0)</f>
        <v>0.30480847595762</v>
      </c>
      <c r="L51" s="104" t="n">
        <f aca="false">IFERROR(INDEX(_RANK!$J$2:$J$28,MATCH(LARGE(_RANK!$E$2:$E$28,24),_RANK!$E$2:$E$28,0)),0)</f>
        <v>759.22</v>
      </c>
      <c r="M51" s="102" t="s">
        <v>61</v>
      </c>
    </row>
    <row r="52" customFormat="false" ht="18" hidden="false" customHeight="true" outlineLevel="0" collapsed="false">
      <c r="B52" s="101" t="n">
        <v>25</v>
      </c>
      <c r="C52" s="102" t="str">
        <f aca="false">IFERROR(INDEX(_RANK!$A$2:$A$28,MATCH(LARGE(_RANK!$E$2:$E$28,25),_RANK!$E$2:$E$28,0)),"")</f>
        <v>RJ</v>
      </c>
      <c r="D52" s="103" t="str">
        <f aca="false">IFERROR(INDEX(_RANK!$B$2:$B$28,MATCH(LARGE(_RANK!$E$2:$E$28,25),_RANK!$E$2:$E$28,0)),"")</f>
        <v>Rio de Janeiro</v>
      </c>
      <c r="E52" s="104" t="n">
        <f aca="false">IFERROR(INDEX(_RANK!$C$2:$C$28,MATCH(LARGE(_RANK!$E$2:$E$28,25),_RANK!$E$2:$E$28,0)),0)</f>
        <v>2907.22</v>
      </c>
      <c r="F52" s="105" t="n">
        <f aca="false">IFERROR(INDEX(_RANK!$D$2:$D$28,MATCH(LARGE(_RANK!$E$2:$E$28,25),_RANK!$E$2:$E$28,0)),0)</f>
        <v>435.39</v>
      </c>
      <c r="G52" s="104" t="n">
        <f aca="false">LARGE(_RANK!$E$2:$E$28,25)</f>
        <v>3342.61</v>
      </c>
      <c r="H52" s="106" t="str">
        <f aca="false">IFERROR(INDEX(_RANK!$F$2:$F$28,MATCH(LARGE(_RANK!$E$2:$E$28,25),_RANK!$E$2:$E$28,0)),"")</f>
        <v>RS</v>
      </c>
      <c r="I52" s="107" t="n">
        <f aca="false">IFERROR(INDEX(_RANK!$G$2:$G$28,MATCH(LARGE(_RANK!$E$2:$E$28,25),_RANK!$E$2:$E$28,0)),0)</f>
        <v>2473.7</v>
      </c>
      <c r="J52" s="104" t="n">
        <f aca="false">IFERROR(INDEX(_RANK!$H$2:$H$28,MATCH(LARGE(_RANK!$E$2:$E$28,25),_RANK!$E$2:$E$28,0)),0)</f>
        <v>868.91</v>
      </c>
      <c r="K52" s="108" t="n">
        <f aca="false">IFERROR(INDEX(_RANK!$I$2:$I$28,MATCH(LARGE(_RANK!$E$2:$E$28,25),_RANK!$E$2:$E$28,0)),0)</f>
        <v>0.259949560373481</v>
      </c>
      <c r="L52" s="104" t="n">
        <f aca="false">IFERROR(INDEX(_RANK!$J$2:$J$28,MATCH(LARGE(_RANK!$E$2:$E$28,25),_RANK!$E$2:$E$28,0)),0)</f>
        <v>608.237</v>
      </c>
      <c r="M52" s="102" t="s">
        <v>61</v>
      </c>
    </row>
    <row r="53" customFormat="false" ht="18" hidden="false" customHeight="true" outlineLevel="0" collapsed="false">
      <c r="B53" s="101" t="n">
        <v>26</v>
      </c>
      <c r="C53" s="102" t="str">
        <f aca="false">IFERROR(INDEX(_RANK!$A$2:$A$28,MATCH(LARGE(_RANK!$E$2:$E$28,26),_RANK!$E$2:$E$28,0)),"")</f>
        <v>SC</v>
      </c>
      <c r="D53" s="103" t="str">
        <f aca="false">IFERROR(INDEX(_RANK!$B$2:$B$28,MATCH(LARGE(_RANK!$E$2:$E$28,26),_RANK!$E$2:$E$28,0)),"")</f>
        <v>Santa Catarina</v>
      </c>
      <c r="E53" s="104" t="n">
        <f aca="false">IFERROR(INDEX(_RANK!$C$2:$C$28,MATCH(LARGE(_RANK!$E$2:$E$28,26),_RANK!$E$2:$E$28,0)),0)</f>
        <v>2997.58</v>
      </c>
      <c r="F53" s="105" t="n">
        <f aca="false">IFERROR(INDEX(_RANK!$D$2:$D$28,MATCH(LARGE(_RANK!$E$2:$E$28,26),_RANK!$E$2:$E$28,0)),0)</f>
        <v>62.59</v>
      </c>
      <c r="G53" s="104" t="n">
        <f aca="false">LARGE(_RANK!$E$2:$E$28,26)</f>
        <v>3060.17</v>
      </c>
      <c r="H53" s="106" t="str">
        <f aca="false">IFERROR(INDEX(_RANK!$F$2:$F$28,MATCH(LARGE(_RANK!$E$2:$E$28,26),_RANK!$E$2:$E$28,0)),"")</f>
        <v>RS</v>
      </c>
      <c r="I53" s="107" t="n">
        <f aca="false">IFERROR(INDEX(_RANK!$G$2:$G$28,MATCH(LARGE(_RANK!$E$2:$E$28,26),_RANK!$E$2:$E$28,0)),0)</f>
        <v>2473.7</v>
      </c>
      <c r="J53" s="104" t="n">
        <f aca="false">IFERROR(INDEX(_RANK!$H$2:$H$28,MATCH(LARGE(_RANK!$E$2:$E$28,26),_RANK!$E$2:$E$28,0)),0)</f>
        <v>586.47</v>
      </c>
      <c r="K53" s="108" t="n">
        <f aca="false">IFERROR(INDEX(_RANK!$I$2:$I$28,MATCH(LARGE(_RANK!$E$2:$E$28,26),_RANK!$E$2:$E$28,0)),0)</f>
        <v>0.191646215733113</v>
      </c>
      <c r="L53" s="104" t="n">
        <f aca="false">IFERROR(INDEX(_RANK!$J$2:$J$28,MATCH(LARGE(_RANK!$E$2:$E$28,26),_RANK!$E$2:$E$28,0)),0)</f>
        <v>410.529</v>
      </c>
      <c r="M53" s="102" t="s">
        <v>61</v>
      </c>
    </row>
    <row r="54" customFormat="false" ht="18" hidden="false" customHeight="true" outlineLevel="0" collapsed="false">
      <c r="B54" s="101" t="n">
        <v>27</v>
      </c>
      <c r="C54" s="102" t="str">
        <f aca="false">IFERROR(INDEX(_RANK!$A$2:$A$28,MATCH(LARGE(_RANK!$E$2:$E$28,27),_RANK!$E$2:$E$28,0)),"")</f>
        <v>RS</v>
      </c>
      <c r="D54" s="103" t="str">
        <f aca="false">IFERROR(INDEX(_RANK!$B$2:$B$28,MATCH(LARGE(_RANK!$E$2:$E$28,27),_RANK!$E$2:$E$28,0)),"")</f>
        <v>Rio Grande do Sul</v>
      </c>
      <c r="E54" s="104" t="n">
        <f aca="false">IFERROR(INDEX(_RANK!$C$2:$C$28,MATCH(LARGE(_RANK!$E$2:$E$28,27),_RANK!$E$2:$E$28,0)),0)</f>
        <v>2473.7</v>
      </c>
      <c r="F54" s="105" t="n">
        <f aca="false">IFERROR(INDEX(_RANK!$D$2:$D$28,MATCH(LARGE(_RANK!$E$2:$E$28,27),_RANK!$E$2:$E$28,0)),0)</f>
        <v>110.1</v>
      </c>
      <c r="G54" s="104" t="n">
        <f aca="false">LARGE(_RANK!$E$2:$E$28,27)</f>
        <v>2583.8</v>
      </c>
      <c r="H54" s="106" t="str">
        <f aca="false">IFERROR(INDEX(_RANK!$F$2:$F$28,MATCH(LARGE(_RANK!$E$2:$E$28,27),_RANK!$E$2:$E$28,0)),"")</f>
        <v>RS</v>
      </c>
      <c r="I54" s="107" t="n">
        <f aca="false">IFERROR(INDEX(_RANK!$G$2:$G$28,MATCH(LARGE(_RANK!$E$2:$E$28,27),_RANK!$E$2:$E$28,0)),0)</f>
        <v>2473.7</v>
      </c>
      <c r="J54" s="104" t="n">
        <f aca="false">IFERROR(INDEX(_RANK!$H$2:$H$28,MATCH(LARGE(_RANK!$E$2:$E$28,27),_RANK!$E$2:$E$28,0)),0)</f>
        <v>110.1</v>
      </c>
      <c r="K54" s="108" t="n">
        <f aca="false">IFERROR(INDEX(_RANK!$I$2:$I$28,MATCH(LARGE(_RANK!$E$2:$E$28,27),_RANK!$E$2:$E$28,0)),0)</f>
        <v>0.0426116572490131</v>
      </c>
      <c r="L54" s="104" t="n">
        <f aca="false">IFERROR(INDEX(_RANK!$J$2:$J$28,MATCH(LARGE(_RANK!$E$2:$E$28,27),_RANK!$E$2:$E$28,0)),0)</f>
        <v>77.0699999999999</v>
      </c>
      <c r="M54" s="102" t="s">
        <v>61</v>
      </c>
    </row>
    <row r="55" customFormat="false" ht="15.75" hidden="false" customHeight="true" outlineLevel="0" collapsed="false">
      <c r="B55" s="109" t="s">
        <v>62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</row>
  </sheetData>
  <mergeCells count="19">
    <mergeCell ref="B2:M2"/>
    <mergeCell ref="B4:F4"/>
    <mergeCell ref="H4:M4"/>
    <mergeCell ref="C5:D5"/>
    <mergeCell ref="E5:F5"/>
    <mergeCell ref="I5:J5"/>
    <mergeCell ref="K5:M5"/>
    <mergeCell ref="D6:F6"/>
    <mergeCell ref="I6:J6"/>
    <mergeCell ref="K6:M6"/>
    <mergeCell ref="I7:J7"/>
    <mergeCell ref="K7:M7"/>
    <mergeCell ref="B9:M9"/>
    <mergeCell ref="B15:M15"/>
    <mergeCell ref="B17:M17"/>
    <mergeCell ref="B21:M21"/>
    <mergeCell ref="B25:M25"/>
    <mergeCell ref="B26:M26"/>
    <mergeCell ref="B55:M55"/>
  </mergeCells>
  <dataValidations count="1">
    <dataValidation allowBlank="false" errorStyle="stop" operator="between" showDropDown="false" showErrorMessage="false" showInputMessage="false" sqref="C6" type="list">
      <formula1>"AC,AL,AM,AP,BA,CE,DF,ES,GO,MA,MT,MS,MG,PA,PB,PE,PR,PI,RJ,RN,RS,RO,RR,SC,SE,SP,TO"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51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customFormat="false" ht="15" hidden="false" customHeight="true" outlineLevel="0" collapsed="false">
      <c r="A2" s="1" t="s">
        <v>72</v>
      </c>
      <c r="B2" s="1" t="s">
        <v>73</v>
      </c>
      <c r="C2" s="1" t="n">
        <f aca="false">IFERROR(VLOOKUP('🏠 DASHBOARD'!$C$5,AC!$A:$C,3,TRUE()),0)</f>
        <v>13440.9</v>
      </c>
      <c r="D2" s="1" t="n">
        <v>150</v>
      </c>
      <c r="E2" s="1" t="n">
        <f aca="false">C2+D2</f>
        <v>13590.9</v>
      </c>
      <c r="F2" s="1" t="str">
        <f aca="false">IF('🏠 DASHBOARD'!$C$5&gt;515750,"DF","RS")</f>
        <v>RS</v>
      </c>
      <c r="G2" s="1" t="n">
        <f aca="false">IF(F2="DF",IFERROR(VLOOKUP('🏠 DASHBOARD'!$C$5,DF!$A:$C,3,TRUE()),0),IFERROR(VLOOKUP('🏠 DASHBOARD'!$C$5,RS!$A:$C,3,TRUE()),0))</f>
        <v>2473.7</v>
      </c>
      <c r="H2" s="1" t="n">
        <f aca="false">MAX(E2-G2,0)</f>
        <v>11117.2</v>
      </c>
      <c r="I2" s="1" t="n">
        <f aca="false">IFERROR(H2/E2,0)</f>
        <v>0.817988507015724</v>
      </c>
      <c r="J2" s="1" t="n">
        <f aca="false">H2*'🏠 DASHBOARD'!$I$5</f>
        <v>7782.04</v>
      </c>
    </row>
    <row r="3" customFormat="false" ht="15" hidden="false" customHeight="true" outlineLevel="0" collapsed="false">
      <c r="A3" s="1" t="s">
        <v>74</v>
      </c>
      <c r="B3" s="1" t="s">
        <v>75</v>
      </c>
      <c r="C3" s="1" t="n">
        <f aca="false">IFERROR(VLOOKUP('🏠 DASHBOARD'!$C$5,AL!$A:$C,3,TRUE()),0)</f>
        <v>11505.94</v>
      </c>
      <c r="D3" s="1" t="n">
        <v>22.43</v>
      </c>
      <c r="E3" s="1" t="n">
        <f aca="false">C3+D3</f>
        <v>11528.37</v>
      </c>
      <c r="F3" s="1" t="str">
        <f aca="false">IF('🏠 DASHBOARD'!$C$5&gt;515750,"DF","RS")</f>
        <v>RS</v>
      </c>
      <c r="G3" s="1" t="n">
        <f aca="false">IF(F3="DF",IFERROR(VLOOKUP('🏠 DASHBOARD'!$C$5,DF!$A:$C,3,TRUE()),0),IFERROR(VLOOKUP('🏠 DASHBOARD'!$C$5,RS!$A:$C,3,TRUE()),0))</f>
        <v>2473.7</v>
      </c>
      <c r="H3" s="1" t="n">
        <f aca="false">MAX(E3-G3,0)</f>
        <v>9054.67</v>
      </c>
      <c r="I3" s="1" t="n">
        <f aca="false">IFERROR(H3/E3,0)</f>
        <v>0.785424999371117</v>
      </c>
      <c r="J3" s="1" t="n">
        <f aca="false">H3*'🏠 DASHBOARD'!$I$5</f>
        <v>6338.269</v>
      </c>
    </row>
    <row r="4" customFormat="false" ht="15" hidden="false" customHeight="true" outlineLevel="0" collapsed="false">
      <c r="A4" s="1" t="s">
        <v>76</v>
      </c>
      <c r="B4" s="1" t="s">
        <v>77</v>
      </c>
      <c r="C4" s="1" t="n">
        <f aca="false">IFERROR(VLOOKUP('🏠 DASHBOARD'!$C$5,AM!$A:$C,3,TRUE()),0)</f>
        <v>9021.69</v>
      </c>
      <c r="D4" s="1" t="n">
        <v>200</v>
      </c>
      <c r="E4" s="1" t="n">
        <f aca="false">C4+D4</f>
        <v>9221.69</v>
      </c>
      <c r="F4" s="1" t="str">
        <f aca="false">IF('🏠 DASHBOARD'!$C$5&gt;515750,"DF","RS")</f>
        <v>RS</v>
      </c>
      <c r="G4" s="1" t="n">
        <f aca="false">IF(F4="DF",IFERROR(VLOOKUP('🏠 DASHBOARD'!$C$5,DF!$A:$C,3,TRUE()),0),IFERROR(VLOOKUP('🏠 DASHBOARD'!$C$5,RS!$A:$C,3,TRUE()),0))</f>
        <v>2473.7</v>
      </c>
      <c r="H4" s="1" t="n">
        <f aca="false">MAX(E4-G4,0)</f>
        <v>6747.99</v>
      </c>
      <c r="I4" s="1" t="n">
        <f aca="false">IFERROR(H4/E4,0)</f>
        <v>0.731751989060574</v>
      </c>
      <c r="J4" s="1" t="n">
        <f aca="false">H4*'🏠 DASHBOARD'!$I$5</f>
        <v>4723.593</v>
      </c>
    </row>
    <row r="5" customFormat="false" ht="15" hidden="false" customHeight="true" outlineLevel="0" collapsed="false">
      <c r="A5" s="1" t="s">
        <v>78</v>
      </c>
      <c r="B5" s="1" t="s">
        <v>79</v>
      </c>
      <c r="C5" s="1" t="n">
        <f aca="false">IFERROR(VLOOKUP('🏠 DASHBOARD'!$C$5,AP!$A:$C,3,TRUE()),0)</f>
        <v>15030.42</v>
      </c>
      <c r="D5" s="1" t="n">
        <v>200</v>
      </c>
      <c r="E5" s="1" t="n">
        <f aca="false">C5+D5</f>
        <v>15230.42</v>
      </c>
      <c r="F5" s="1" t="str">
        <f aca="false">IF('🏠 DASHBOARD'!$C$5&gt;515750,"DF","RS")</f>
        <v>RS</v>
      </c>
      <c r="G5" s="1" t="n">
        <f aca="false">IF(F5="DF",IFERROR(VLOOKUP('🏠 DASHBOARD'!$C$5,DF!$A:$C,3,TRUE()),0),IFERROR(VLOOKUP('🏠 DASHBOARD'!$C$5,RS!$A:$C,3,TRUE()),0))</f>
        <v>2473.7</v>
      </c>
      <c r="H5" s="1" t="n">
        <f aca="false">MAX(E5-G5,0)</f>
        <v>12756.72</v>
      </c>
      <c r="I5" s="1" t="n">
        <f aca="false">IFERROR(H5/E5,0)</f>
        <v>0.837581629396957</v>
      </c>
      <c r="J5" s="1" t="n">
        <f aca="false">H5*'🏠 DASHBOARD'!$I$5</f>
        <v>8929.704</v>
      </c>
    </row>
    <row r="6" customFormat="false" ht="15" hidden="false" customHeight="true" outlineLevel="0" collapsed="false">
      <c r="A6" s="1" t="s">
        <v>80</v>
      </c>
      <c r="B6" s="1" t="s">
        <v>81</v>
      </c>
      <c r="C6" s="1" t="n">
        <f aca="false">IFERROR(VLOOKUP('🏠 DASHBOARD'!$C$5,BA!$A:$C,3,TRUE()),0)</f>
        <v>4067.28</v>
      </c>
      <c r="D6" s="1" t="n">
        <v>118.58</v>
      </c>
      <c r="E6" s="1" t="n">
        <f aca="false">C6+D6</f>
        <v>4185.86</v>
      </c>
      <c r="F6" s="1" t="str">
        <f aca="false">IF('🏠 DASHBOARD'!$C$5&gt;515750,"DF","RS")</f>
        <v>RS</v>
      </c>
      <c r="G6" s="1" t="n">
        <f aca="false">IF(F6="DF",IFERROR(VLOOKUP('🏠 DASHBOARD'!$C$5,DF!$A:$C,3,TRUE()),0),IFERROR(VLOOKUP('🏠 DASHBOARD'!$C$5,RS!$A:$C,3,TRUE()),0))</f>
        <v>2473.7</v>
      </c>
      <c r="H6" s="1" t="n">
        <f aca="false">MAX(E6-G6,0)</f>
        <v>1712.16</v>
      </c>
      <c r="I6" s="1" t="n">
        <f aca="false">IFERROR(H6/E6,0)</f>
        <v>0.409034224747125</v>
      </c>
      <c r="J6" s="1" t="n">
        <f aca="false">H6*'🏠 DASHBOARD'!$I$5</f>
        <v>1198.512</v>
      </c>
    </row>
    <row r="7" customFormat="false" ht="15" hidden="false" customHeight="true" outlineLevel="0" collapsed="false">
      <c r="A7" s="1" t="s">
        <v>82</v>
      </c>
      <c r="B7" s="1" t="s">
        <v>83</v>
      </c>
      <c r="C7" s="1" t="n">
        <f aca="false">IFERROR(VLOOKUP('🏠 DASHBOARD'!$C$5,CE!$A:$C,3,TRUE()),0)</f>
        <v>3596.4</v>
      </c>
      <c r="D7" s="1" t="n">
        <v>62.13</v>
      </c>
      <c r="E7" s="1" t="n">
        <f aca="false">C7+D7</f>
        <v>3658.53</v>
      </c>
      <c r="F7" s="1" t="str">
        <f aca="false">IF('🏠 DASHBOARD'!$C$5&gt;515750,"DF","RS")</f>
        <v>RS</v>
      </c>
      <c r="G7" s="1" t="n">
        <f aca="false">IF(F7="DF",IFERROR(VLOOKUP('🏠 DASHBOARD'!$C$5,DF!$A:$C,3,TRUE()),0),IFERROR(VLOOKUP('🏠 DASHBOARD'!$C$5,RS!$A:$C,3,TRUE()),0))</f>
        <v>2473.7</v>
      </c>
      <c r="H7" s="1" t="n">
        <f aca="false">MAX(E7-G7,0)</f>
        <v>1184.83</v>
      </c>
      <c r="I7" s="1" t="n">
        <f aca="false">IFERROR(H7/E7,0)</f>
        <v>0.323854116270743</v>
      </c>
      <c r="J7" s="1" t="n">
        <f aca="false">H7*'🏠 DASHBOARD'!$I$5</f>
        <v>829.381</v>
      </c>
    </row>
    <row r="8" customFormat="false" ht="15" hidden="false" customHeight="true" outlineLevel="0" collapsed="false">
      <c r="A8" s="1" t="s">
        <v>84</v>
      </c>
      <c r="B8" s="1" t="s">
        <v>21</v>
      </c>
      <c r="C8" s="1" t="n">
        <f aca="false">IFERROR(VLOOKUP('🏠 DASHBOARD'!$C$5,DF!$A:$C,3,TRUE()),0)</f>
        <v>2372.2</v>
      </c>
      <c r="D8" s="1" t="n">
        <v>1186.1</v>
      </c>
      <c r="E8" s="1" t="n">
        <f aca="false">C8+D8</f>
        <v>3558.3</v>
      </c>
      <c r="F8" s="1" t="str">
        <f aca="false">IF('🏠 DASHBOARD'!$C$5&gt;515750,"DF","RS")</f>
        <v>RS</v>
      </c>
      <c r="G8" s="1" t="n">
        <f aca="false">IF(F8="DF",IFERROR(VLOOKUP('🏠 DASHBOARD'!$C$5,DF!$A:$C,3,TRUE()),0),IFERROR(VLOOKUP('🏠 DASHBOARD'!$C$5,RS!$A:$C,3,TRUE()),0))</f>
        <v>2473.7</v>
      </c>
      <c r="H8" s="1" t="n">
        <f aca="false">MAX(E8-G8,0)</f>
        <v>1084.6</v>
      </c>
      <c r="I8" s="1" t="n">
        <f aca="false">IFERROR(H8/E8,0)</f>
        <v>0.30480847595762</v>
      </c>
      <c r="J8" s="1" t="n">
        <f aca="false">H8*'🏠 DASHBOARD'!$I$5</f>
        <v>759.22</v>
      </c>
    </row>
    <row r="9" customFormat="false" ht="15" hidden="false" customHeight="true" outlineLevel="0" collapsed="false">
      <c r="A9" s="1" t="s">
        <v>85</v>
      </c>
      <c r="B9" s="1" t="s">
        <v>86</v>
      </c>
      <c r="C9" s="1" t="n">
        <f aca="false">IFERROR(VLOOKUP('🏠 DASHBOARD'!$C$5,ES!$A:$C,3,TRUE()),0)</f>
        <v>7254.52</v>
      </c>
      <c r="D9" s="1" t="n">
        <v>180</v>
      </c>
      <c r="E9" s="1" t="n">
        <f aca="false">C9+D9</f>
        <v>7434.52</v>
      </c>
      <c r="F9" s="1" t="str">
        <f aca="false">IF('🏠 DASHBOARD'!$C$5&gt;515750,"DF","RS")</f>
        <v>RS</v>
      </c>
      <c r="G9" s="1" t="n">
        <f aca="false">IF(F9="DF",IFERROR(VLOOKUP('🏠 DASHBOARD'!$C$5,DF!$A:$C,3,TRUE()),0),IFERROR(VLOOKUP('🏠 DASHBOARD'!$C$5,RS!$A:$C,3,TRUE()),0))</f>
        <v>2473.7</v>
      </c>
      <c r="H9" s="1" t="n">
        <f aca="false">MAX(E9-G9,0)</f>
        <v>4960.82</v>
      </c>
      <c r="I9" s="1" t="n">
        <f aca="false">IFERROR(H9/E9,0)</f>
        <v>0.667268364332869</v>
      </c>
      <c r="J9" s="1" t="n">
        <f aca="false">H9*'🏠 DASHBOARD'!$I$5</f>
        <v>3472.574</v>
      </c>
    </row>
    <row r="10" customFormat="false" ht="15" hidden="false" customHeight="true" outlineLevel="0" collapsed="false">
      <c r="A10" s="1" t="s">
        <v>87</v>
      </c>
      <c r="B10" s="1" t="s">
        <v>88</v>
      </c>
      <c r="C10" s="1" t="n">
        <f aca="false">IFERROR(VLOOKUP('🏠 DASHBOARD'!$C$5,GO!$A:$C,3,TRUE()),0)</f>
        <v>7388.58</v>
      </c>
      <c r="D10" s="1" t="n">
        <v>200</v>
      </c>
      <c r="E10" s="1" t="n">
        <f aca="false">C10+D10</f>
        <v>7588.58</v>
      </c>
      <c r="F10" s="1" t="str">
        <f aca="false">IF('🏠 DASHBOARD'!$C$5&gt;515750,"DF","RS")</f>
        <v>RS</v>
      </c>
      <c r="G10" s="1" t="n">
        <f aca="false">IF(F10="DF",IFERROR(VLOOKUP('🏠 DASHBOARD'!$C$5,DF!$A:$C,3,TRUE()),0),IFERROR(VLOOKUP('🏠 DASHBOARD'!$C$5,RS!$A:$C,3,TRUE()),0))</f>
        <v>2473.7</v>
      </c>
      <c r="H10" s="1" t="n">
        <f aca="false">MAX(E10-G10,0)</f>
        <v>5114.88</v>
      </c>
      <c r="I10" s="1" t="n">
        <f aca="false">IFERROR(H10/E10,0)</f>
        <v>0.674023335064004</v>
      </c>
      <c r="J10" s="1" t="n">
        <f aca="false">H10*'🏠 DASHBOARD'!$I$5</f>
        <v>3580.416</v>
      </c>
    </row>
    <row r="11" customFormat="false" ht="15" hidden="false" customHeight="true" outlineLevel="0" collapsed="false">
      <c r="A11" s="1" t="s">
        <v>89</v>
      </c>
      <c r="B11" s="1" t="s">
        <v>90</v>
      </c>
      <c r="C11" s="1" t="n">
        <f aca="false">IFERROR(VLOOKUP('🏠 DASHBOARD'!$C$5,MA!$A:$C,3,TRUE()),0)</f>
        <v>8388.96</v>
      </c>
      <c r="D11" s="1" t="n">
        <v>200</v>
      </c>
      <c r="E11" s="1" t="n">
        <f aca="false">C11+D11</f>
        <v>8588.96</v>
      </c>
      <c r="F11" s="1" t="str">
        <f aca="false">IF('🏠 DASHBOARD'!$C$5&gt;515750,"DF","RS")</f>
        <v>RS</v>
      </c>
      <c r="G11" s="1" t="n">
        <f aca="false">IF(F11="DF",IFERROR(VLOOKUP('🏠 DASHBOARD'!$C$5,DF!$A:$C,3,TRUE()),0),IFERROR(VLOOKUP('🏠 DASHBOARD'!$C$5,RS!$A:$C,3,TRUE()),0))</f>
        <v>2473.7</v>
      </c>
      <c r="H11" s="1" t="n">
        <f aca="false">MAX(E11-G11,0)</f>
        <v>6115.26</v>
      </c>
      <c r="I11" s="1" t="n">
        <f aca="false">IFERROR(H11/E11,0)</f>
        <v>0.711990741603174</v>
      </c>
      <c r="J11" s="1" t="n">
        <f aca="false">H11*'🏠 DASHBOARD'!$I$5</f>
        <v>4280.682</v>
      </c>
    </row>
    <row r="12" customFormat="false" ht="15" hidden="false" customHeight="true" outlineLevel="0" collapsed="false">
      <c r="A12" s="1" t="s">
        <v>91</v>
      </c>
      <c r="B12" s="1" t="s">
        <v>92</v>
      </c>
      <c r="C12" s="1" t="n">
        <f aca="false">IFERROR(VLOOKUP('🏠 DASHBOARD'!$C$5,MT!$A:$C,3,TRUE()),0)</f>
        <v>6948.45</v>
      </c>
      <c r="D12" s="1" t="n">
        <v>300</v>
      </c>
      <c r="E12" s="1" t="n">
        <f aca="false">C12+D12</f>
        <v>7248.45</v>
      </c>
      <c r="F12" s="1" t="str">
        <f aca="false">IF('🏠 DASHBOARD'!$C$5&gt;515750,"DF","RS")</f>
        <v>RS</v>
      </c>
      <c r="G12" s="1" t="n">
        <f aca="false">IF(F12="DF",IFERROR(VLOOKUP('🏠 DASHBOARD'!$C$5,DF!$A:$C,3,TRUE()),0),IFERROR(VLOOKUP('🏠 DASHBOARD'!$C$5,RS!$A:$C,3,TRUE()),0))</f>
        <v>2473.7</v>
      </c>
      <c r="H12" s="1" t="n">
        <f aca="false">MAX(E12-G12,0)</f>
        <v>4774.75</v>
      </c>
      <c r="I12" s="1" t="n">
        <f aca="false">IFERROR(H12/E12,0)</f>
        <v>0.658727038194373</v>
      </c>
      <c r="J12" s="1" t="n">
        <f aca="false">H12*'🏠 DASHBOARD'!$I$5</f>
        <v>3342.325</v>
      </c>
    </row>
    <row r="13" customFormat="false" ht="15" hidden="false" customHeight="true" outlineLevel="0" collapsed="false">
      <c r="A13" s="1" t="s">
        <v>93</v>
      </c>
      <c r="B13" s="1" t="s">
        <v>94</v>
      </c>
      <c r="C13" s="1" t="n">
        <f aca="false">IFERROR(VLOOKUP('🏠 DASHBOARD'!$C$5,MS!$A:$C,3,TRUE()),0)</f>
        <v>8219.16</v>
      </c>
      <c r="D13" s="1" t="n">
        <v>200</v>
      </c>
      <c r="E13" s="1" t="n">
        <f aca="false">C13+D13</f>
        <v>8419.16</v>
      </c>
      <c r="F13" s="1" t="str">
        <f aca="false">IF('🏠 DASHBOARD'!$C$5&gt;515750,"DF","RS")</f>
        <v>RS</v>
      </c>
      <c r="G13" s="1" t="n">
        <f aca="false">IF(F13="DF",IFERROR(VLOOKUP('🏠 DASHBOARD'!$C$5,DF!$A:$C,3,TRUE()),0),IFERROR(VLOOKUP('🏠 DASHBOARD'!$C$5,RS!$A:$C,3,TRUE()),0))</f>
        <v>2473.7</v>
      </c>
      <c r="H13" s="1" t="n">
        <f aca="false">MAX(E13-G13,0)</f>
        <v>5945.46</v>
      </c>
      <c r="I13" s="1" t="n">
        <f aca="false">IFERROR(H13/E13,0)</f>
        <v>0.706182089424598</v>
      </c>
      <c r="J13" s="1" t="n">
        <f aca="false">H13*'🏠 DASHBOARD'!$I$5</f>
        <v>4161.822</v>
      </c>
    </row>
    <row r="14" customFormat="false" ht="15" hidden="false" customHeight="true" outlineLevel="0" collapsed="false">
      <c r="A14" s="1" t="s">
        <v>95</v>
      </c>
      <c r="B14" s="1" t="s">
        <v>96</v>
      </c>
      <c r="C14" s="1" t="n">
        <f aca="false">IFERROR(VLOOKUP('🏠 DASHBOARD'!$C$5,MG!$A:$C,3,TRUE()),0)</f>
        <v>5523.14</v>
      </c>
      <c r="D14" s="1" t="n">
        <v>68.94</v>
      </c>
      <c r="E14" s="1" t="n">
        <f aca="false">C14+D14</f>
        <v>5592.08</v>
      </c>
      <c r="F14" s="1" t="str">
        <f aca="false">IF('🏠 DASHBOARD'!$C$5&gt;515750,"DF","RS")</f>
        <v>RS</v>
      </c>
      <c r="G14" s="1" t="n">
        <f aca="false">IF(F14="DF",IFERROR(VLOOKUP('🏠 DASHBOARD'!$C$5,DF!$A:$C,3,TRUE()),0),IFERROR(VLOOKUP('🏠 DASHBOARD'!$C$5,RS!$A:$C,3,TRUE()),0))</f>
        <v>2473.7</v>
      </c>
      <c r="H14" s="1" t="n">
        <f aca="false">MAX(E14-G14,0)</f>
        <v>3118.38</v>
      </c>
      <c r="I14" s="1" t="n">
        <f aca="false">IFERROR(H14/E14,0)</f>
        <v>0.55764223687787</v>
      </c>
      <c r="J14" s="1" t="n">
        <f aca="false">H14*'🏠 DASHBOARD'!$I$5</f>
        <v>2182.866</v>
      </c>
    </row>
    <row r="15" customFormat="false" ht="15" hidden="false" customHeight="true" outlineLevel="0" collapsed="false">
      <c r="A15" s="1" t="s">
        <v>97</v>
      </c>
      <c r="B15" s="1" t="s">
        <v>98</v>
      </c>
      <c r="C15" s="1" t="n">
        <f aca="false">IFERROR(VLOOKUP('🏠 DASHBOARD'!$C$5,PA!$A:$C,3,TRUE()),0)</f>
        <v>4152.8</v>
      </c>
      <c r="D15" s="1" t="n">
        <v>200</v>
      </c>
      <c r="E15" s="1" t="n">
        <f aca="false">C15+D15</f>
        <v>4352.8</v>
      </c>
      <c r="F15" s="1" t="str">
        <f aca="false">IF('🏠 DASHBOARD'!$C$5&gt;515750,"DF","RS")</f>
        <v>RS</v>
      </c>
      <c r="G15" s="1" t="n">
        <f aca="false">IF(F15="DF",IFERROR(VLOOKUP('🏠 DASHBOARD'!$C$5,DF!$A:$C,3,TRUE()),0),IFERROR(VLOOKUP('🏠 DASHBOARD'!$C$5,RS!$A:$C,3,TRUE()),0))</f>
        <v>2473.7</v>
      </c>
      <c r="H15" s="1" t="n">
        <f aca="false">MAX(E15-G15,0)</f>
        <v>1879.1</v>
      </c>
      <c r="I15" s="1" t="n">
        <f aca="false">IFERROR(H15/E15,0)</f>
        <v>0.431699136188201</v>
      </c>
      <c r="J15" s="1" t="n">
        <f aca="false">H15*'🏠 DASHBOARD'!$I$5</f>
        <v>1315.37</v>
      </c>
    </row>
    <row r="16" customFormat="false" ht="15" hidden="false" customHeight="true" outlineLevel="0" collapsed="false">
      <c r="A16" s="1" t="s">
        <v>99</v>
      </c>
      <c r="B16" s="1" t="s">
        <v>100</v>
      </c>
      <c r="C16" s="1" t="n">
        <f aca="false">IFERROR(VLOOKUP('🏠 DASHBOARD'!$C$5,PB!$A:$C,3,TRUE()),0)</f>
        <v>9369.12</v>
      </c>
      <c r="D16" s="1" t="n">
        <v>170.35</v>
      </c>
      <c r="E16" s="1" t="n">
        <f aca="false">C16+D16</f>
        <v>9539.47</v>
      </c>
      <c r="F16" s="1" t="str">
        <f aca="false">IF('🏠 DASHBOARD'!$C$5&gt;515750,"DF","RS")</f>
        <v>RS</v>
      </c>
      <c r="G16" s="1" t="n">
        <f aca="false">IF(F16="DF",IFERROR(VLOOKUP('🏠 DASHBOARD'!$C$5,DF!$A:$C,3,TRUE()),0),IFERROR(VLOOKUP('🏠 DASHBOARD'!$C$5,RS!$A:$C,3,TRUE()),0))</f>
        <v>2473.7</v>
      </c>
      <c r="H16" s="1" t="n">
        <f aca="false">MAX(E16-G16,0)</f>
        <v>7065.77</v>
      </c>
      <c r="I16" s="1" t="n">
        <f aca="false">IFERROR(H16/E16,0)</f>
        <v>0.740687899851879</v>
      </c>
      <c r="J16" s="1" t="n">
        <f aca="false">H16*'🏠 DASHBOARD'!$I$5</f>
        <v>4946.039</v>
      </c>
    </row>
    <row r="17" customFormat="false" ht="15" hidden="false" customHeight="true" outlineLevel="0" collapsed="false">
      <c r="A17" s="1" t="s">
        <v>101</v>
      </c>
      <c r="B17" s="1" t="s">
        <v>102</v>
      </c>
      <c r="C17" s="1" t="n">
        <f aca="false">IFERROR(VLOOKUP('🏠 DASHBOARD'!$C$5,PE!$A:$C,3,TRUE()),0)</f>
        <v>7084.1</v>
      </c>
      <c r="D17" s="1" t="n">
        <v>237.84</v>
      </c>
      <c r="E17" s="1" t="n">
        <f aca="false">C17+D17</f>
        <v>7321.94</v>
      </c>
      <c r="F17" s="1" t="str">
        <f aca="false">IF('🏠 DASHBOARD'!$C$5&gt;515750,"DF","RS")</f>
        <v>RS</v>
      </c>
      <c r="G17" s="1" t="n">
        <f aca="false">IF(F17="DF",IFERROR(VLOOKUP('🏠 DASHBOARD'!$C$5,DF!$A:$C,3,TRUE()),0),IFERROR(VLOOKUP('🏠 DASHBOARD'!$C$5,RS!$A:$C,3,TRUE()),0))</f>
        <v>2473.7</v>
      </c>
      <c r="H17" s="1" t="n">
        <f aca="false">MAX(E17-G17,0)</f>
        <v>4848.24</v>
      </c>
      <c r="I17" s="1" t="n">
        <f aca="false">IFERROR(H17/E17,0)</f>
        <v>0.662152380380063</v>
      </c>
      <c r="J17" s="1" t="n">
        <f aca="false">H17*'🏠 DASHBOARD'!$I$5</f>
        <v>3393.768</v>
      </c>
    </row>
    <row r="18" customFormat="false" ht="15" hidden="false" customHeight="true" outlineLevel="0" collapsed="false">
      <c r="A18" s="1" t="s">
        <v>103</v>
      </c>
      <c r="B18" s="1" t="s">
        <v>104</v>
      </c>
      <c r="C18" s="1" t="n">
        <f aca="false">IFERROR(VLOOKUP('🏠 DASHBOARD'!$C$5,PR!$A:$C,3,TRUE()),0)</f>
        <v>4460.8</v>
      </c>
      <c r="D18" s="1" t="n">
        <v>200</v>
      </c>
      <c r="E18" s="1" t="n">
        <f aca="false">C18+D18</f>
        <v>4660.8</v>
      </c>
      <c r="F18" s="1" t="str">
        <f aca="false">IF('🏠 DASHBOARD'!$C$5&gt;515750,"DF","RS")</f>
        <v>RS</v>
      </c>
      <c r="G18" s="1" t="n">
        <f aca="false">IF(F18="DF",IFERROR(VLOOKUP('🏠 DASHBOARD'!$C$5,DF!$A:$C,3,TRUE()),0),IFERROR(VLOOKUP('🏠 DASHBOARD'!$C$5,RS!$A:$C,3,TRUE()),0))</f>
        <v>2473.7</v>
      </c>
      <c r="H18" s="1" t="n">
        <f aca="false">MAX(E18-G18,0)</f>
        <v>2187.1</v>
      </c>
      <c r="I18" s="1" t="n">
        <f aca="false">IFERROR(H18/E18,0)</f>
        <v>0.469254205286646</v>
      </c>
      <c r="J18" s="1" t="n">
        <f aca="false">H18*'🏠 DASHBOARD'!$I$5</f>
        <v>1530.97</v>
      </c>
    </row>
    <row r="19" customFormat="false" ht="15" hidden="false" customHeight="true" outlineLevel="0" collapsed="false">
      <c r="A19" s="1" t="s">
        <v>105</v>
      </c>
      <c r="B19" s="1" t="s">
        <v>106</v>
      </c>
      <c r="C19" s="1" t="n">
        <f aca="false">IFERROR(VLOOKUP('🏠 DASHBOARD'!$C$5,PI!$A:$C,3,TRUE()),0)</f>
        <v>6360.31</v>
      </c>
      <c r="D19" s="1" t="n">
        <v>200</v>
      </c>
      <c r="E19" s="1" t="n">
        <f aca="false">C19+D19</f>
        <v>6560.31</v>
      </c>
      <c r="F19" s="1" t="str">
        <f aca="false">IF('🏠 DASHBOARD'!$C$5&gt;515750,"DF","RS")</f>
        <v>RS</v>
      </c>
      <c r="G19" s="1" t="n">
        <f aca="false">IF(F19="DF",IFERROR(VLOOKUP('🏠 DASHBOARD'!$C$5,DF!$A:$C,3,TRUE()),0),IFERROR(VLOOKUP('🏠 DASHBOARD'!$C$5,RS!$A:$C,3,TRUE()),0))</f>
        <v>2473.7</v>
      </c>
      <c r="H19" s="1" t="n">
        <f aca="false">MAX(E19-G19,0)</f>
        <v>4086.61</v>
      </c>
      <c r="I19" s="1" t="n">
        <f aca="false">IFERROR(H19/E19,0)</f>
        <v>0.622929404250714</v>
      </c>
      <c r="J19" s="1" t="n">
        <f aca="false">H19*'🏠 DASHBOARD'!$I$5</f>
        <v>2860.627</v>
      </c>
    </row>
    <row r="20" customFormat="false" ht="15" hidden="false" customHeight="true" outlineLevel="0" collapsed="false">
      <c r="A20" s="1" t="s">
        <v>107</v>
      </c>
      <c r="B20" s="1" t="s">
        <v>108</v>
      </c>
      <c r="C20" s="1" t="n">
        <f aca="false">IFERROR(VLOOKUP('🏠 DASHBOARD'!$C$5,RJ!$A:$C,3,TRUE()),0)</f>
        <v>2907.22</v>
      </c>
      <c r="D20" s="1" t="n">
        <v>435.39</v>
      </c>
      <c r="E20" s="1" t="n">
        <f aca="false">C20+D20</f>
        <v>3342.61</v>
      </c>
      <c r="F20" s="1" t="str">
        <f aca="false">IF('🏠 DASHBOARD'!$C$5&gt;515750,"DF","RS")</f>
        <v>RS</v>
      </c>
      <c r="G20" s="1" t="n">
        <f aca="false">IF(F20="DF",IFERROR(VLOOKUP('🏠 DASHBOARD'!$C$5,DF!$A:$C,3,TRUE()),0),IFERROR(VLOOKUP('🏠 DASHBOARD'!$C$5,RS!$A:$C,3,TRUE()),0))</f>
        <v>2473.7</v>
      </c>
      <c r="H20" s="1" t="n">
        <f aca="false">MAX(E20-G20,0)</f>
        <v>868.91</v>
      </c>
      <c r="I20" s="1" t="n">
        <f aca="false">IFERROR(H20/E20,0)</f>
        <v>0.259949560373481</v>
      </c>
      <c r="J20" s="1" t="n">
        <f aca="false">H20*'🏠 DASHBOARD'!$I$5</f>
        <v>608.237</v>
      </c>
    </row>
    <row r="21" customFormat="false" ht="15" hidden="false" customHeight="true" outlineLevel="0" collapsed="false">
      <c r="A21" s="1" t="s">
        <v>109</v>
      </c>
      <c r="B21" s="1" t="s">
        <v>110</v>
      </c>
      <c r="C21" s="1" t="n">
        <f aca="false">IFERROR(VLOOKUP('🏠 DASHBOARD'!$C$5,RN!$A:$C,3,TRUE()),0)</f>
        <v>14108.04</v>
      </c>
      <c r="D21" s="1" t="n">
        <v>200</v>
      </c>
      <c r="E21" s="1" t="n">
        <f aca="false">C21+D21</f>
        <v>14308.04</v>
      </c>
      <c r="F21" s="1" t="str">
        <f aca="false">IF('🏠 DASHBOARD'!$C$5&gt;515750,"DF","RS")</f>
        <v>RS</v>
      </c>
      <c r="G21" s="1" t="n">
        <f aca="false">IF(F21="DF",IFERROR(VLOOKUP('🏠 DASHBOARD'!$C$5,DF!$A:$C,3,TRUE()),0),IFERROR(VLOOKUP('🏠 DASHBOARD'!$C$5,RS!$A:$C,3,TRUE()),0))</f>
        <v>2473.7</v>
      </c>
      <c r="H21" s="1" t="n">
        <f aca="false">MAX(E21-G21,0)</f>
        <v>11834.34</v>
      </c>
      <c r="I21" s="1" t="n">
        <f aca="false">IFERROR(H21/E21,0)</f>
        <v>0.827111190631281</v>
      </c>
      <c r="J21" s="1" t="n">
        <f aca="false">H21*'🏠 DASHBOARD'!$I$5</f>
        <v>8284.038</v>
      </c>
    </row>
    <row r="22" customFormat="false" ht="15" hidden="false" customHeight="true" outlineLevel="0" collapsed="false">
      <c r="A22" s="1" t="s">
        <v>111</v>
      </c>
      <c r="B22" s="1" t="s">
        <v>25</v>
      </c>
      <c r="C22" s="1" t="n">
        <f aca="false">IFERROR(VLOOKUP('🏠 DASHBOARD'!$C$5,RS!$A:$C,3,TRUE()),0)</f>
        <v>2473.7</v>
      </c>
      <c r="D22" s="1" t="n">
        <v>110.1</v>
      </c>
      <c r="E22" s="1" t="n">
        <f aca="false">C22+D22</f>
        <v>2583.8</v>
      </c>
      <c r="F22" s="1" t="str">
        <f aca="false">IF('🏠 DASHBOARD'!$C$5&gt;515750,"DF","RS")</f>
        <v>RS</v>
      </c>
      <c r="G22" s="1" t="n">
        <f aca="false">IF(F22="DF",IFERROR(VLOOKUP('🏠 DASHBOARD'!$C$5,DF!$A:$C,3,TRUE()),0),IFERROR(VLOOKUP('🏠 DASHBOARD'!$C$5,RS!$A:$C,3,TRUE()),0))</f>
        <v>2473.7</v>
      </c>
      <c r="H22" s="1" t="n">
        <f aca="false">MAX(E22-G22,0)</f>
        <v>110.1</v>
      </c>
      <c r="I22" s="1" t="n">
        <f aca="false">IFERROR(H22/E22,0)</f>
        <v>0.0426116572490131</v>
      </c>
      <c r="J22" s="1" t="n">
        <f aca="false">H22*'🏠 DASHBOARD'!$I$5</f>
        <v>77.0699999999999</v>
      </c>
    </row>
    <row r="23" customFormat="false" ht="15" hidden="false" customHeight="true" outlineLevel="0" collapsed="false">
      <c r="A23" s="1" t="s">
        <v>112</v>
      </c>
      <c r="B23" s="1" t="s">
        <v>113</v>
      </c>
      <c r="C23" s="1" t="n">
        <f aca="false">IFERROR(VLOOKUP('🏠 DASHBOARD'!$C$5,RO!$A:$C,3,TRUE()),0)</f>
        <v>8711.83</v>
      </c>
      <c r="D23" s="1" t="n">
        <v>200</v>
      </c>
      <c r="E23" s="1" t="n">
        <f aca="false">C23+D23</f>
        <v>8911.83</v>
      </c>
      <c r="F23" s="1" t="str">
        <f aca="false">IF('🏠 DASHBOARD'!$C$5&gt;515750,"DF","RS")</f>
        <v>RS</v>
      </c>
      <c r="G23" s="1" t="n">
        <f aca="false">IF(F23="DF",IFERROR(VLOOKUP('🏠 DASHBOARD'!$C$5,DF!$A:$C,3,TRUE()),0),IFERROR(VLOOKUP('🏠 DASHBOARD'!$C$5,RS!$A:$C,3,TRUE()),0))</f>
        <v>2473.7</v>
      </c>
      <c r="H23" s="1" t="n">
        <f aca="false">MAX(E23-G23,0)</f>
        <v>6438.13</v>
      </c>
      <c r="I23" s="1" t="n">
        <f aca="false">IFERROR(H23/E23,0)</f>
        <v>0.722425136027056</v>
      </c>
      <c r="J23" s="1" t="n">
        <f aca="false">H23*'🏠 DASHBOARD'!$I$5</f>
        <v>4506.691</v>
      </c>
    </row>
    <row r="24" customFormat="false" ht="15" hidden="false" customHeight="true" outlineLevel="0" collapsed="false">
      <c r="A24" s="1" t="s">
        <v>114</v>
      </c>
      <c r="B24" s="1" t="s">
        <v>115</v>
      </c>
      <c r="C24" s="1" t="n">
        <f aca="false">IFERROR(VLOOKUP('🏠 DASHBOARD'!$C$5,RR!$A:$C,3,TRUE()),0)</f>
        <v>4213.03</v>
      </c>
      <c r="D24" s="1" t="n">
        <v>200</v>
      </c>
      <c r="E24" s="1" t="n">
        <f aca="false">C24+D24</f>
        <v>4413.03</v>
      </c>
      <c r="F24" s="1" t="str">
        <f aca="false">IF('🏠 DASHBOARD'!$C$5&gt;515750,"DF","RS")</f>
        <v>RS</v>
      </c>
      <c r="G24" s="1" t="n">
        <f aca="false">IF(F24="DF",IFERROR(VLOOKUP('🏠 DASHBOARD'!$C$5,DF!$A:$C,3,TRUE()),0),IFERROR(VLOOKUP('🏠 DASHBOARD'!$C$5,RS!$A:$C,3,TRUE()),0))</f>
        <v>2473.7</v>
      </c>
      <c r="H24" s="1" t="n">
        <f aca="false">MAX(E24-G24,0)</f>
        <v>1939.33</v>
      </c>
      <c r="I24" s="1" t="n">
        <f aca="false">IFERROR(H24/E24,0)</f>
        <v>0.439455430849099</v>
      </c>
      <c r="J24" s="1" t="n">
        <f aca="false">H24*'🏠 DASHBOARD'!$I$5</f>
        <v>1357.531</v>
      </c>
    </row>
    <row r="25" customFormat="false" ht="15" hidden="false" customHeight="true" outlineLevel="0" collapsed="false">
      <c r="A25" s="1" t="s">
        <v>116</v>
      </c>
      <c r="B25" s="1" t="s">
        <v>28</v>
      </c>
      <c r="C25" s="1" t="n">
        <f aca="false">IFERROR(VLOOKUP('🏠 DASHBOARD'!$C$5,SC!$A:$C,3,TRUE()),0)</f>
        <v>2997.58</v>
      </c>
      <c r="D25" s="1" t="n">
        <v>62.59</v>
      </c>
      <c r="E25" s="1" t="n">
        <f aca="false">C25+D25</f>
        <v>3060.17</v>
      </c>
      <c r="F25" s="1" t="str">
        <f aca="false">IF('🏠 DASHBOARD'!$C$5&gt;515750,"DF","RS")</f>
        <v>RS</v>
      </c>
      <c r="G25" s="1" t="n">
        <f aca="false">IF(F25="DF",IFERROR(VLOOKUP('🏠 DASHBOARD'!$C$5,DF!$A:$C,3,TRUE()),0),IFERROR(VLOOKUP('🏠 DASHBOARD'!$C$5,RS!$A:$C,3,TRUE()),0))</f>
        <v>2473.7</v>
      </c>
      <c r="H25" s="1" t="n">
        <f aca="false">MAX(E25-G25,0)</f>
        <v>586.47</v>
      </c>
      <c r="I25" s="1" t="n">
        <f aca="false">IFERROR(H25/E25,0)</f>
        <v>0.191646215733113</v>
      </c>
      <c r="J25" s="1" t="n">
        <f aca="false">H25*'🏠 DASHBOARD'!$I$5</f>
        <v>410.529</v>
      </c>
    </row>
    <row r="26" customFormat="false" ht="15" hidden="false" customHeight="true" outlineLevel="0" collapsed="false">
      <c r="A26" s="1" t="s">
        <v>117</v>
      </c>
      <c r="B26" s="1" t="s">
        <v>118</v>
      </c>
      <c r="C26" s="1" t="n">
        <f aca="false">IFERROR(VLOOKUP('🏠 DASHBOARD'!$C$5,SE!$A:$C,3,TRUE()),0)</f>
        <v>5179.16</v>
      </c>
      <c r="D26" s="1" t="n">
        <v>200</v>
      </c>
      <c r="E26" s="1" t="n">
        <f aca="false">C26+D26</f>
        <v>5379.16</v>
      </c>
      <c r="F26" s="1" t="str">
        <f aca="false">IF('🏠 DASHBOARD'!$C$5&gt;515750,"DF","RS")</f>
        <v>RS</v>
      </c>
      <c r="G26" s="1" t="n">
        <f aca="false">IF(F26="DF",IFERROR(VLOOKUP('🏠 DASHBOARD'!$C$5,DF!$A:$C,3,TRUE()),0),IFERROR(VLOOKUP('🏠 DASHBOARD'!$C$5,RS!$A:$C,3,TRUE()),0))</f>
        <v>2473.7</v>
      </c>
      <c r="H26" s="1" t="n">
        <f aca="false">MAX(E26-G26,0)</f>
        <v>2905.46</v>
      </c>
      <c r="I26" s="1" t="n">
        <f aca="false">IFERROR(H26/E26,0)</f>
        <v>0.540132660117937</v>
      </c>
      <c r="J26" s="1" t="n">
        <f aca="false">H26*'🏠 DASHBOARD'!$I$5</f>
        <v>2033.822</v>
      </c>
    </row>
    <row r="27" customFormat="false" ht="15" hidden="false" customHeight="true" outlineLevel="0" collapsed="false">
      <c r="A27" s="1" t="s">
        <v>8</v>
      </c>
      <c r="B27" s="1" t="s">
        <v>119</v>
      </c>
      <c r="C27" s="1" t="n">
        <f aca="false">IFERROR(VLOOKUP('🏠 DASHBOARD'!$C$5,SP!$A:$C,3,TRUE()),0)</f>
        <v>6942.82</v>
      </c>
      <c r="D27" s="1" t="n">
        <v>200</v>
      </c>
      <c r="E27" s="1" t="n">
        <f aca="false">C27+D27</f>
        <v>7142.82</v>
      </c>
      <c r="F27" s="1" t="str">
        <f aca="false">IF('🏠 DASHBOARD'!$C$5&gt;515750,"DF","RS")</f>
        <v>RS</v>
      </c>
      <c r="G27" s="1" t="n">
        <f aca="false">IF(F27="DF",IFERROR(VLOOKUP('🏠 DASHBOARD'!$C$5,DF!$A:$C,3,TRUE()),0),IFERROR(VLOOKUP('🏠 DASHBOARD'!$C$5,RS!$A:$C,3,TRUE()),0))</f>
        <v>2473.7</v>
      </c>
      <c r="H27" s="1" t="n">
        <f aca="false">MAX(E27-G27,0)</f>
        <v>4669.12</v>
      </c>
      <c r="I27" s="1" t="n">
        <f aca="false">IFERROR(H27/E27,0)</f>
        <v>0.653680199137036</v>
      </c>
      <c r="J27" s="1" t="n">
        <f aca="false">H27*'🏠 DASHBOARD'!$I$5</f>
        <v>3268.384</v>
      </c>
    </row>
    <row r="28" customFormat="false" ht="15" hidden="false" customHeight="true" outlineLevel="0" collapsed="false">
      <c r="A28" s="1" t="s">
        <v>120</v>
      </c>
      <c r="B28" s="1" t="s">
        <v>121</v>
      </c>
      <c r="C28" s="1" t="n">
        <f aca="false">IFERROR(VLOOKUP('🏠 DASHBOARD'!$C$5,TO!$A:$C,3,TRUE()),0)</f>
        <v>5075.36</v>
      </c>
      <c r="D28" s="1" t="n">
        <v>200</v>
      </c>
      <c r="E28" s="1" t="n">
        <f aca="false">C28+D28</f>
        <v>5275.36</v>
      </c>
      <c r="F28" s="1" t="str">
        <f aca="false">IF('🏠 DASHBOARD'!$C$5&gt;515750,"DF","RS")</f>
        <v>RS</v>
      </c>
      <c r="G28" s="1" t="n">
        <f aca="false">IF(F28="DF",IFERROR(VLOOKUP('🏠 DASHBOARD'!$C$5,DF!$A:$C,3,TRUE()),0),IFERROR(VLOOKUP('🏠 DASHBOARD'!$C$5,RS!$A:$C,3,TRUE()),0))</f>
        <v>2473.7</v>
      </c>
      <c r="H28" s="1" t="n">
        <f aca="false">MAX(E28-G28,0)</f>
        <v>2801.66</v>
      </c>
      <c r="I28" s="1" t="n">
        <f aca="false">IFERROR(H28/E28,0)</f>
        <v>0.531084134542477</v>
      </c>
      <c r="J28" s="1" t="n">
        <f aca="false">H28*'🏠 DASHBOARD'!$I$5</f>
        <v>1961.162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72</v>
      </c>
      <c r="B1" s="1" t="s">
        <v>122</v>
      </c>
      <c r="C1" s="1" t="n">
        <v>13440.9</v>
      </c>
      <c r="D1" s="1" t="n">
        <v>150</v>
      </c>
    </row>
    <row r="2" customFormat="false" ht="15" hidden="false" customHeight="true" outlineLevel="0" collapsed="false">
      <c r="A2" s="1" t="s">
        <v>74</v>
      </c>
      <c r="B2" s="1" t="s">
        <v>123</v>
      </c>
      <c r="C2" s="1" t="n">
        <v>11505.94</v>
      </c>
      <c r="D2" s="1" t="n">
        <v>22.43</v>
      </c>
    </row>
    <row r="3" customFormat="false" ht="15" hidden="false" customHeight="true" outlineLevel="0" collapsed="false">
      <c r="A3" s="1" t="s">
        <v>76</v>
      </c>
      <c r="B3" s="1" t="s">
        <v>124</v>
      </c>
      <c r="C3" s="1" t="n">
        <v>9021.69</v>
      </c>
      <c r="D3" s="1" t="n">
        <v>200</v>
      </c>
    </row>
    <row r="4" customFormat="false" ht="15" hidden="false" customHeight="true" outlineLevel="0" collapsed="false">
      <c r="A4" s="1" t="s">
        <v>78</v>
      </c>
      <c r="B4" s="1" t="s">
        <v>125</v>
      </c>
      <c r="C4" s="1" t="n">
        <v>15030.42</v>
      </c>
      <c r="D4" s="1" t="n">
        <v>200</v>
      </c>
    </row>
    <row r="5" customFormat="false" ht="15" hidden="false" customHeight="true" outlineLevel="0" collapsed="false">
      <c r="A5" s="1" t="s">
        <v>80</v>
      </c>
      <c r="B5" s="1" t="s">
        <v>126</v>
      </c>
      <c r="C5" s="1" t="n">
        <v>4067.28</v>
      </c>
      <c r="D5" s="1" t="n">
        <v>118.58</v>
      </c>
    </row>
    <row r="6" customFormat="false" ht="15" hidden="false" customHeight="true" outlineLevel="0" collapsed="false">
      <c r="A6" s="1" t="s">
        <v>82</v>
      </c>
      <c r="B6" s="1" t="s">
        <v>127</v>
      </c>
      <c r="C6" s="1" t="n">
        <v>3596.4</v>
      </c>
      <c r="D6" s="1" t="n">
        <v>62.13</v>
      </c>
    </row>
    <row r="7" customFormat="false" ht="15" hidden="false" customHeight="true" outlineLevel="0" collapsed="false">
      <c r="A7" s="1" t="s">
        <v>84</v>
      </c>
      <c r="B7" s="1" t="s">
        <v>128</v>
      </c>
      <c r="C7" s="1" t="n">
        <v>2372.2</v>
      </c>
      <c r="D7" s="1" t="n">
        <v>1186.1</v>
      </c>
    </row>
    <row r="8" customFormat="false" ht="15" hidden="false" customHeight="true" outlineLevel="0" collapsed="false">
      <c r="A8" s="1" t="s">
        <v>85</v>
      </c>
      <c r="B8" s="1" t="s">
        <v>129</v>
      </c>
      <c r="C8" s="1" t="n">
        <v>7254.52</v>
      </c>
      <c r="D8" s="1" t="n">
        <v>180</v>
      </c>
    </row>
    <row r="9" customFormat="false" ht="15" hidden="false" customHeight="true" outlineLevel="0" collapsed="false">
      <c r="A9" s="1" t="s">
        <v>87</v>
      </c>
      <c r="B9" s="1" t="s">
        <v>130</v>
      </c>
      <c r="C9" s="1" t="n">
        <v>7388.58</v>
      </c>
      <c r="D9" s="1" t="n">
        <v>200</v>
      </c>
    </row>
    <row r="10" customFormat="false" ht="15" hidden="false" customHeight="true" outlineLevel="0" collapsed="false">
      <c r="A10" s="1" t="s">
        <v>89</v>
      </c>
      <c r="B10" s="1" t="s">
        <v>131</v>
      </c>
      <c r="C10" s="1" t="n">
        <v>8388.96</v>
      </c>
      <c r="D10" s="1" t="n">
        <v>200</v>
      </c>
    </row>
    <row r="11" customFormat="false" ht="15" hidden="false" customHeight="true" outlineLevel="0" collapsed="false">
      <c r="A11" s="1" t="s">
        <v>91</v>
      </c>
      <c r="B11" s="1" t="s">
        <v>132</v>
      </c>
      <c r="C11" s="1" t="n">
        <v>6948.45</v>
      </c>
      <c r="D11" s="1" t="n">
        <v>300</v>
      </c>
    </row>
    <row r="12" customFormat="false" ht="15" hidden="false" customHeight="true" outlineLevel="0" collapsed="false">
      <c r="A12" s="1" t="s">
        <v>93</v>
      </c>
      <c r="B12" s="1" t="s">
        <v>133</v>
      </c>
      <c r="C12" s="1" t="n">
        <v>8219.16</v>
      </c>
      <c r="D12" s="1" t="n">
        <v>200</v>
      </c>
    </row>
    <row r="13" customFormat="false" ht="15" hidden="false" customHeight="true" outlineLevel="0" collapsed="false">
      <c r="A13" s="1" t="s">
        <v>95</v>
      </c>
      <c r="B13" s="1" t="s">
        <v>134</v>
      </c>
      <c r="C13" s="1" t="n">
        <v>5523.14</v>
      </c>
      <c r="D13" s="1" t="n">
        <v>68.94</v>
      </c>
    </row>
    <row r="14" customFormat="false" ht="15" hidden="false" customHeight="true" outlineLevel="0" collapsed="false">
      <c r="A14" s="1" t="s">
        <v>97</v>
      </c>
      <c r="B14" s="1" t="s">
        <v>135</v>
      </c>
      <c r="C14" s="1" t="n">
        <v>4152.8</v>
      </c>
      <c r="D14" s="1" t="n">
        <v>200</v>
      </c>
    </row>
    <row r="15" customFormat="false" ht="15" hidden="false" customHeight="true" outlineLevel="0" collapsed="false">
      <c r="A15" s="1" t="s">
        <v>99</v>
      </c>
      <c r="B15" s="1" t="s">
        <v>136</v>
      </c>
      <c r="C15" s="1" t="n">
        <v>9496.88</v>
      </c>
      <c r="D15" s="1" t="n">
        <v>170.35</v>
      </c>
    </row>
    <row r="16" customFormat="false" ht="15" hidden="false" customHeight="true" outlineLevel="0" collapsed="false">
      <c r="A16" s="1" t="s">
        <v>101</v>
      </c>
      <c r="B16" s="1" t="s">
        <v>137</v>
      </c>
      <c r="C16" s="1" t="n">
        <v>7084.1</v>
      </c>
      <c r="D16" s="1" t="n">
        <v>237.84</v>
      </c>
    </row>
    <row r="17" customFormat="false" ht="15" hidden="false" customHeight="true" outlineLevel="0" collapsed="false">
      <c r="A17" s="1" t="s">
        <v>103</v>
      </c>
      <c r="B17" s="1" t="s">
        <v>138</v>
      </c>
      <c r="C17" s="1" t="n">
        <v>4460.8</v>
      </c>
      <c r="D17" s="1" t="n">
        <v>200</v>
      </c>
    </row>
    <row r="18" customFormat="false" ht="15" hidden="false" customHeight="true" outlineLevel="0" collapsed="false">
      <c r="A18" s="1" t="s">
        <v>105</v>
      </c>
      <c r="B18" s="1" t="s">
        <v>139</v>
      </c>
      <c r="C18" s="1" t="n">
        <v>6360.31</v>
      </c>
      <c r="D18" s="1" t="n">
        <v>200</v>
      </c>
    </row>
    <row r="19" customFormat="false" ht="15" hidden="false" customHeight="true" outlineLevel="0" collapsed="false">
      <c r="A19" s="1" t="s">
        <v>107</v>
      </c>
      <c r="B19" s="1" t="s">
        <v>140</v>
      </c>
      <c r="C19" s="1" t="n">
        <v>2907.22</v>
      </c>
      <c r="D19" s="1" t="n">
        <v>435.39</v>
      </c>
    </row>
    <row r="20" customFormat="false" ht="15" hidden="false" customHeight="true" outlineLevel="0" collapsed="false">
      <c r="A20" s="1" t="s">
        <v>109</v>
      </c>
      <c r="B20" s="1" t="s">
        <v>141</v>
      </c>
      <c r="C20" s="1" t="n">
        <v>14108.04</v>
      </c>
      <c r="D20" s="1" t="n">
        <v>200</v>
      </c>
    </row>
    <row r="21" customFormat="false" ht="15" hidden="false" customHeight="true" outlineLevel="0" collapsed="false">
      <c r="A21" s="1" t="s">
        <v>111</v>
      </c>
      <c r="B21" s="1" t="s">
        <v>142</v>
      </c>
      <c r="C21" s="1" t="n">
        <v>2473.7</v>
      </c>
      <c r="D21" s="1" t="n">
        <v>110.1</v>
      </c>
    </row>
    <row r="22" customFormat="false" ht="15" hidden="false" customHeight="true" outlineLevel="0" collapsed="false">
      <c r="A22" s="1" t="s">
        <v>112</v>
      </c>
      <c r="B22" s="1" t="s">
        <v>143</v>
      </c>
      <c r="C22" s="1" t="n">
        <v>8711.83</v>
      </c>
      <c r="D22" s="1" t="n">
        <v>200</v>
      </c>
    </row>
    <row r="23" customFormat="false" ht="15" hidden="false" customHeight="true" outlineLevel="0" collapsed="false">
      <c r="A23" s="1" t="s">
        <v>114</v>
      </c>
      <c r="B23" s="1" t="s">
        <v>144</v>
      </c>
      <c r="C23" s="1" t="n">
        <v>4213.03</v>
      </c>
      <c r="D23" s="1" t="n">
        <v>200</v>
      </c>
    </row>
    <row r="24" customFormat="false" ht="15" hidden="false" customHeight="true" outlineLevel="0" collapsed="false">
      <c r="A24" s="1" t="s">
        <v>116</v>
      </c>
      <c r="B24" s="1" t="s">
        <v>145</v>
      </c>
      <c r="C24" s="1" t="n">
        <v>2997.58</v>
      </c>
      <c r="D24" s="1" t="n">
        <v>62.59</v>
      </c>
    </row>
    <row r="25" customFormat="false" ht="15" hidden="false" customHeight="true" outlineLevel="0" collapsed="false">
      <c r="A25" s="1" t="s">
        <v>117</v>
      </c>
      <c r="B25" s="1" t="s">
        <v>146</v>
      </c>
      <c r="C25" s="1" t="n">
        <v>5179.16</v>
      </c>
      <c r="D25" s="1" t="n">
        <v>200</v>
      </c>
    </row>
    <row r="26" customFormat="false" ht="15" hidden="false" customHeight="true" outlineLevel="0" collapsed="false">
      <c r="A26" s="1" t="s">
        <v>8</v>
      </c>
      <c r="B26" s="1" t="s">
        <v>147</v>
      </c>
      <c r="C26" s="1" t="n">
        <v>6942.82</v>
      </c>
      <c r="D26" s="1" t="n">
        <v>200</v>
      </c>
    </row>
    <row r="27" customFormat="false" ht="15" hidden="false" customHeight="true" outlineLevel="0" collapsed="false">
      <c r="A27" s="1" t="s">
        <v>120</v>
      </c>
      <c r="B27" s="1" t="s">
        <v>148</v>
      </c>
      <c r="C27" s="1" t="n">
        <v>5075.36</v>
      </c>
      <c r="D27" s="1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122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150</v>
      </c>
    </row>
    <row r="3" customFormat="false" ht="15" hidden="false" customHeight="true" outlineLevel="0" collapsed="false">
      <c r="A3" s="112" t="s">
        <v>151</v>
      </c>
      <c r="B3" s="112"/>
      <c r="C3" s="112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3000</v>
      </c>
      <c r="C6" s="114" t="n">
        <v>139.7</v>
      </c>
    </row>
    <row r="7" customFormat="false" ht="15" hidden="false" customHeight="true" outlineLevel="0" collapsed="false">
      <c r="A7" s="115" t="n">
        <v>3000.01</v>
      </c>
      <c r="B7" s="115" t="n">
        <v>5000</v>
      </c>
      <c r="C7" s="115" t="n">
        <v>403.2</v>
      </c>
    </row>
    <row r="8" customFormat="false" ht="15" hidden="false" customHeight="true" outlineLevel="0" collapsed="false">
      <c r="A8" s="114" t="n">
        <v>5000.01</v>
      </c>
      <c r="B8" s="114" t="n">
        <v>15000</v>
      </c>
      <c r="C8" s="114" t="n">
        <v>537.6</v>
      </c>
    </row>
    <row r="9" customFormat="false" ht="15" hidden="false" customHeight="true" outlineLevel="0" collapsed="false">
      <c r="A9" s="115" t="n">
        <v>15000.01</v>
      </c>
      <c r="B9" s="115" t="n">
        <v>30000</v>
      </c>
      <c r="C9" s="115" t="n">
        <v>806.6</v>
      </c>
    </row>
    <row r="10" customFormat="false" ht="15" hidden="false" customHeight="true" outlineLevel="0" collapsed="false">
      <c r="A10" s="114" t="n">
        <v>30000.01</v>
      </c>
      <c r="B10" s="114" t="n">
        <v>50000</v>
      </c>
      <c r="C10" s="114" t="n">
        <v>1344.2</v>
      </c>
    </row>
    <row r="11" customFormat="false" ht="15" hidden="false" customHeight="true" outlineLevel="0" collapsed="false">
      <c r="A11" s="115" t="n">
        <v>50000.01</v>
      </c>
      <c r="B11" s="115" t="n">
        <v>80000</v>
      </c>
      <c r="C11" s="115" t="n">
        <v>2150.5</v>
      </c>
    </row>
    <row r="12" customFormat="false" ht="15" hidden="false" customHeight="true" outlineLevel="0" collapsed="false">
      <c r="A12" s="114" t="n">
        <v>80000.01</v>
      </c>
      <c r="B12" s="114" t="n">
        <v>100000</v>
      </c>
      <c r="C12" s="114" t="n">
        <v>2688.1</v>
      </c>
    </row>
    <row r="13" customFormat="false" ht="15" hidden="false" customHeight="true" outlineLevel="0" collapsed="false">
      <c r="A13" s="115" t="n">
        <v>100000.01</v>
      </c>
      <c r="B13" s="115" t="n">
        <v>150000</v>
      </c>
      <c r="C13" s="115" t="n">
        <v>4032.4</v>
      </c>
    </row>
    <row r="14" customFormat="false" ht="15" hidden="false" customHeight="true" outlineLevel="0" collapsed="false">
      <c r="A14" s="114" t="n">
        <v>150000.01</v>
      </c>
      <c r="B14" s="114" t="n">
        <v>200000</v>
      </c>
      <c r="C14" s="114" t="n">
        <v>5376.4</v>
      </c>
    </row>
    <row r="15" customFormat="false" ht="15" hidden="false" customHeight="true" outlineLevel="0" collapsed="false">
      <c r="A15" s="115" t="n">
        <v>200000.01</v>
      </c>
      <c r="B15" s="115" t="n">
        <v>250000</v>
      </c>
      <c r="C15" s="115" t="n">
        <v>6720.8</v>
      </c>
    </row>
    <row r="16" customFormat="false" ht="15" hidden="false" customHeight="true" outlineLevel="0" collapsed="false">
      <c r="A16" s="114" t="n">
        <v>250000.01</v>
      </c>
      <c r="B16" s="114" t="n">
        <v>300000</v>
      </c>
      <c r="C16" s="114" t="n">
        <v>8064.7</v>
      </c>
    </row>
    <row r="17" customFormat="false" ht="15" hidden="false" customHeight="true" outlineLevel="0" collapsed="false">
      <c r="A17" s="115" t="n">
        <v>300000.01</v>
      </c>
      <c r="B17" s="115" t="n">
        <v>350000</v>
      </c>
      <c r="C17" s="115" t="n">
        <v>9408.8</v>
      </c>
    </row>
    <row r="18" customFormat="false" ht="15" hidden="false" customHeight="true" outlineLevel="0" collapsed="false">
      <c r="A18" s="114" t="n">
        <v>350000.01</v>
      </c>
      <c r="B18" s="114" t="n">
        <v>400000</v>
      </c>
      <c r="C18" s="114" t="n">
        <v>10752.8</v>
      </c>
    </row>
    <row r="19" customFormat="false" ht="15" hidden="false" customHeight="true" outlineLevel="0" collapsed="false">
      <c r="A19" s="115" t="n">
        <v>400000.01</v>
      </c>
      <c r="B19" s="115" t="n">
        <v>500000</v>
      </c>
      <c r="C19" s="115" t="n">
        <v>13440.9</v>
      </c>
    </row>
    <row r="20" customFormat="false" ht="15" hidden="false" customHeight="true" outlineLevel="0" collapsed="false">
      <c r="A20" s="114" t="n">
        <v>500000.01</v>
      </c>
      <c r="B20" s="114" t="n">
        <v>999999999</v>
      </c>
      <c r="C20" s="114" t="n">
        <v>16129.3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123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155</v>
      </c>
    </row>
    <row r="3" customFormat="false" ht="15" hidden="false" customHeight="true" outlineLevel="0" collapsed="false">
      <c r="A3" s="116" t="s">
        <v>156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6.4</v>
      </c>
      <c r="C6" s="114" t="n">
        <v>14.32</v>
      </c>
    </row>
    <row r="7" customFormat="false" ht="15" hidden="false" customHeight="true" outlineLevel="0" collapsed="false">
      <c r="A7" s="115" t="n">
        <v>6.41</v>
      </c>
      <c r="B7" s="115" t="n">
        <v>12.8</v>
      </c>
      <c r="C7" s="115" t="n">
        <v>21.44</v>
      </c>
    </row>
    <row r="8" customFormat="false" ht="15" hidden="false" customHeight="true" outlineLevel="0" collapsed="false">
      <c r="A8" s="114" t="n">
        <v>12.81</v>
      </c>
      <c r="B8" s="114" t="n">
        <v>38.4</v>
      </c>
      <c r="C8" s="114" t="n">
        <v>35.75</v>
      </c>
    </row>
    <row r="9" customFormat="false" ht="15" hidden="false" customHeight="true" outlineLevel="0" collapsed="false">
      <c r="A9" s="115" t="n">
        <v>38.41</v>
      </c>
      <c r="B9" s="115" t="n">
        <v>96</v>
      </c>
      <c r="C9" s="115" t="n">
        <v>49.89</v>
      </c>
    </row>
    <row r="10" customFormat="false" ht="15" hidden="false" customHeight="true" outlineLevel="0" collapsed="false">
      <c r="A10" s="114" t="n">
        <v>96.01</v>
      </c>
      <c r="B10" s="114" t="n">
        <v>160</v>
      </c>
      <c r="C10" s="114" t="n">
        <v>64.08</v>
      </c>
    </row>
    <row r="11" customFormat="false" ht="15" hidden="false" customHeight="true" outlineLevel="0" collapsed="false">
      <c r="A11" s="115" t="n">
        <v>160.01</v>
      </c>
      <c r="B11" s="115" t="n">
        <v>480</v>
      </c>
      <c r="C11" s="115" t="n">
        <v>107.19</v>
      </c>
    </row>
    <row r="12" customFormat="false" ht="15" hidden="false" customHeight="true" outlineLevel="0" collapsed="false">
      <c r="A12" s="114" t="n">
        <v>480.01</v>
      </c>
      <c r="B12" s="114" t="n">
        <v>960</v>
      </c>
      <c r="C12" s="114" t="n">
        <v>142.89</v>
      </c>
    </row>
    <row r="13" customFormat="false" ht="15" hidden="false" customHeight="true" outlineLevel="0" collapsed="false">
      <c r="A13" s="115" t="n">
        <v>960.01</v>
      </c>
      <c r="B13" s="115" t="n">
        <v>1920</v>
      </c>
      <c r="C13" s="115" t="n">
        <v>214.35</v>
      </c>
    </row>
    <row r="14" customFormat="false" ht="15" hidden="false" customHeight="true" outlineLevel="0" collapsed="false">
      <c r="A14" s="114" t="n">
        <v>1920.01</v>
      </c>
      <c r="B14" s="114" t="n">
        <v>2560</v>
      </c>
      <c r="C14" s="114" t="n">
        <v>285.76</v>
      </c>
    </row>
    <row r="15" customFormat="false" ht="15" hidden="false" customHeight="true" outlineLevel="0" collapsed="false">
      <c r="A15" s="115" t="n">
        <v>2560.01</v>
      </c>
      <c r="B15" s="115" t="n">
        <v>3200</v>
      </c>
      <c r="C15" s="115" t="n">
        <v>357.2</v>
      </c>
    </row>
    <row r="16" customFormat="false" ht="15" hidden="false" customHeight="true" outlineLevel="0" collapsed="false">
      <c r="A16" s="114" t="n">
        <v>3200.01</v>
      </c>
      <c r="B16" s="114" t="n">
        <v>4480</v>
      </c>
      <c r="C16" s="114" t="n">
        <v>385.86</v>
      </c>
    </row>
    <row r="17" customFormat="false" ht="15" hidden="false" customHeight="true" outlineLevel="0" collapsed="false">
      <c r="A17" s="115" t="n">
        <v>4480.01</v>
      </c>
      <c r="B17" s="115" t="n">
        <v>5760</v>
      </c>
      <c r="C17" s="115" t="n">
        <v>414.52</v>
      </c>
    </row>
    <row r="18" customFormat="false" ht="15" hidden="false" customHeight="true" outlineLevel="0" collapsed="false">
      <c r="A18" s="114" t="n">
        <v>5760.01</v>
      </c>
      <c r="B18" s="114" t="n">
        <v>7040</v>
      </c>
      <c r="C18" s="114" t="n">
        <v>443.18</v>
      </c>
    </row>
    <row r="19" customFormat="false" ht="15" hidden="false" customHeight="true" outlineLevel="0" collapsed="false">
      <c r="A19" s="115" t="n">
        <v>7040.01</v>
      </c>
      <c r="B19" s="115" t="n">
        <v>8320</v>
      </c>
      <c r="C19" s="115" t="n">
        <v>471.84</v>
      </c>
    </row>
    <row r="20" customFormat="false" ht="15" hidden="false" customHeight="true" outlineLevel="0" collapsed="false">
      <c r="A20" s="114" t="n">
        <v>8320.01</v>
      </c>
      <c r="B20" s="114" t="n">
        <v>9600</v>
      </c>
      <c r="C20" s="114" t="n">
        <v>500.5</v>
      </c>
    </row>
    <row r="21" customFormat="false" ht="15" hidden="false" customHeight="true" outlineLevel="0" collapsed="false">
      <c r="A21" s="115" t="n">
        <v>9600.01</v>
      </c>
      <c r="B21" s="115" t="n">
        <v>10880</v>
      </c>
      <c r="C21" s="115" t="n">
        <v>529.16</v>
      </c>
    </row>
    <row r="22" customFormat="false" ht="15" hidden="false" customHeight="true" outlineLevel="0" collapsed="false">
      <c r="A22" s="114" t="n">
        <v>10880.01</v>
      </c>
      <c r="B22" s="114" t="n">
        <v>12160</v>
      </c>
      <c r="C22" s="114" t="n">
        <v>557.82</v>
      </c>
    </row>
    <row r="23" customFormat="false" ht="15" hidden="false" customHeight="true" outlineLevel="0" collapsed="false">
      <c r="A23" s="115" t="n">
        <v>12160.01</v>
      </c>
      <c r="B23" s="115" t="n">
        <v>13440</v>
      </c>
      <c r="C23" s="115" t="n">
        <v>586.48</v>
      </c>
    </row>
    <row r="24" customFormat="false" ht="15" hidden="false" customHeight="true" outlineLevel="0" collapsed="false">
      <c r="A24" s="114" t="n">
        <v>13440.01</v>
      </c>
      <c r="B24" s="114" t="n">
        <v>14720</v>
      </c>
      <c r="C24" s="114" t="n">
        <v>615.14</v>
      </c>
    </row>
    <row r="25" customFormat="false" ht="15" hidden="false" customHeight="true" outlineLevel="0" collapsed="false">
      <c r="A25" s="115" t="n">
        <v>14720.01</v>
      </c>
      <c r="B25" s="115" t="n">
        <v>16000</v>
      </c>
      <c r="C25" s="115" t="n">
        <v>643.8</v>
      </c>
    </row>
    <row r="26" customFormat="false" ht="15" hidden="false" customHeight="true" outlineLevel="0" collapsed="false">
      <c r="A26" s="114" t="n">
        <v>16000.01</v>
      </c>
      <c r="B26" s="114" t="n">
        <v>17280</v>
      </c>
      <c r="C26" s="114" t="n">
        <v>672.46</v>
      </c>
    </row>
    <row r="27" customFormat="false" ht="15" hidden="false" customHeight="true" outlineLevel="0" collapsed="false">
      <c r="A27" s="115" t="n">
        <v>17280.01</v>
      </c>
      <c r="B27" s="115" t="n">
        <v>18560</v>
      </c>
      <c r="C27" s="115" t="n">
        <v>701.12</v>
      </c>
    </row>
    <row r="28" customFormat="false" ht="15" hidden="false" customHeight="true" outlineLevel="0" collapsed="false">
      <c r="A28" s="114" t="n">
        <v>18560.01</v>
      </c>
      <c r="B28" s="114" t="n">
        <v>19840</v>
      </c>
      <c r="C28" s="114" t="n">
        <v>729.78</v>
      </c>
    </row>
    <row r="29" customFormat="false" ht="15" hidden="false" customHeight="true" outlineLevel="0" collapsed="false">
      <c r="A29" s="115" t="n">
        <v>19840.01</v>
      </c>
      <c r="B29" s="115" t="n">
        <v>21120</v>
      </c>
      <c r="C29" s="115" t="n">
        <v>758.44</v>
      </c>
    </row>
    <row r="30" customFormat="false" ht="15" hidden="false" customHeight="true" outlineLevel="0" collapsed="false">
      <c r="A30" s="114" t="n">
        <v>21120.01</v>
      </c>
      <c r="B30" s="114" t="n">
        <v>22400</v>
      </c>
      <c r="C30" s="114" t="n">
        <v>787.1</v>
      </c>
    </row>
    <row r="31" customFormat="false" ht="15" hidden="false" customHeight="true" outlineLevel="0" collapsed="false">
      <c r="A31" s="115" t="n">
        <v>22400.01</v>
      </c>
      <c r="B31" s="115" t="n">
        <v>23680</v>
      </c>
      <c r="C31" s="115" t="n">
        <v>815.76</v>
      </c>
    </row>
    <row r="32" customFormat="false" ht="15" hidden="false" customHeight="true" outlineLevel="0" collapsed="false">
      <c r="A32" s="114" t="n">
        <v>23680.01</v>
      </c>
      <c r="B32" s="114" t="n">
        <v>24960</v>
      </c>
      <c r="C32" s="114" t="n">
        <v>844.42</v>
      </c>
    </row>
    <row r="33" customFormat="false" ht="15" hidden="false" customHeight="true" outlineLevel="0" collapsed="false">
      <c r="A33" s="115" t="n">
        <v>24960.01</v>
      </c>
      <c r="B33" s="115" t="n">
        <v>26240</v>
      </c>
      <c r="C33" s="115" t="n">
        <v>873.08</v>
      </c>
    </row>
    <row r="34" customFormat="false" ht="15" hidden="false" customHeight="true" outlineLevel="0" collapsed="false">
      <c r="A34" s="114" t="n">
        <v>26240.01</v>
      </c>
      <c r="B34" s="114" t="n">
        <v>27520</v>
      </c>
      <c r="C34" s="114" t="n">
        <v>901.74</v>
      </c>
    </row>
    <row r="35" customFormat="false" ht="15" hidden="false" customHeight="true" outlineLevel="0" collapsed="false">
      <c r="A35" s="115" t="n">
        <v>27520.01</v>
      </c>
      <c r="B35" s="115" t="n">
        <v>28800</v>
      </c>
      <c r="C35" s="115" t="n">
        <v>930.4</v>
      </c>
    </row>
    <row r="36" customFormat="false" ht="15" hidden="false" customHeight="true" outlineLevel="0" collapsed="false">
      <c r="A36" s="114" t="n">
        <v>28800.01</v>
      </c>
      <c r="B36" s="114" t="n">
        <v>30080</v>
      </c>
      <c r="C36" s="114" t="n">
        <v>959.06</v>
      </c>
    </row>
    <row r="37" customFormat="false" ht="15" hidden="false" customHeight="true" outlineLevel="0" collapsed="false">
      <c r="A37" s="115" t="n">
        <v>30080.01</v>
      </c>
      <c r="B37" s="115" t="n">
        <v>31360</v>
      </c>
      <c r="C37" s="115" t="n">
        <v>987.72</v>
      </c>
    </row>
    <row r="38" customFormat="false" ht="15" hidden="false" customHeight="true" outlineLevel="0" collapsed="false">
      <c r="A38" s="114" t="n">
        <v>31360.01</v>
      </c>
      <c r="B38" s="114" t="n">
        <v>32640</v>
      </c>
      <c r="C38" s="114" t="n">
        <v>1016.38</v>
      </c>
    </row>
    <row r="39" customFormat="false" ht="15" hidden="false" customHeight="true" outlineLevel="0" collapsed="false">
      <c r="A39" s="115" t="n">
        <v>32640.01</v>
      </c>
      <c r="B39" s="115" t="n">
        <v>33920</v>
      </c>
      <c r="C39" s="115" t="n">
        <v>1045.04</v>
      </c>
    </row>
    <row r="40" customFormat="false" ht="15" hidden="false" customHeight="true" outlineLevel="0" collapsed="false">
      <c r="A40" s="114" t="n">
        <v>33920.01</v>
      </c>
      <c r="B40" s="114" t="n">
        <v>35200</v>
      </c>
      <c r="C40" s="114" t="n">
        <v>1073.7</v>
      </c>
    </row>
    <row r="41" customFormat="false" ht="15" hidden="false" customHeight="true" outlineLevel="0" collapsed="false">
      <c r="A41" s="115" t="n">
        <v>35200.01</v>
      </c>
      <c r="B41" s="115" t="n">
        <v>36480</v>
      </c>
      <c r="C41" s="115" t="n">
        <v>1102.36</v>
      </c>
    </row>
    <row r="42" customFormat="false" ht="15" hidden="false" customHeight="true" outlineLevel="0" collapsed="false">
      <c r="A42" s="114" t="n">
        <v>36480.01</v>
      </c>
      <c r="B42" s="114" t="n">
        <v>37760</v>
      </c>
      <c r="C42" s="114" t="n">
        <v>1131.02</v>
      </c>
    </row>
    <row r="43" customFormat="false" ht="15" hidden="false" customHeight="true" outlineLevel="0" collapsed="false">
      <c r="A43" s="115" t="n">
        <v>37760.01</v>
      </c>
      <c r="B43" s="115" t="n">
        <v>39040</v>
      </c>
      <c r="C43" s="115" t="n">
        <v>1159.68</v>
      </c>
    </row>
    <row r="44" customFormat="false" ht="15" hidden="false" customHeight="true" outlineLevel="0" collapsed="false">
      <c r="A44" s="114" t="n">
        <v>39040.01</v>
      </c>
      <c r="B44" s="114" t="n">
        <v>40320</v>
      </c>
      <c r="C44" s="114" t="n">
        <v>1188.34</v>
      </c>
    </row>
    <row r="45" customFormat="false" ht="15" hidden="false" customHeight="true" outlineLevel="0" collapsed="false">
      <c r="A45" s="115" t="n">
        <v>40320.01</v>
      </c>
      <c r="B45" s="115" t="n">
        <v>41600</v>
      </c>
      <c r="C45" s="115" t="n">
        <v>1217</v>
      </c>
    </row>
    <row r="46" customFormat="false" ht="15" hidden="false" customHeight="true" outlineLevel="0" collapsed="false">
      <c r="A46" s="114" t="n">
        <v>41600.01</v>
      </c>
      <c r="B46" s="114" t="n">
        <v>42880</v>
      </c>
      <c r="C46" s="114" t="n">
        <v>1245.66</v>
      </c>
    </row>
    <row r="47" customFormat="false" ht="15" hidden="false" customHeight="true" outlineLevel="0" collapsed="false">
      <c r="A47" s="115" t="n">
        <v>42880.01</v>
      </c>
      <c r="B47" s="115" t="n">
        <v>44160</v>
      </c>
      <c r="C47" s="115" t="n">
        <v>1274.32</v>
      </c>
    </row>
    <row r="48" customFormat="false" ht="15" hidden="false" customHeight="true" outlineLevel="0" collapsed="false">
      <c r="A48" s="114" t="n">
        <v>44160.01</v>
      </c>
      <c r="B48" s="114" t="n">
        <v>45440</v>
      </c>
      <c r="C48" s="114" t="n">
        <v>1302.98</v>
      </c>
    </row>
    <row r="49" customFormat="false" ht="15" hidden="false" customHeight="true" outlineLevel="0" collapsed="false">
      <c r="A49" s="115" t="n">
        <v>45440.01</v>
      </c>
      <c r="B49" s="115" t="n">
        <v>46720</v>
      </c>
      <c r="C49" s="115" t="n">
        <v>1331.64</v>
      </c>
    </row>
    <row r="50" customFormat="false" ht="15" hidden="false" customHeight="true" outlineLevel="0" collapsed="false">
      <c r="A50" s="114" t="n">
        <v>46720.01</v>
      </c>
      <c r="B50" s="114" t="n">
        <v>48000</v>
      </c>
      <c r="C50" s="114" t="n">
        <v>1360.3</v>
      </c>
    </row>
    <row r="51" customFormat="false" ht="15" hidden="false" customHeight="true" outlineLevel="0" collapsed="false">
      <c r="A51" s="115" t="n">
        <v>48000.01</v>
      </c>
      <c r="B51" s="115" t="n">
        <v>49280</v>
      </c>
      <c r="C51" s="115" t="n">
        <v>1388.96</v>
      </c>
    </row>
    <row r="52" customFormat="false" ht="15" hidden="false" customHeight="true" outlineLevel="0" collapsed="false">
      <c r="A52" s="114" t="n">
        <v>49280.01</v>
      </c>
      <c r="B52" s="114" t="n">
        <v>50560</v>
      </c>
      <c r="C52" s="114" t="n">
        <v>1417.62</v>
      </c>
    </row>
    <row r="53" customFormat="false" ht="15" hidden="false" customHeight="true" outlineLevel="0" collapsed="false">
      <c r="A53" s="115" t="n">
        <v>50560.01</v>
      </c>
      <c r="B53" s="115" t="n">
        <v>51840</v>
      </c>
      <c r="C53" s="115" t="n">
        <v>1446.28</v>
      </c>
    </row>
    <row r="54" customFormat="false" ht="15" hidden="false" customHeight="true" outlineLevel="0" collapsed="false">
      <c r="A54" s="114" t="n">
        <v>51840.01</v>
      </c>
      <c r="B54" s="114" t="n">
        <v>53120</v>
      </c>
      <c r="C54" s="114" t="n">
        <v>1474.94</v>
      </c>
    </row>
    <row r="55" customFormat="false" ht="15" hidden="false" customHeight="true" outlineLevel="0" collapsed="false">
      <c r="A55" s="115" t="n">
        <v>53120.01</v>
      </c>
      <c r="B55" s="115" t="n">
        <v>54400</v>
      </c>
      <c r="C55" s="115" t="n">
        <v>1503.6</v>
      </c>
    </row>
    <row r="56" customFormat="false" ht="15" hidden="false" customHeight="true" outlineLevel="0" collapsed="false">
      <c r="A56" s="114" t="n">
        <v>54400.01</v>
      </c>
      <c r="B56" s="114" t="n">
        <v>55680</v>
      </c>
      <c r="C56" s="114" t="n">
        <v>1532.26</v>
      </c>
    </row>
    <row r="57" customFormat="false" ht="15" hidden="false" customHeight="true" outlineLevel="0" collapsed="false">
      <c r="A57" s="115" t="n">
        <v>55680.01</v>
      </c>
      <c r="B57" s="115" t="n">
        <v>56960</v>
      </c>
      <c r="C57" s="115" t="n">
        <v>1560.92</v>
      </c>
    </row>
    <row r="58" customFormat="false" ht="15" hidden="false" customHeight="true" outlineLevel="0" collapsed="false">
      <c r="A58" s="114" t="n">
        <v>56960.01</v>
      </c>
      <c r="B58" s="114" t="n">
        <v>58240</v>
      </c>
      <c r="C58" s="114" t="n">
        <v>1589.58</v>
      </c>
    </row>
    <row r="59" customFormat="false" ht="15" hidden="false" customHeight="true" outlineLevel="0" collapsed="false">
      <c r="A59" s="115" t="n">
        <v>58240.01</v>
      </c>
      <c r="B59" s="115" t="n">
        <v>59520</v>
      </c>
      <c r="C59" s="115" t="n">
        <v>1618.24</v>
      </c>
    </row>
    <row r="60" customFormat="false" ht="15" hidden="false" customHeight="true" outlineLevel="0" collapsed="false">
      <c r="A60" s="114" t="n">
        <v>59520.01</v>
      </c>
      <c r="B60" s="114" t="n">
        <v>60800</v>
      </c>
      <c r="C60" s="114" t="n">
        <v>1646.9</v>
      </c>
    </row>
    <row r="61" customFormat="false" ht="15" hidden="false" customHeight="true" outlineLevel="0" collapsed="false">
      <c r="A61" s="115" t="n">
        <v>60800.01</v>
      </c>
      <c r="B61" s="115" t="n">
        <v>62080</v>
      </c>
      <c r="C61" s="115" t="n">
        <v>1675.56</v>
      </c>
    </row>
    <row r="62" customFormat="false" ht="15" hidden="false" customHeight="true" outlineLevel="0" collapsed="false">
      <c r="A62" s="114" t="n">
        <v>62080.01</v>
      </c>
      <c r="B62" s="114" t="n">
        <v>63360</v>
      </c>
      <c r="C62" s="114" t="n">
        <v>1704.22</v>
      </c>
    </row>
    <row r="63" customFormat="false" ht="15" hidden="false" customHeight="true" outlineLevel="0" collapsed="false">
      <c r="A63" s="115" t="n">
        <v>63360.01</v>
      </c>
      <c r="B63" s="115" t="n">
        <v>64640</v>
      </c>
      <c r="C63" s="115" t="n">
        <v>1732.88</v>
      </c>
    </row>
    <row r="64" customFormat="false" ht="15" hidden="false" customHeight="true" outlineLevel="0" collapsed="false">
      <c r="A64" s="114" t="n">
        <v>64640.01</v>
      </c>
      <c r="B64" s="114" t="n">
        <v>65920</v>
      </c>
      <c r="C64" s="114" t="n">
        <v>1761.54</v>
      </c>
    </row>
    <row r="65" customFormat="false" ht="15" hidden="false" customHeight="true" outlineLevel="0" collapsed="false">
      <c r="A65" s="115" t="n">
        <v>65920.01</v>
      </c>
      <c r="B65" s="115" t="n">
        <v>67200</v>
      </c>
      <c r="C65" s="115" t="n">
        <v>1790.2</v>
      </c>
    </row>
    <row r="66" customFormat="false" ht="15" hidden="false" customHeight="true" outlineLevel="0" collapsed="false">
      <c r="A66" s="114" t="n">
        <v>67200.01</v>
      </c>
      <c r="B66" s="114" t="n">
        <v>68480</v>
      </c>
      <c r="C66" s="114" t="n">
        <v>1818.86</v>
      </c>
    </row>
    <row r="67" customFormat="false" ht="15" hidden="false" customHeight="true" outlineLevel="0" collapsed="false">
      <c r="A67" s="115" t="n">
        <v>68480.01</v>
      </c>
      <c r="B67" s="115" t="n">
        <v>69760</v>
      </c>
      <c r="C67" s="115" t="n">
        <v>1847.52</v>
      </c>
    </row>
    <row r="68" customFormat="false" ht="15" hidden="false" customHeight="true" outlineLevel="0" collapsed="false">
      <c r="A68" s="114" t="n">
        <v>69760.01</v>
      </c>
      <c r="B68" s="114" t="n">
        <v>71040</v>
      </c>
      <c r="C68" s="114" t="n">
        <v>1876.18</v>
      </c>
    </row>
    <row r="69" customFormat="false" ht="15" hidden="false" customHeight="true" outlineLevel="0" collapsed="false">
      <c r="A69" s="115" t="n">
        <v>71040.01</v>
      </c>
      <c r="B69" s="115" t="n">
        <v>72320</v>
      </c>
      <c r="C69" s="115" t="n">
        <v>1904.84</v>
      </c>
    </row>
    <row r="70" customFormat="false" ht="15" hidden="false" customHeight="true" outlineLevel="0" collapsed="false">
      <c r="A70" s="114" t="n">
        <v>72320.01</v>
      </c>
      <c r="B70" s="114" t="n">
        <v>73600</v>
      </c>
      <c r="C70" s="114" t="n">
        <v>1933.5</v>
      </c>
    </row>
    <row r="71" customFormat="false" ht="15" hidden="false" customHeight="true" outlineLevel="0" collapsed="false">
      <c r="A71" s="115" t="n">
        <v>73600.01</v>
      </c>
      <c r="B71" s="115" t="n">
        <v>74880</v>
      </c>
      <c r="C71" s="115" t="n">
        <v>1962.16</v>
      </c>
    </row>
    <row r="72" customFormat="false" ht="15" hidden="false" customHeight="true" outlineLevel="0" collapsed="false">
      <c r="A72" s="114" t="n">
        <v>74880.01</v>
      </c>
      <c r="B72" s="114" t="n">
        <v>76160</v>
      </c>
      <c r="C72" s="114" t="n">
        <v>1990.82</v>
      </c>
    </row>
    <row r="73" customFormat="false" ht="15" hidden="false" customHeight="true" outlineLevel="0" collapsed="false">
      <c r="A73" s="115" t="n">
        <v>76160.01</v>
      </c>
      <c r="B73" s="115" t="n">
        <v>77440</v>
      </c>
      <c r="C73" s="115" t="n">
        <v>2019.48</v>
      </c>
    </row>
    <row r="74" customFormat="false" ht="15" hidden="false" customHeight="true" outlineLevel="0" collapsed="false">
      <c r="A74" s="114" t="n">
        <v>77440.01</v>
      </c>
      <c r="B74" s="114" t="n">
        <v>78720</v>
      </c>
      <c r="C74" s="114" t="n">
        <v>2048.14</v>
      </c>
    </row>
    <row r="75" customFormat="false" ht="15" hidden="false" customHeight="true" outlineLevel="0" collapsed="false">
      <c r="A75" s="115" t="n">
        <v>78720.01</v>
      </c>
      <c r="B75" s="115" t="n">
        <v>80000</v>
      </c>
      <c r="C75" s="115" t="n">
        <v>2076.8</v>
      </c>
    </row>
    <row r="76" customFormat="false" ht="15" hidden="false" customHeight="true" outlineLevel="0" collapsed="false">
      <c r="A76" s="114" t="n">
        <v>80000.01</v>
      </c>
      <c r="B76" s="114" t="n">
        <v>81280</v>
      </c>
      <c r="C76" s="114" t="n">
        <v>2105.46</v>
      </c>
    </row>
    <row r="77" customFormat="false" ht="15" hidden="false" customHeight="true" outlineLevel="0" collapsed="false">
      <c r="A77" s="115" t="n">
        <v>81280.01</v>
      </c>
      <c r="B77" s="115" t="n">
        <v>82560</v>
      </c>
      <c r="C77" s="115" t="n">
        <v>2134.12</v>
      </c>
    </row>
    <row r="78" customFormat="false" ht="15" hidden="false" customHeight="true" outlineLevel="0" collapsed="false">
      <c r="A78" s="114" t="n">
        <v>82560.01</v>
      </c>
      <c r="B78" s="114" t="n">
        <v>83840</v>
      </c>
      <c r="C78" s="114" t="n">
        <v>2162.78</v>
      </c>
    </row>
    <row r="79" customFormat="false" ht="15" hidden="false" customHeight="true" outlineLevel="0" collapsed="false">
      <c r="A79" s="115" t="n">
        <v>83840.01</v>
      </c>
      <c r="B79" s="115" t="n">
        <v>85120</v>
      </c>
      <c r="C79" s="115" t="n">
        <v>2191.44</v>
      </c>
    </row>
    <row r="80" customFormat="false" ht="15" hidden="false" customHeight="true" outlineLevel="0" collapsed="false">
      <c r="A80" s="114" t="n">
        <v>85120.01</v>
      </c>
      <c r="B80" s="114" t="n">
        <v>86400</v>
      </c>
      <c r="C80" s="114" t="n">
        <v>2220.1</v>
      </c>
    </row>
    <row r="81" customFormat="false" ht="15" hidden="false" customHeight="true" outlineLevel="0" collapsed="false">
      <c r="A81" s="115" t="n">
        <v>86400.01</v>
      </c>
      <c r="B81" s="115" t="n">
        <v>87680</v>
      </c>
      <c r="C81" s="115" t="n">
        <v>2248.76</v>
      </c>
    </row>
    <row r="82" customFormat="false" ht="15" hidden="false" customHeight="true" outlineLevel="0" collapsed="false">
      <c r="A82" s="114" t="n">
        <v>87680.01</v>
      </c>
      <c r="B82" s="114" t="n">
        <v>88960</v>
      </c>
      <c r="C82" s="114" t="n">
        <v>2277.42</v>
      </c>
    </row>
    <row r="83" customFormat="false" ht="15" hidden="false" customHeight="true" outlineLevel="0" collapsed="false">
      <c r="A83" s="115" t="n">
        <v>88960.01</v>
      </c>
      <c r="B83" s="115" t="n">
        <v>90240</v>
      </c>
      <c r="C83" s="115" t="n">
        <v>2306.08</v>
      </c>
    </row>
    <row r="84" customFormat="false" ht="15" hidden="false" customHeight="true" outlineLevel="0" collapsed="false">
      <c r="A84" s="114" t="n">
        <v>90240.01</v>
      </c>
      <c r="B84" s="114" t="n">
        <v>91520</v>
      </c>
      <c r="C84" s="114" t="n">
        <v>2334.74</v>
      </c>
    </row>
    <row r="85" customFormat="false" ht="15" hidden="false" customHeight="true" outlineLevel="0" collapsed="false">
      <c r="A85" s="115" t="n">
        <v>91520.01</v>
      </c>
      <c r="B85" s="115" t="n">
        <v>92800</v>
      </c>
      <c r="C85" s="115" t="n">
        <v>2363.4</v>
      </c>
    </row>
    <row r="86" customFormat="false" ht="15" hidden="false" customHeight="true" outlineLevel="0" collapsed="false">
      <c r="A86" s="114" t="n">
        <v>92800.01</v>
      </c>
      <c r="B86" s="114" t="n">
        <v>94080</v>
      </c>
      <c r="C86" s="114" t="n">
        <v>2392.06</v>
      </c>
    </row>
    <row r="87" customFormat="false" ht="15" hidden="false" customHeight="true" outlineLevel="0" collapsed="false">
      <c r="A87" s="115" t="n">
        <v>94080.01</v>
      </c>
      <c r="B87" s="115" t="n">
        <v>95360</v>
      </c>
      <c r="C87" s="115" t="n">
        <v>2420.72</v>
      </c>
    </row>
    <row r="88" customFormat="false" ht="15" hidden="false" customHeight="true" outlineLevel="0" collapsed="false">
      <c r="A88" s="114" t="n">
        <v>95360.01</v>
      </c>
      <c r="B88" s="114" t="n">
        <v>96640</v>
      </c>
      <c r="C88" s="114" t="n">
        <v>2449.38</v>
      </c>
    </row>
    <row r="89" customFormat="false" ht="15" hidden="false" customHeight="true" outlineLevel="0" collapsed="false">
      <c r="A89" s="115" t="n">
        <v>96640.01</v>
      </c>
      <c r="B89" s="115" t="n">
        <v>97920</v>
      </c>
      <c r="C89" s="115" t="n">
        <v>2478.04</v>
      </c>
    </row>
    <row r="90" customFormat="false" ht="15" hidden="false" customHeight="true" outlineLevel="0" collapsed="false">
      <c r="A90" s="114" t="n">
        <v>97920.01</v>
      </c>
      <c r="B90" s="114" t="n">
        <v>99200</v>
      </c>
      <c r="C90" s="114" t="n">
        <v>2506.7</v>
      </c>
    </row>
    <row r="91" customFormat="false" ht="15" hidden="false" customHeight="true" outlineLevel="0" collapsed="false">
      <c r="A91" s="115" t="n">
        <v>99200.01</v>
      </c>
      <c r="B91" s="115" t="n">
        <v>100480</v>
      </c>
      <c r="C91" s="115" t="n">
        <v>2535.36</v>
      </c>
    </row>
    <row r="92" customFormat="false" ht="15" hidden="false" customHeight="true" outlineLevel="0" collapsed="false">
      <c r="A92" s="114" t="n">
        <v>100480.01</v>
      </c>
      <c r="B92" s="114" t="n">
        <v>101760</v>
      </c>
      <c r="C92" s="114" t="n">
        <v>2564.02</v>
      </c>
    </row>
    <row r="93" customFormat="false" ht="15" hidden="false" customHeight="true" outlineLevel="0" collapsed="false">
      <c r="A93" s="115" t="n">
        <v>101760.01</v>
      </c>
      <c r="B93" s="115" t="n">
        <v>103040</v>
      </c>
      <c r="C93" s="115" t="n">
        <v>2592.68</v>
      </c>
    </row>
    <row r="94" customFormat="false" ht="15" hidden="false" customHeight="true" outlineLevel="0" collapsed="false">
      <c r="A94" s="114" t="n">
        <v>103040.01</v>
      </c>
      <c r="B94" s="114" t="n">
        <v>104320</v>
      </c>
      <c r="C94" s="114" t="n">
        <v>2621.34</v>
      </c>
    </row>
    <row r="95" customFormat="false" ht="15" hidden="false" customHeight="true" outlineLevel="0" collapsed="false">
      <c r="A95" s="115" t="n">
        <v>104320.01</v>
      </c>
      <c r="B95" s="115" t="n">
        <v>105600</v>
      </c>
      <c r="C95" s="115" t="n">
        <v>2650</v>
      </c>
    </row>
    <row r="96" customFormat="false" ht="15" hidden="false" customHeight="true" outlineLevel="0" collapsed="false">
      <c r="A96" s="114" t="n">
        <v>105600.01</v>
      </c>
      <c r="B96" s="114" t="n">
        <v>106880</v>
      </c>
      <c r="C96" s="114" t="n">
        <v>2678.66</v>
      </c>
    </row>
    <row r="97" customFormat="false" ht="15" hidden="false" customHeight="true" outlineLevel="0" collapsed="false">
      <c r="A97" s="115" t="n">
        <v>106880.01</v>
      </c>
      <c r="B97" s="115" t="n">
        <v>108160</v>
      </c>
      <c r="C97" s="115" t="n">
        <v>2707.32</v>
      </c>
    </row>
    <row r="98" customFormat="false" ht="15" hidden="false" customHeight="true" outlineLevel="0" collapsed="false">
      <c r="A98" s="114" t="n">
        <v>108160.01</v>
      </c>
      <c r="B98" s="114" t="n">
        <v>109440</v>
      </c>
      <c r="C98" s="114" t="n">
        <v>2735.98</v>
      </c>
    </row>
    <row r="99" customFormat="false" ht="15" hidden="false" customHeight="true" outlineLevel="0" collapsed="false">
      <c r="A99" s="115" t="n">
        <v>109440.01</v>
      </c>
      <c r="B99" s="115" t="n">
        <v>110720</v>
      </c>
      <c r="C99" s="115" t="n">
        <v>2764.64</v>
      </c>
    </row>
    <row r="100" customFormat="false" ht="15" hidden="false" customHeight="true" outlineLevel="0" collapsed="false">
      <c r="A100" s="114" t="n">
        <v>110720.01</v>
      </c>
      <c r="B100" s="114" t="n">
        <v>112000</v>
      </c>
      <c r="C100" s="114" t="n">
        <v>2793.3</v>
      </c>
    </row>
    <row r="101" customFormat="false" ht="15" hidden="false" customHeight="true" outlineLevel="0" collapsed="false">
      <c r="A101" s="115" t="n">
        <v>112000.01</v>
      </c>
      <c r="B101" s="115" t="n">
        <v>113280</v>
      </c>
      <c r="C101" s="115" t="n">
        <v>2821.96</v>
      </c>
    </row>
    <row r="102" customFormat="false" ht="15" hidden="false" customHeight="true" outlineLevel="0" collapsed="false">
      <c r="A102" s="114" t="n">
        <v>113280.01</v>
      </c>
      <c r="B102" s="114" t="n">
        <v>114560</v>
      </c>
      <c r="C102" s="114" t="n">
        <v>2850.62</v>
      </c>
    </row>
    <row r="103" customFormat="false" ht="15" hidden="false" customHeight="true" outlineLevel="0" collapsed="false">
      <c r="A103" s="115" t="n">
        <v>114560.01</v>
      </c>
      <c r="B103" s="115" t="n">
        <v>115840</v>
      </c>
      <c r="C103" s="115" t="n">
        <v>2879.28</v>
      </c>
    </row>
    <row r="104" customFormat="false" ht="15" hidden="false" customHeight="true" outlineLevel="0" collapsed="false">
      <c r="A104" s="114" t="n">
        <v>115840.01</v>
      </c>
      <c r="B104" s="114" t="n">
        <v>117120</v>
      </c>
      <c r="C104" s="114" t="n">
        <v>2907.94</v>
      </c>
    </row>
    <row r="105" customFormat="false" ht="15" hidden="false" customHeight="true" outlineLevel="0" collapsed="false">
      <c r="A105" s="115" t="n">
        <v>117120.01</v>
      </c>
      <c r="B105" s="115" t="n">
        <v>118400</v>
      </c>
      <c r="C105" s="115" t="n">
        <v>2936.6</v>
      </c>
    </row>
    <row r="106" customFormat="false" ht="15" hidden="false" customHeight="true" outlineLevel="0" collapsed="false">
      <c r="A106" s="114" t="n">
        <v>118400.01</v>
      </c>
      <c r="B106" s="114" t="n">
        <v>119680</v>
      </c>
      <c r="C106" s="114" t="n">
        <v>2965.26</v>
      </c>
    </row>
    <row r="107" customFormat="false" ht="15" hidden="false" customHeight="true" outlineLevel="0" collapsed="false">
      <c r="A107" s="115" t="n">
        <v>119680.01</v>
      </c>
      <c r="B107" s="115" t="n">
        <v>120960</v>
      </c>
      <c r="C107" s="115" t="n">
        <v>2993.92</v>
      </c>
    </row>
    <row r="108" customFormat="false" ht="15" hidden="false" customHeight="true" outlineLevel="0" collapsed="false">
      <c r="A108" s="114" t="n">
        <v>120960.01</v>
      </c>
      <c r="B108" s="114" t="n">
        <v>122240</v>
      </c>
      <c r="C108" s="114" t="n">
        <v>3022.58</v>
      </c>
    </row>
    <row r="109" customFormat="false" ht="15" hidden="false" customHeight="true" outlineLevel="0" collapsed="false">
      <c r="A109" s="115" t="n">
        <v>122240.01</v>
      </c>
      <c r="B109" s="115" t="n">
        <v>123520</v>
      </c>
      <c r="C109" s="115" t="n">
        <v>3051.24</v>
      </c>
    </row>
    <row r="110" customFormat="false" ht="15" hidden="false" customHeight="true" outlineLevel="0" collapsed="false">
      <c r="A110" s="114" t="n">
        <v>123520.01</v>
      </c>
      <c r="B110" s="114" t="n">
        <v>124800</v>
      </c>
      <c r="C110" s="114" t="n">
        <v>3079.9</v>
      </c>
    </row>
    <row r="111" customFormat="false" ht="15" hidden="false" customHeight="true" outlineLevel="0" collapsed="false">
      <c r="A111" s="115" t="n">
        <v>124800.01</v>
      </c>
      <c r="B111" s="115" t="n">
        <v>126080</v>
      </c>
      <c r="C111" s="115" t="n">
        <v>3108.56</v>
      </c>
    </row>
    <row r="112" customFormat="false" ht="15" hidden="false" customHeight="true" outlineLevel="0" collapsed="false">
      <c r="A112" s="114" t="n">
        <v>126080.01</v>
      </c>
      <c r="B112" s="114" t="n">
        <v>127360</v>
      </c>
      <c r="C112" s="114" t="n">
        <v>3137.22</v>
      </c>
    </row>
    <row r="113" customFormat="false" ht="15" hidden="false" customHeight="true" outlineLevel="0" collapsed="false">
      <c r="A113" s="115" t="n">
        <v>127360.01</v>
      </c>
      <c r="B113" s="115" t="n">
        <v>128640</v>
      </c>
      <c r="C113" s="115" t="n">
        <v>3165.88</v>
      </c>
    </row>
    <row r="114" customFormat="false" ht="15" hidden="false" customHeight="true" outlineLevel="0" collapsed="false">
      <c r="A114" s="114" t="n">
        <v>128640.01</v>
      </c>
      <c r="B114" s="114" t="n">
        <v>129920</v>
      </c>
      <c r="C114" s="114" t="n">
        <v>3194.54</v>
      </c>
    </row>
    <row r="115" customFormat="false" ht="15" hidden="false" customHeight="true" outlineLevel="0" collapsed="false">
      <c r="A115" s="115" t="n">
        <v>129920.01</v>
      </c>
      <c r="B115" s="115" t="n">
        <v>131200</v>
      </c>
      <c r="C115" s="115" t="n">
        <v>3223.2</v>
      </c>
    </row>
    <row r="116" customFormat="false" ht="15" hidden="false" customHeight="true" outlineLevel="0" collapsed="false">
      <c r="A116" s="114" t="n">
        <v>131200.01</v>
      </c>
      <c r="B116" s="114" t="n">
        <v>132480</v>
      </c>
      <c r="C116" s="114" t="n">
        <v>3251.86</v>
      </c>
    </row>
    <row r="117" customFormat="false" ht="15" hidden="false" customHeight="true" outlineLevel="0" collapsed="false">
      <c r="A117" s="115" t="n">
        <v>132480.01</v>
      </c>
      <c r="B117" s="115" t="n">
        <v>133760</v>
      </c>
      <c r="C117" s="115" t="n">
        <v>3280.52</v>
      </c>
    </row>
    <row r="118" customFormat="false" ht="15" hidden="false" customHeight="true" outlineLevel="0" collapsed="false">
      <c r="A118" s="114" t="n">
        <v>133760.01</v>
      </c>
      <c r="B118" s="114" t="n">
        <v>135040</v>
      </c>
      <c r="C118" s="114" t="n">
        <v>3309.18</v>
      </c>
    </row>
    <row r="119" customFormat="false" ht="15" hidden="false" customHeight="true" outlineLevel="0" collapsed="false">
      <c r="A119" s="115" t="n">
        <v>135040.01</v>
      </c>
      <c r="B119" s="115" t="n">
        <v>136320</v>
      </c>
      <c r="C119" s="115" t="n">
        <v>3337.84</v>
      </c>
    </row>
    <row r="120" customFormat="false" ht="15" hidden="false" customHeight="true" outlineLevel="0" collapsed="false">
      <c r="A120" s="114" t="n">
        <v>136320.01</v>
      </c>
      <c r="B120" s="114" t="n">
        <v>137600</v>
      </c>
      <c r="C120" s="114" t="n">
        <v>3366.5</v>
      </c>
    </row>
    <row r="121" customFormat="false" ht="15" hidden="false" customHeight="true" outlineLevel="0" collapsed="false">
      <c r="A121" s="115" t="n">
        <v>137600.01</v>
      </c>
      <c r="B121" s="115" t="n">
        <v>138880</v>
      </c>
      <c r="C121" s="115" t="n">
        <v>3395.16</v>
      </c>
    </row>
    <row r="122" customFormat="false" ht="15" hidden="false" customHeight="true" outlineLevel="0" collapsed="false">
      <c r="A122" s="114" t="n">
        <v>138880.01</v>
      </c>
      <c r="B122" s="114" t="n">
        <v>140160</v>
      </c>
      <c r="C122" s="114" t="n">
        <v>3423.82</v>
      </c>
    </row>
    <row r="123" customFormat="false" ht="15" hidden="false" customHeight="true" outlineLevel="0" collapsed="false">
      <c r="A123" s="115" t="n">
        <v>140160.01</v>
      </c>
      <c r="B123" s="115" t="n">
        <v>141440</v>
      </c>
      <c r="C123" s="115" t="n">
        <v>3452.48</v>
      </c>
    </row>
    <row r="124" customFormat="false" ht="15" hidden="false" customHeight="true" outlineLevel="0" collapsed="false">
      <c r="A124" s="114" t="n">
        <v>141440.01</v>
      </c>
      <c r="B124" s="114" t="n">
        <v>142720</v>
      </c>
      <c r="C124" s="114" t="n">
        <v>3481.14</v>
      </c>
    </row>
    <row r="125" customFormat="false" ht="15" hidden="false" customHeight="true" outlineLevel="0" collapsed="false">
      <c r="A125" s="115" t="n">
        <v>142720.01</v>
      </c>
      <c r="B125" s="115" t="n">
        <v>144000</v>
      </c>
      <c r="C125" s="115" t="n">
        <v>3509.8</v>
      </c>
    </row>
    <row r="126" customFormat="false" ht="15" hidden="false" customHeight="true" outlineLevel="0" collapsed="false">
      <c r="A126" s="114" t="n">
        <v>144000.01</v>
      </c>
      <c r="B126" s="114" t="n">
        <v>145280</v>
      </c>
      <c r="C126" s="114" t="n">
        <v>3538.46</v>
      </c>
    </row>
    <row r="127" customFormat="false" ht="15" hidden="false" customHeight="true" outlineLevel="0" collapsed="false">
      <c r="A127" s="115" t="n">
        <v>145280.01</v>
      </c>
      <c r="B127" s="115" t="n">
        <v>146560</v>
      </c>
      <c r="C127" s="115" t="n">
        <v>3567.11999999999</v>
      </c>
    </row>
    <row r="128" customFormat="false" ht="15" hidden="false" customHeight="true" outlineLevel="0" collapsed="false">
      <c r="A128" s="114" t="n">
        <v>146560.01</v>
      </c>
      <c r="B128" s="114" t="n">
        <v>147840</v>
      </c>
      <c r="C128" s="114" t="n">
        <v>3595.77999999999</v>
      </c>
    </row>
    <row r="129" customFormat="false" ht="15" hidden="false" customHeight="true" outlineLevel="0" collapsed="false">
      <c r="A129" s="115" t="n">
        <v>147840.01</v>
      </c>
      <c r="B129" s="115" t="n">
        <v>149120</v>
      </c>
      <c r="C129" s="115" t="n">
        <v>3624.43999999999</v>
      </c>
    </row>
    <row r="130" customFormat="false" ht="15" hidden="false" customHeight="true" outlineLevel="0" collapsed="false">
      <c r="A130" s="114" t="n">
        <v>149120.01</v>
      </c>
      <c r="B130" s="114" t="n">
        <v>150400</v>
      </c>
      <c r="C130" s="114" t="n">
        <v>3653.09999999999</v>
      </c>
    </row>
    <row r="131" customFormat="false" ht="15" hidden="false" customHeight="true" outlineLevel="0" collapsed="false">
      <c r="A131" s="115" t="n">
        <v>150400.01</v>
      </c>
      <c r="B131" s="115" t="n">
        <v>151680</v>
      </c>
      <c r="C131" s="115" t="n">
        <v>3681.75999999999</v>
      </c>
    </row>
    <row r="132" customFormat="false" ht="15" hidden="false" customHeight="true" outlineLevel="0" collapsed="false">
      <c r="A132" s="114" t="n">
        <v>151680.01</v>
      </c>
      <c r="B132" s="114" t="n">
        <v>152960</v>
      </c>
      <c r="C132" s="114" t="n">
        <v>3710.41999999999</v>
      </c>
    </row>
    <row r="133" customFormat="false" ht="15" hidden="false" customHeight="true" outlineLevel="0" collapsed="false">
      <c r="A133" s="115" t="n">
        <v>152960.01</v>
      </c>
      <c r="B133" s="115" t="n">
        <v>154240</v>
      </c>
      <c r="C133" s="115" t="n">
        <v>3739.07999999999</v>
      </c>
    </row>
    <row r="134" customFormat="false" ht="15" hidden="false" customHeight="true" outlineLevel="0" collapsed="false">
      <c r="A134" s="114" t="n">
        <v>154240.01</v>
      </c>
      <c r="B134" s="114" t="n">
        <v>155520</v>
      </c>
      <c r="C134" s="114" t="n">
        <v>3767.73999999999</v>
      </c>
    </row>
    <row r="135" customFormat="false" ht="15" hidden="false" customHeight="true" outlineLevel="0" collapsed="false">
      <c r="A135" s="115" t="n">
        <v>155520.01</v>
      </c>
      <c r="B135" s="115" t="n">
        <v>156800</v>
      </c>
      <c r="C135" s="115" t="n">
        <v>3796.39999999999</v>
      </c>
    </row>
    <row r="136" customFormat="false" ht="15" hidden="false" customHeight="true" outlineLevel="0" collapsed="false">
      <c r="A136" s="114" t="n">
        <v>156800.01</v>
      </c>
      <c r="B136" s="114" t="n">
        <v>158080</v>
      </c>
      <c r="C136" s="114" t="n">
        <v>3825.05999999999</v>
      </c>
    </row>
    <row r="137" customFormat="false" ht="15" hidden="false" customHeight="true" outlineLevel="0" collapsed="false">
      <c r="A137" s="115" t="n">
        <v>158080.01</v>
      </c>
      <c r="B137" s="115" t="n">
        <v>159360</v>
      </c>
      <c r="C137" s="115" t="n">
        <v>3853.71999999999</v>
      </c>
    </row>
    <row r="138" customFormat="false" ht="15" hidden="false" customHeight="true" outlineLevel="0" collapsed="false">
      <c r="A138" s="114" t="n">
        <v>159360.01</v>
      </c>
      <c r="B138" s="114" t="n">
        <v>160640</v>
      </c>
      <c r="C138" s="114" t="n">
        <v>3882.37999999999</v>
      </c>
    </row>
    <row r="139" customFormat="false" ht="15" hidden="false" customHeight="true" outlineLevel="0" collapsed="false">
      <c r="A139" s="115" t="n">
        <v>160640.01</v>
      </c>
      <c r="B139" s="115" t="n">
        <v>161920</v>
      </c>
      <c r="C139" s="115" t="n">
        <v>3911.03999999999</v>
      </c>
    </row>
    <row r="140" customFormat="false" ht="15" hidden="false" customHeight="true" outlineLevel="0" collapsed="false">
      <c r="A140" s="114" t="n">
        <v>161920.01</v>
      </c>
      <c r="B140" s="114" t="n">
        <v>163200</v>
      </c>
      <c r="C140" s="114" t="n">
        <v>3939.69999999999</v>
      </c>
    </row>
    <row r="141" customFormat="false" ht="15" hidden="false" customHeight="true" outlineLevel="0" collapsed="false">
      <c r="A141" s="115" t="n">
        <v>163200.01</v>
      </c>
      <c r="B141" s="115" t="n">
        <v>164480</v>
      </c>
      <c r="C141" s="115" t="n">
        <v>3968.35999999999</v>
      </c>
    </row>
    <row r="142" customFormat="false" ht="15" hidden="false" customHeight="true" outlineLevel="0" collapsed="false">
      <c r="A142" s="114" t="n">
        <v>164480.01</v>
      </c>
      <c r="B142" s="114" t="n">
        <v>165760</v>
      </c>
      <c r="C142" s="114" t="n">
        <v>3997.01999999999</v>
      </c>
    </row>
    <row r="143" customFormat="false" ht="15" hidden="false" customHeight="true" outlineLevel="0" collapsed="false">
      <c r="A143" s="115" t="n">
        <v>165760.01</v>
      </c>
      <c r="B143" s="115" t="n">
        <v>167040</v>
      </c>
      <c r="C143" s="115" t="n">
        <v>4025.67999999999</v>
      </c>
    </row>
    <row r="144" customFormat="false" ht="15" hidden="false" customHeight="true" outlineLevel="0" collapsed="false">
      <c r="A144" s="114" t="n">
        <v>167040.01</v>
      </c>
      <c r="B144" s="114" t="n">
        <v>168320</v>
      </c>
      <c r="C144" s="114" t="n">
        <v>4054.33999999999</v>
      </c>
    </row>
    <row r="145" customFormat="false" ht="15" hidden="false" customHeight="true" outlineLevel="0" collapsed="false">
      <c r="A145" s="115" t="n">
        <v>168320.01</v>
      </c>
      <c r="B145" s="115" t="n">
        <v>169600</v>
      </c>
      <c r="C145" s="115" t="n">
        <v>4082.99999999999</v>
      </c>
    </row>
    <row r="146" customFormat="false" ht="15" hidden="false" customHeight="true" outlineLevel="0" collapsed="false">
      <c r="A146" s="114" t="n">
        <v>169600.01</v>
      </c>
      <c r="B146" s="114" t="n">
        <v>170880</v>
      </c>
      <c r="C146" s="114" t="n">
        <v>4111.65999999999</v>
      </c>
    </row>
    <row r="147" customFormat="false" ht="15" hidden="false" customHeight="true" outlineLevel="0" collapsed="false">
      <c r="A147" s="115" t="n">
        <v>170880.01</v>
      </c>
      <c r="B147" s="115" t="n">
        <v>172160</v>
      </c>
      <c r="C147" s="115" t="n">
        <v>4140.31999999999</v>
      </c>
    </row>
    <row r="148" customFormat="false" ht="15" hidden="false" customHeight="true" outlineLevel="0" collapsed="false">
      <c r="A148" s="114" t="n">
        <v>172160.01</v>
      </c>
      <c r="B148" s="114" t="n">
        <v>173440</v>
      </c>
      <c r="C148" s="114" t="n">
        <v>4168.97999999999</v>
      </c>
    </row>
    <row r="149" customFormat="false" ht="15" hidden="false" customHeight="true" outlineLevel="0" collapsed="false">
      <c r="A149" s="115" t="n">
        <v>173440.01</v>
      </c>
      <c r="B149" s="115" t="n">
        <v>174720</v>
      </c>
      <c r="C149" s="115" t="n">
        <v>4197.63999999999</v>
      </c>
    </row>
    <row r="150" customFormat="false" ht="15" hidden="false" customHeight="true" outlineLevel="0" collapsed="false">
      <c r="A150" s="114" t="n">
        <v>174720.01</v>
      </c>
      <c r="B150" s="114" t="n">
        <v>176000</v>
      </c>
      <c r="C150" s="114" t="n">
        <v>4226.29999999999</v>
      </c>
    </row>
    <row r="151" customFormat="false" ht="15" hidden="false" customHeight="true" outlineLevel="0" collapsed="false">
      <c r="A151" s="115" t="n">
        <v>176000.01</v>
      </c>
      <c r="B151" s="115" t="n">
        <v>177280</v>
      </c>
      <c r="C151" s="115" t="n">
        <v>4254.95999999999</v>
      </c>
    </row>
    <row r="152" customFormat="false" ht="15" hidden="false" customHeight="true" outlineLevel="0" collapsed="false">
      <c r="A152" s="114" t="n">
        <v>177280.01</v>
      </c>
      <c r="B152" s="114" t="n">
        <v>178560</v>
      </c>
      <c r="C152" s="114" t="n">
        <v>4283.61999999999</v>
      </c>
    </row>
    <row r="153" customFormat="false" ht="15" hidden="false" customHeight="true" outlineLevel="0" collapsed="false">
      <c r="A153" s="115" t="n">
        <v>178560.01</v>
      </c>
      <c r="B153" s="115" t="n">
        <v>179840</v>
      </c>
      <c r="C153" s="115" t="n">
        <v>4312.27999999999</v>
      </c>
    </row>
    <row r="154" customFormat="false" ht="15" hidden="false" customHeight="true" outlineLevel="0" collapsed="false">
      <c r="A154" s="114" t="n">
        <v>179840.01</v>
      </c>
      <c r="B154" s="114" t="n">
        <v>181120</v>
      </c>
      <c r="C154" s="114" t="n">
        <v>4340.93999999999</v>
      </c>
    </row>
    <row r="155" customFormat="false" ht="15" hidden="false" customHeight="true" outlineLevel="0" collapsed="false">
      <c r="A155" s="115" t="n">
        <v>181120.01</v>
      </c>
      <c r="B155" s="115" t="n">
        <v>182400</v>
      </c>
      <c r="C155" s="115" t="n">
        <v>4369.59999999999</v>
      </c>
    </row>
    <row r="156" customFormat="false" ht="15" hidden="false" customHeight="true" outlineLevel="0" collapsed="false">
      <c r="A156" s="114" t="n">
        <v>182400.01</v>
      </c>
      <c r="B156" s="114" t="n">
        <v>183680</v>
      </c>
      <c r="C156" s="114" t="n">
        <v>4398.25999999999</v>
      </c>
    </row>
    <row r="157" customFormat="false" ht="15" hidden="false" customHeight="true" outlineLevel="0" collapsed="false">
      <c r="A157" s="115" t="n">
        <v>183680.01</v>
      </c>
      <c r="B157" s="115" t="n">
        <v>184960</v>
      </c>
      <c r="C157" s="115" t="n">
        <v>4426.91999999999</v>
      </c>
    </row>
    <row r="158" customFormat="false" ht="15" hidden="false" customHeight="true" outlineLevel="0" collapsed="false">
      <c r="A158" s="114" t="n">
        <v>184960.01</v>
      </c>
      <c r="B158" s="114" t="n">
        <v>186240</v>
      </c>
      <c r="C158" s="114" t="n">
        <v>4455.57999999999</v>
      </c>
    </row>
    <row r="159" customFormat="false" ht="15" hidden="false" customHeight="true" outlineLevel="0" collapsed="false">
      <c r="A159" s="115" t="n">
        <v>186240.01</v>
      </c>
      <c r="B159" s="115" t="n">
        <v>187520</v>
      </c>
      <c r="C159" s="115" t="n">
        <v>4484.23999999999</v>
      </c>
    </row>
    <row r="160" customFormat="false" ht="15" hidden="false" customHeight="true" outlineLevel="0" collapsed="false">
      <c r="A160" s="114" t="n">
        <v>187520.01</v>
      </c>
      <c r="B160" s="114" t="n">
        <v>188800</v>
      </c>
      <c r="C160" s="114" t="n">
        <v>4512.89999999999</v>
      </c>
    </row>
    <row r="161" customFormat="false" ht="15" hidden="false" customHeight="true" outlineLevel="0" collapsed="false">
      <c r="A161" s="115" t="n">
        <v>188800.01</v>
      </c>
      <c r="B161" s="115" t="n">
        <v>190080</v>
      </c>
      <c r="C161" s="115" t="n">
        <v>4541.55999999999</v>
      </c>
    </row>
    <row r="162" customFormat="false" ht="15" hidden="false" customHeight="true" outlineLevel="0" collapsed="false">
      <c r="A162" s="114" t="n">
        <v>190080.01</v>
      </c>
      <c r="B162" s="114" t="n">
        <v>191360</v>
      </c>
      <c r="C162" s="114" t="n">
        <v>4570.21999999999</v>
      </c>
    </row>
    <row r="163" customFormat="false" ht="15" hidden="false" customHeight="true" outlineLevel="0" collapsed="false">
      <c r="A163" s="115" t="n">
        <v>191360.01</v>
      </c>
      <c r="B163" s="115" t="n">
        <v>192640</v>
      </c>
      <c r="C163" s="115" t="n">
        <v>4598.87999999999</v>
      </c>
    </row>
    <row r="164" customFormat="false" ht="15" hidden="false" customHeight="true" outlineLevel="0" collapsed="false">
      <c r="A164" s="114" t="n">
        <v>192640.01</v>
      </c>
      <c r="B164" s="114" t="n">
        <v>193920</v>
      </c>
      <c r="C164" s="114" t="n">
        <v>4627.53999999999</v>
      </c>
    </row>
    <row r="165" customFormat="false" ht="15" hidden="false" customHeight="true" outlineLevel="0" collapsed="false">
      <c r="A165" s="115" t="n">
        <v>193920.01</v>
      </c>
      <c r="B165" s="115" t="n">
        <v>195200</v>
      </c>
      <c r="C165" s="115" t="n">
        <v>4656.19999999999</v>
      </c>
    </row>
    <row r="166" customFormat="false" ht="15" hidden="false" customHeight="true" outlineLevel="0" collapsed="false">
      <c r="A166" s="114" t="n">
        <v>195200.01</v>
      </c>
      <c r="B166" s="114" t="n">
        <v>196480</v>
      </c>
      <c r="C166" s="114" t="n">
        <v>4684.85999999999</v>
      </c>
    </row>
    <row r="167" customFormat="false" ht="15" hidden="false" customHeight="true" outlineLevel="0" collapsed="false">
      <c r="A167" s="115" t="n">
        <v>196480.01</v>
      </c>
      <c r="B167" s="115" t="n">
        <v>197760</v>
      </c>
      <c r="C167" s="115" t="n">
        <v>4713.51999999999</v>
      </c>
    </row>
    <row r="168" customFormat="false" ht="15" hidden="false" customHeight="true" outlineLevel="0" collapsed="false">
      <c r="A168" s="114" t="n">
        <v>197760.01</v>
      </c>
      <c r="B168" s="114" t="n">
        <v>199040</v>
      </c>
      <c r="C168" s="114" t="n">
        <v>4742.17999999999</v>
      </c>
    </row>
    <row r="169" customFormat="false" ht="15" hidden="false" customHeight="true" outlineLevel="0" collapsed="false">
      <c r="A169" s="115" t="n">
        <v>199040.01</v>
      </c>
      <c r="B169" s="115" t="n">
        <v>200320</v>
      </c>
      <c r="C169" s="115" t="n">
        <v>4770.83999999999</v>
      </c>
    </row>
    <row r="170" customFormat="false" ht="15" hidden="false" customHeight="true" outlineLevel="0" collapsed="false">
      <c r="A170" s="114" t="n">
        <v>200320.01</v>
      </c>
      <c r="B170" s="114" t="n">
        <v>201600</v>
      </c>
      <c r="C170" s="114" t="n">
        <v>4799.49999999999</v>
      </c>
    </row>
    <row r="171" customFormat="false" ht="15" hidden="false" customHeight="true" outlineLevel="0" collapsed="false">
      <c r="A171" s="115" t="n">
        <v>201600.01</v>
      </c>
      <c r="B171" s="115" t="n">
        <v>202880</v>
      </c>
      <c r="C171" s="115" t="n">
        <v>4828.15999999999</v>
      </c>
    </row>
    <row r="172" customFormat="false" ht="15" hidden="false" customHeight="true" outlineLevel="0" collapsed="false">
      <c r="A172" s="114" t="n">
        <v>202880.01</v>
      </c>
      <c r="B172" s="114" t="n">
        <v>204160</v>
      </c>
      <c r="C172" s="114" t="n">
        <v>4856.81999999999</v>
      </c>
    </row>
    <row r="173" customFormat="false" ht="15" hidden="false" customHeight="true" outlineLevel="0" collapsed="false">
      <c r="A173" s="115" t="n">
        <v>204160.01</v>
      </c>
      <c r="B173" s="115" t="n">
        <v>205440</v>
      </c>
      <c r="C173" s="115" t="n">
        <v>4885.47999999999</v>
      </c>
    </row>
    <row r="174" customFormat="false" ht="15" hidden="false" customHeight="true" outlineLevel="0" collapsed="false">
      <c r="A174" s="114" t="n">
        <v>205440.01</v>
      </c>
      <c r="B174" s="114" t="n">
        <v>206720</v>
      </c>
      <c r="C174" s="114" t="n">
        <v>4914.13999999999</v>
      </c>
    </row>
    <row r="175" customFormat="false" ht="15" hidden="false" customHeight="true" outlineLevel="0" collapsed="false">
      <c r="A175" s="115" t="n">
        <v>206720.01</v>
      </c>
      <c r="B175" s="115" t="n">
        <v>208000</v>
      </c>
      <c r="C175" s="115" t="n">
        <v>4942.79999999999</v>
      </c>
    </row>
    <row r="176" customFormat="false" ht="15" hidden="false" customHeight="true" outlineLevel="0" collapsed="false">
      <c r="A176" s="114" t="n">
        <v>208000.01</v>
      </c>
      <c r="B176" s="114" t="n">
        <v>209280</v>
      </c>
      <c r="C176" s="114" t="n">
        <v>4971.45999999999</v>
      </c>
    </row>
    <row r="177" customFormat="false" ht="15" hidden="false" customHeight="true" outlineLevel="0" collapsed="false">
      <c r="A177" s="115" t="n">
        <v>209280.01</v>
      </c>
      <c r="B177" s="115" t="n">
        <v>210560</v>
      </c>
      <c r="C177" s="115" t="n">
        <v>5000.11999999999</v>
      </c>
    </row>
    <row r="178" customFormat="false" ht="15" hidden="false" customHeight="true" outlineLevel="0" collapsed="false">
      <c r="A178" s="114" t="n">
        <v>210560.01</v>
      </c>
      <c r="B178" s="114" t="n">
        <v>211840</v>
      </c>
      <c r="C178" s="114" t="n">
        <v>5028.77999999999</v>
      </c>
    </row>
    <row r="179" customFormat="false" ht="15" hidden="false" customHeight="true" outlineLevel="0" collapsed="false">
      <c r="A179" s="115" t="n">
        <v>211840.01</v>
      </c>
      <c r="B179" s="115" t="n">
        <v>213120</v>
      </c>
      <c r="C179" s="115" t="n">
        <v>5057.43999999999</v>
      </c>
    </row>
    <row r="180" customFormat="false" ht="15" hidden="false" customHeight="true" outlineLevel="0" collapsed="false">
      <c r="A180" s="114" t="n">
        <v>213120.01</v>
      </c>
      <c r="B180" s="114" t="n">
        <v>214400</v>
      </c>
      <c r="C180" s="114" t="n">
        <v>5086.09999999999</v>
      </c>
    </row>
    <row r="181" customFormat="false" ht="15" hidden="false" customHeight="true" outlineLevel="0" collapsed="false">
      <c r="A181" s="115" t="n">
        <v>214400.01</v>
      </c>
      <c r="B181" s="115" t="n">
        <v>215680</v>
      </c>
      <c r="C181" s="115" t="n">
        <v>5114.75999999999</v>
      </c>
    </row>
    <row r="182" customFormat="false" ht="15" hidden="false" customHeight="true" outlineLevel="0" collapsed="false">
      <c r="A182" s="114" t="n">
        <v>215680.01</v>
      </c>
      <c r="B182" s="114" t="n">
        <v>216960</v>
      </c>
      <c r="C182" s="114" t="n">
        <v>5143.41999999999</v>
      </c>
    </row>
    <row r="183" customFormat="false" ht="15" hidden="false" customHeight="true" outlineLevel="0" collapsed="false">
      <c r="A183" s="115" t="n">
        <v>216960.01</v>
      </c>
      <c r="B183" s="115" t="n">
        <v>218240</v>
      </c>
      <c r="C183" s="115" t="n">
        <v>5172.07999999999</v>
      </c>
    </row>
    <row r="184" customFormat="false" ht="15" hidden="false" customHeight="true" outlineLevel="0" collapsed="false">
      <c r="A184" s="114" t="n">
        <v>218240.01</v>
      </c>
      <c r="B184" s="114" t="n">
        <v>219520</v>
      </c>
      <c r="C184" s="114" t="n">
        <v>5200.73999999999</v>
      </c>
    </row>
    <row r="185" customFormat="false" ht="15" hidden="false" customHeight="true" outlineLevel="0" collapsed="false">
      <c r="A185" s="115" t="n">
        <v>219520.01</v>
      </c>
      <c r="B185" s="115" t="n">
        <v>220800</v>
      </c>
      <c r="C185" s="115" t="n">
        <v>5229.39999999999</v>
      </c>
    </row>
    <row r="186" customFormat="false" ht="15" hidden="false" customHeight="true" outlineLevel="0" collapsed="false">
      <c r="A186" s="114" t="n">
        <v>220800.01</v>
      </c>
      <c r="B186" s="114" t="n">
        <v>222080</v>
      </c>
      <c r="C186" s="114" t="n">
        <v>5258.05999999999</v>
      </c>
    </row>
    <row r="187" customFormat="false" ht="15" hidden="false" customHeight="true" outlineLevel="0" collapsed="false">
      <c r="A187" s="115" t="n">
        <v>222080.01</v>
      </c>
      <c r="B187" s="115" t="n">
        <v>223360</v>
      </c>
      <c r="C187" s="115" t="n">
        <v>5286.71999999999</v>
      </c>
    </row>
    <row r="188" customFormat="false" ht="15" hidden="false" customHeight="true" outlineLevel="0" collapsed="false">
      <c r="A188" s="114" t="n">
        <v>223360.01</v>
      </c>
      <c r="B188" s="114" t="n">
        <v>224640</v>
      </c>
      <c r="C188" s="114" t="n">
        <v>5315.37999999999</v>
      </c>
    </row>
    <row r="189" customFormat="false" ht="15" hidden="false" customHeight="true" outlineLevel="0" collapsed="false">
      <c r="A189" s="115" t="n">
        <v>224640.01</v>
      </c>
      <c r="B189" s="115" t="n">
        <v>225920</v>
      </c>
      <c r="C189" s="115" t="n">
        <v>5344.03999999999</v>
      </c>
    </row>
    <row r="190" customFormat="false" ht="15" hidden="false" customHeight="true" outlineLevel="0" collapsed="false">
      <c r="A190" s="114" t="n">
        <v>225920.01</v>
      </c>
      <c r="B190" s="114" t="n">
        <v>227200</v>
      </c>
      <c r="C190" s="114" t="n">
        <v>5372.69999999999</v>
      </c>
    </row>
    <row r="191" customFormat="false" ht="15" hidden="false" customHeight="true" outlineLevel="0" collapsed="false">
      <c r="A191" s="115" t="n">
        <v>227200.01</v>
      </c>
      <c r="B191" s="115" t="n">
        <v>228480</v>
      </c>
      <c r="C191" s="115" t="n">
        <v>5401.35999999999</v>
      </c>
    </row>
    <row r="192" customFormat="false" ht="15" hidden="false" customHeight="true" outlineLevel="0" collapsed="false">
      <c r="A192" s="114" t="n">
        <v>228480.01</v>
      </c>
      <c r="B192" s="114" t="n">
        <v>229760</v>
      </c>
      <c r="C192" s="114" t="n">
        <v>5430.01999999999</v>
      </c>
    </row>
    <row r="193" customFormat="false" ht="15" hidden="false" customHeight="true" outlineLevel="0" collapsed="false">
      <c r="A193" s="115" t="n">
        <v>229760.01</v>
      </c>
      <c r="B193" s="115" t="n">
        <v>231040</v>
      </c>
      <c r="C193" s="115" t="n">
        <v>5458.67999999999</v>
      </c>
    </row>
    <row r="194" customFormat="false" ht="15" hidden="false" customHeight="true" outlineLevel="0" collapsed="false">
      <c r="A194" s="114" t="n">
        <v>231040.01</v>
      </c>
      <c r="B194" s="114" t="n">
        <v>232320</v>
      </c>
      <c r="C194" s="114" t="n">
        <v>5487.33999999999</v>
      </c>
    </row>
    <row r="195" customFormat="false" ht="15" hidden="false" customHeight="true" outlineLevel="0" collapsed="false">
      <c r="A195" s="115" t="n">
        <v>232320.01</v>
      </c>
      <c r="B195" s="115" t="n">
        <v>233600</v>
      </c>
      <c r="C195" s="115" t="n">
        <v>5515.99999999999</v>
      </c>
    </row>
    <row r="196" customFormat="false" ht="15" hidden="false" customHeight="true" outlineLevel="0" collapsed="false">
      <c r="A196" s="114" t="n">
        <v>233600.01</v>
      </c>
      <c r="B196" s="114" t="n">
        <v>234880</v>
      </c>
      <c r="C196" s="114" t="n">
        <v>5544.65999999998</v>
      </c>
    </row>
    <row r="197" customFormat="false" ht="15" hidden="false" customHeight="true" outlineLevel="0" collapsed="false">
      <c r="A197" s="115" t="n">
        <v>234880.01</v>
      </c>
      <c r="B197" s="115" t="n">
        <v>236160</v>
      </c>
      <c r="C197" s="115" t="n">
        <v>5573.31999999998</v>
      </c>
    </row>
    <row r="198" customFormat="false" ht="15" hidden="false" customHeight="true" outlineLevel="0" collapsed="false">
      <c r="A198" s="114" t="n">
        <v>236160.01</v>
      </c>
      <c r="B198" s="114" t="n">
        <v>237440</v>
      </c>
      <c r="C198" s="114" t="n">
        <v>5601.97999999998</v>
      </c>
    </row>
    <row r="199" customFormat="false" ht="15" hidden="false" customHeight="true" outlineLevel="0" collapsed="false">
      <c r="A199" s="115" t="n">
        <v>237440.01</v>
      </c>
      <c r="B199" s="115" t="n">
        <v>238720</v>
      </c>
      <c r="C199" s="115" t="n">
        <v>5630.63999999998</v>
      </c>
    </row>
    <row r="200" customFormat="false" ht="15" hidden="false" customHeight="true" outlineLevel="0" collapsed="false">
      <c r="A200" s="114" t="n">
        <v>238720.01</v>
      </c>
      <c r="B200" s="114" t="n">
        <v>240000</v>
      </c>
      <c r="C200" s="114" t="n">
        <v>5659.29999999998</v>
      </c>
    </row>
    <row r="201" customFormat="false" ht="15" hidden="false" customHeight="true" outlineLevel="0" collapsed="false">
      <c r="A201" s="115" t="n">
        <v>240000.01</v>
      </c>
      <c r="B201" s="115" t="n">
        <v>241280</v>
      </c>
      <c r="C201" s="115" t="n">
        <v>5687.95999999998</v>
      </c>
    </row>
    <row r="202" customFormat="false" ht="15" hidden="false" customHeight="true" outlineLevel="0" collapsed="false">
      <c r="A202" s="114" t="n">
        <v>241280.01</v>
      </c>
      <c r="B202" s="114" t="n">
        <v>242560</v>
      </c>
      <c r="C202" s="114" t="n">
        <v>5716.61999999998</v>
      </c>
    </row>
    <row r="203" customFormat="false" ht="15" hidden="false" customHeight="true" outlineLevel="0" collapsed="false">
      <c r="A203" s="115" t="n">
        <v>242560.01</v>
      </c>
      <c r="B203" s="115" t="n">
        <v>243840</v>
      </c>
      <c r="C203" s="115" t="n">
        <v>5745.27999999998</v>
      </c>
    </row>
    <row r="204" customFormat="false" ht="15" hidden="false" customHeight="true" outlineLevel="0" collapsed="false">
      <c r="A204" s="114" t="n">
        <v>243840.01</v>
      </c>
      <c r="B204" s="114" t="n">
        <v>245120</v>
      </c>
      <c r="C204" s="114" t="n">
        <v>5773.93999999998</v>
      </c>
    </row>
    <row r="205" customFormat="false" ht="15" hidden="false" customHeight="true" outlineLevel="0" collapsed="false">
      <c r="A205" s="115" t="n">
        <v>245120.01</v>
      </c>
      <c r="B205" s="115" t="n">
        <v>246400</v>
      </c>
      <c r="C205" s="115" t="n">
        <v>5802.59999999998</v>
      </c>
    </row>
    <row r="206" customFormat="false" ht="15" hidden="false" customHeight="true" outlineLevel="0" collapsed="false">
      <c r="A206" s="114" t="n">
        <v>246400.01</v>
      </c>
      <c r="B206" s="114" t="n">
        <v>247680</v>
      </c>
      <c r="C206" s="114" t="n">
        <v>5831.25999999998</v>
      </c>
    </row>
    <row r="207" customFormat="false" ht="15" hidden="false" customHeight="true" outlineLevel="0" collapsed="false">
      <c r="A207" s="115" t="n">
        <v>247680.01</v>
      </c>
      <c r="B207" s="115" t="n">
        <v>248960</v>
      </c>
      <c r="C207" s="115" t="n">
        <v>5859.91999999998</v>
      </c>
    </row>
    <row r="208" customFormat="false" ht="15" hidden="false" customHeight="true" outlineLevel="0" collapsed="false">
      <c r="A208" s="114" t="n">
        <v>248960.01</v>
      </c>
      <c r="B208" s="114" t="n">
        <v>250240</v>
      </c>
      <c r="C208" s="114" t="n">
        <v>5888.57999999998</v>
      </c>
    </row>
    <row r="209" customFormat="false" ht="15" hidden="false" customHeight="true" outlineLevel="0" collapsed="false">
      <c r="A209" s="115" t="n">
        <v>250240.01</v>
      </c>
      <c r="B209" s="115" t="n">
        <v>251520</v>
      </c>
      <c r="C209" s="115" t="n">
        <v>5917.23999999998</v>
      </c>
    </row>
    <row r="210" customFormat="false" ht="15" hidden="false" customHeight="true" outlineLevel="0" collapsed="false">
      <c r="A210" s="114" t="n">
        <v>251520.01</v>
      </c>
      <c r="B210" s="114" t="n">
        <v>252800</v>
      </c>
      <c r="C210" s="114" t="n">
        <v>5945.89999999998</v>
      </c>
    </row>
    <row r="211" customFormat="false" ht="15" hidden="false" customHeight="true" outlineLevel="0" collapsed="false">
      <c r="A211" s="115" t="n">
        <v>252800.01</v>
      </c>
      <c r="B211" s="115" t="n">
        <v>254080</v>
      </c>
      <c r="C211" s="115" t="n">
        <v>5974.55999999998</v>
      </c>
    </row>
    <row r="212" customFormat="false" ht="15" hidden="false" customHeight="true" outlineLevel="0" collapsed="false">
      <c r="A212" s="114" t="n">
        <v>254080.01</v>
      </c>
      <c r="B212" s="114" t="n">
        <v>255360</v>
      </c>
      <c r="C212" s="114" t="n">
        <v>6003.21999999998</v>
      </c>
    </row>
    <row r="213" customFormat="false" ht="15" hidden="false" customHeight="true" outlineLevel="0" collapsed="false">
      <c r="A213" s="115" t="n">
        <v>255360.01</v>
      </c>
      <c r="B213" s="115" t="n">
        <v>256640</v>
      </c>
      <c r="C213" s="115" t="n">
        <v>6031.87999999998</v>
      </c>
    </row>
    <row r="214" customFormat="false" ht="15" hidden="false" customHeight="true" outlineLevel="0" collapsed="false">
      <c r="A214" s="114" t="n">
        <v>256640.01</v>
      </c>
      <c r="B214" s="114" t="n">
        <v>257920</v>
      </c>
      <c r="C214" s="114" t="n">
        <v>6060.53999999998</v>
      </c>
    </row>
    <row r="215" customFormat="false" ht="15" hidden="false" customHeight="true" outlineLevel="0" collapsed="false">
      <c r="A215" s="115" t="n">
        <v>257920.01</v>
      </c>
      <c r="B215" s="115" t="n">
        <v>259200</v>
      </c>
      <c r="C215" s="115" t="n">
        <v>6089.19999999998</v>
      </c>
    </row>
    <row r="216" customFormat="false" ht="15" hidden="false" customHeight="true" outlineLevel="0" collapsed="false">
      <c r="A216" s="114" t="n">
        <v>259200.01</v>
      </c>
      <c r="B216" s="114" t="n">
        <v>260480</v>
      </c>
      <c r="C216" s="114" t="n">
        <v>6117.85999999998</v>
      </c>
    </row>
    <row r="217" customFormat="false" ht="15" hidden="false" customHeight="true" outlineLevel="0" collapsed="false">
      <c r="A217" s="115" t="n">
        <v>260480.01</v>
      </c>
      <c r="B217" s="115" t="n">
        <v>261760</v>
      </c>
      <c r="C217" s="115" t="n">
        <v>6146.51999999998</v>
      </c>
    </row>
    <row r="218" customFormat="false" ht="15" hidden="false" customHeight="true" outlineLevel="0" collapsed="false">
      <c r="A218" s="114" t="n">
        <v>261760.01</v>
      </c>
      <c r="B218" s="114" t="n">
        <v>263040</v>
      </c>
      <c r="C218" s="114" t="n">
        <v>6175.17999999998</v>
      </c>
    </row>
    <row r="219" customFormat="false" ht="15" hidden="false" customHeight="true" outlineLevel="0" collapsed="false">
      <c r="A219" s="115" t="n">
        <v>263040.01</v>
      </c>
      <c r="B219" s="115" t="n">
        <v>264320</v>
      </c>
      <c r="C219" s="115" t="n">
        <v>6203.83999999998</v>
      </c>
    </row>
    <row r="220" customFormat="false" ht="15" hidden="false" customHeight="true" outlineLevel="0" collapsed="false">
      <c r="A220" s="114" t="n">
        <v>264320.01</v>
      </c>
      <c r="B220" s="114" t="n">
        <v>265600</v>
      </c>
      <c r="C220" s="114" t="n">
        <v>6232.49999999998</v>
      </c>
    </row>
    <row r="221" customFormat="false" ht="15" hidden="false" customHeight="true" outlineLevel="0" collapsed="false">
      <c r="A221" s="115" t="n">
        <v>265600.01</v>
      </c>
      <c r="B221" s="115" t="n">
        <v>266880</v>
      </c>
      <c r="C221" s="115" t="n">
        <v>6261.15999999998</v>
      </c>
    </row>
    <row r="222" customFormat="false" ht="15" hidden="false" customHeight="true" outlineLevel="0" collapsed="false">
      <c r="A222" s="114" t="n">
        <v>266880.01</v>
      </c>
      <c r="B222" s="114" t="n">
        <v>268160</v>
      </c>
      <c r="C222" s="114" t="n">
        <v>6289.81999999998</v>
      </c>
    </row>
    <row r="223" customFormat="false" ht="15" hidden="false" customHeight="true" outlineLevel="0" collapsed="false">
      <c r="A223" s="115" t="n">
        <v>268160.01</v>
      </c>
      <c r="B223" s="115" t="n">
        <v>269440</v>
      </c>
      <c r="C223" s="115" t="n">
        <v>6318.47999999998</v>
      </c>
    </row>
    <row r="224" customFormat="false" ht="15" hidden="false" customHeight="true" outlineLevel="0" collapsed="false">
      <c r="A224" s="114" t="n">
        <v>269440.01</v>
      </c>
      <c r="B224" s="114" t="n">
        <v>270720</v>
      </c>
      <c r="C224" s="114" t="n">
        <v>6347.13999999998</v>
      </c>
    </row>
    <row r="225" customFormat="false" ht="15" hidden="false" customHeight="true" outlineLevel="0" collapsed="false">
      <c r="A225" s="115" t="n">
        <v>270720.01</v>
      </c>
      <c r="B225" s="115" t="n">
        <v>272000</v>
      </c>
      <c r="C225" s="115" t="n">
        <v>6375.79999999998</v>
      </c>
    </row>
    <row r="226" customFormat="false" ht="15" hidden="false" customHeight="true" outlineLevel="0" collapsed="false">
      <c r="A226" s="114" t="n">
        <v>272000.01</v>
      </c>
      <c r="B226" s="114" t="n">
        <v>273280</v>
      </c>
      <c r="C226" s="114" t="n">
        <v>6404.45999999998</v>
      </c>
    </row>
    <row r="227" customFormat="false" ht="15" hidden="false" customHeight="true" outlineLevel="0" collapsed="false">
      <c r="A227" s="115" t="n">
        <v>273280.01</v>
      </c>
      <c r="B227" s="115" t="n">
        <v>274560</v>
      </c>
      <c r="C227" s="115" t="n">
        <v>6433.11999999998</v>
      </c>
    </row>
    <row r="228" customFormat="false" ht="15" hidden="false" customHeight="true" outlineLevel="0" collapsed="false">
      <c r="A228" s="114" t="n">
        <v>274560.01</v>
      </c>
      <c r="B228" s="114" t="n">
        <v>275840</v>
      </c>
      <c r="C228" s="114" t="n">
        <v>6461.77999999998</v>
      </c>
    </row>
    <row r="229" customFormat="false" ht="15" hidden="false" customHeight="true" outlineLevel="0" collapsed="false">
      <c r="A229" s="115" t="n">
        <v>275840.01</v>
      </c>
      <c r="B229" s="115" t="n">
        <v>277120</v>
      </c>
      <c r="C229" s="115" t="n">
        <v>6490.43999999998</v>
      </c>
    </row>
    <row r="230" customFormat="false" ht="15" hidden="false" customHeight="true" outlineLevel="0" collapsed="false">
      <c r="A230" s="114" t="n">
        <v>277120.01</v>
      </c>
      <c r="B230" s="114" t="n">
        <v>278400</v>
      </c>
      <c r="C230" s="114" t="n">
        <v>6519.09999999998</v>
      </c>
    </row>
    <row r="231" customFormat="false" ht="15" hidden="false" customHeight="true" outlineLevel="0" collapsed="false">
      <c r="A231" s="115" t="n">
        <v>278400.01</v>
      </c>
      <c r="B231" s="115" t="n">
        <v>279680</v>
      </c>
      <c r="C231" s="115" t="n">
        <v>6547.75999999998</v>
      </c>
    </row>
    <row r="232" customFormat="false" ht="15" hidden="false" customHeight="true" outlineLevel="0" collapsed="false">
      <c r="A232" s="114" t="n">
        <v>279680.01</v>
      </c>
      <c r="B232" s="114" t="n">
        <v>280960</v>
      </c>
      <c r="C232" s="114" t="n">
        <v>6576.41999999998</v>
      </c>
    </row>
    <row r="233" customFormat="false" ht="15" hidden="false" customHeight="true" outlineLevel="0" collapsed="false">
      <c r="A233" s="115" t="n">
        <v>280960.01</v>
      </c>
      <c r="B233" s="115" t="n">
        <v>282240</v>
      </c>
      <c r="C233" s="115" t="n">
        <v>6605.07999999998</v>
      </c>
    </row>
    <row r="234" customFormat="false" ht="15" hidden="false" customHeight="true" outlineLevel="0" collapsed="false">
      <c r="A234" s="114" t="n">
        <v>282240.01</v>
      </c>
      <c r="B234" s="114" t="n">
        <v>283520</v>
      </c>
      <c r="C234" s="114" t="n">
        <v>6633.73999999998</v>
      </c>
    </row>
    <row r="235" customFormat="false" ht="15" hidden="false" customHeight="true" outlineLevel="0" collapsed="false">
      <c r="A235" s="115" t="n">
        <v>283520.01</v>
      </c>
      <c r="B235" s="115" t="n">
        <v>284800</v>
      </c>
      <c r="C235" s="115" t="n">
        <v>6662.39999999998</v>
      </c>
    </row>
    <row r="236" customFormat="false" ht="15" hidden="false" customHeight="true" outlineLevel="0" collapsed="false">
      <c r="A236" s="114" t="n">
        <v>284800.01</v>
      </c>
      <c r="B236" s="114" t="n">
        <v>286080</v>
      </c>
      <c r="C236" s="114" t="n">
        <v>6691.05999999998</v>
      </c>
    </row>
    <row r="237" customFormat="false" ht="15" hidden="false" customHeight="true" outlineLevel="0" collapsed="false">
      <c r="A237" s="115" t="n">
        <v>286080.01</v>
      </c>
      <c r="B237" s="115" t="n">
        <v>287360</v>
      </c>
      <c r="C237" s="115" t="n">
        <v>6719.71999999998</v>
      </c>
    </row>
    <row r="238" customFormat="false" ht="15" hidden="false" customHeight="true" outlineLevel="0" collapsed="false">
      <c r="A238" s="114" t="n">
        <v>287360.01</v>
      </c>
      <c r="B238" s="114" t="n">
        <v>288640</v>
      </c>
      <c r="C238" s="114" t="n">
        <v>6748.37999999998</v>
      </c>
    </row>
    <row r="239" customFormat="false" ht="15" hidden="false" customHeight="true" outlineLevel="0" collapsed="false">
      <c r="A239" s="115" t="n">
        <v>288640.01</v>
      </c>
      <c r="B239" s="115" t="n">
        <v>289920</v>
      </c>
      <c r="C239" s="115" t="n">
        <v>6777.03999999998</v>
      </c>
    </row>
    <row r="240" customFormat="false" ht="15" hidden="false" customHeight="true" outlineLevel="0" collapsed="false">
      <c r="A240" s="114" t="n">
        <v>289920.01</v>
      </c>
      <c r="B240" s="114" t="n">
        <v>291200</v>
      </c>
      <c r="C240" s="114" t="n">
        <v>6805.69999999998</v>
      </c>
    </row>
    <row r="241" customFormat="false" ht="15" hidden="false" customHeight="true" outlineLevel="0" collapsed="false">
      <c r="A241" s="115" t="n">
        <v>291200.01</v>
      </c>
      <c r="B241" s="115" t="n">
        <v>292480</v>
      </c>
      <c r="C241" s="115" t="n">
        <v>6834.35999999998</v>
      </c>
    </row>
    <row r="242" customFormat="false" ht="15" hidden="false" customHeight="true" outlineLevel="0" collapsed="false">
      <c r="A242" s="114" t="n">
        <v>292480.01</v>
      </c>
      <c r="B242" s="114" t="n">
        <v>293760</v>
      </c>
      <c r="C242" s="114" t="n">
        <v>6863.01999999998</v>
      </c>
    </row>
    <row r="243" customFormat="false" ht="15" hidden="false" customHeight="true" outlineLevel="0" collapsed="false">
      <c r="A243" s="115" t="n">
        <v>293760.01</v>
      </c>
      <c r="B243" s="115" t="n">
        <v>295040</v>
      </c>
      <c r="C243" s="115" t="n">
        <v>6891.67999999998</v>
      </c>
    </row>
    <row r="244" customFormat="false" ht="15" hidden="false" customHeight="true" outlineLevel="0" collapsed="false">
      <c r="A244" s="114" t="n">
        <v>295040.01</v>
      </c>
      <c r="B244" s="114" t="n">
        <v>296320</v>
      </c>
      <c r="C244" s="114" t="n">
        <v>6920.33999999998</v>
      </c>
    </row>
    <row r="245" customFormat="false" ht="15" hidden="false" customHeight="true" outlineLevel="0" collapsed="false">
      <c r="A245" s="115" t="n">
        <v>296320.01</v>
      </c>
      <c r="B245" s="115" t="n">
        <v>297600</v>
      </c>
      <c r="C245" s="115" t="n">
        <v>6948.99999999998</v>
      </c>
    </row>
    <row r="246" customFormat="false" ht="15" hidden="false" customHeight="true" outlineLevel="0" collapsed="false">
      <c r="A246" s="114" t="n">
        <v>297600.01</v>
      </c>
      <c r="B246" s="114" t="n">
        <v>298880</v>
      </c>
      <c r="C246" s="114" t="n">
        <v>6977.65999999998</v>
      </c>
    </row>
    <row r="247" customFormat="false" ht="15" hidden="false" customHeight="true" outlineLevel="0" collapsed="false">
      <c r="A247" s="115" t="n">
        <v>298880.01</v>
      </c>
      <c r="B247" s="115" t="n">
        <v>300160</v>
      </c>
      <c r="C247" s="115" t="n">
        <v>7006.31999999998</v>
      </c>
    </row>
    <row r="248" customFormat="false" ht="15" hidden="false" customHeight="true" outlineLevel="0" collapsed="false">
      <c r="A248" s="114" t="n">
        <v>300160.01</v>
      </c>
      <c r="B248" s="114" t="n">
        <v>301440</v>
      </c>
      <c r="C248" s="114" t="n">
        <v>7034.97999999998</v>
      </c>
    </row>
    <row r="249" customFormat="false" ht="15" hidden="false" customHeight="true" outlineLevel="0" collapsed="false">
      <c r="A249" s="115" t="n">
        <v>301440.01</v>
      </c>
      <c r="B249" s="115" t="n">
        <v>302720</v>
      </c>
      <c r="C249" s="115" t="n">
        <v>7063.63999999998</v>
      </c>
    </row>
    <row r="250" customFormat="false" ht="15" hidden="false" customHeight="true" outlineLevel="0" collapsed="false">
      <c r="A250" s="114" t="n">
        <v>302720.01</v>
      </c>
      <c r="B250" s="114" t="n">
        <v>304000</v>
      </c>
      <c r="C250" s="114" t="n">
        <v>7092.29999999998</v>
      </c>
    </row>
    <row r="251" customFormat="false" ht="15" hidden="false" customHeight="true" outlineLevel="0" collapsed="false">
      <c r="A251" s="115" t="n">
        <v>304000.01</v>
      </c>
      <c r="B251" s="115" t="n">
        <v>305280</v>
      </c>
      <c r="C251" s="115" t="n">
        <v>7120.95999999998</v>
      </c>
    </row>
    <row r="252" customFormat="false" ht="15" hidden="false" customHeight="true" outlineLevel="0" collapsed="false">
      <c r="A252" s="114" t="n">
        <v>305280.01</v>
      </c>
      <c r="B252" s="114" t="n">
        <v>306560</v>
      </c>
      <c r="C252" s="114" t="n">
        <v>7149.61999999998</v>
      </c>
    </row>
    <row r="253" customFormat="false" ht="15" hidden="false" customHeight="true" outlineLevel="0" collapsed="false">
      <c r="A253" s="115" t="n">
        <v>306560.01</v>
      </c>
      <c r="B253" s="115" t="n">
        <v>307840</v>
      </c>
      <c r="C253" s="115" t="n">
        <v>7178.27999999998</v>
      </c>
    </row>
    <row r="254" customFormat="false" ht="15" hidden="false" customHeight="true" outlineLevel="0" collapsed="false">
      <c r="A254" s="114" t="n">
        <v>307840.01</v>
      </c>
      <c r="B254" s="114" t="n">
        <v>309120</v>
      </c>
      <c r="C254" s="114" t="n">
        <v>7206.93999999998</v>
      </c>
    </row>
    <row r="255" customFormat="false" ht="15" hidden="false" customHeight="true" outlineLevel="0" collapsed="false">
      <c r="A255" s="115" t="n">
        <v>309120.01</v>
      </c>
      <c r="B255" s="115" t="n">
        <v>310400</v>
      </c>
      <c r="C255" s="115" t="n">
        <v>7235.59999999998</v>
      </c>
    </row>
    <row r="256" customFormat="false" ht="15" hidden="false" customHeight="true" outlineLevel="0" collapsed="false">
      <c r="A256" s="114" t="n">
        <v>310400.01</v>
      </c>
      <c r="B256" s="114" t="n">
        <v>311680</v>
      </c>
      <c r="C256" s="114" t="n">
        <v>7264.25999999998</v>
      </c>
    </row>
    <row r="257" customFormat="false" ht="15" hidden="false" customHeight="true" outlineLevel="0" collapsed="false">
      <c r="A257" s="115" t="n">
        <v>311680.01</v>
      </c>
      <c r="B257" s="115" t="n">
        <v>312960</v>
      </c>
      <c r="C257" s="115" t="n">
        <v>7292.91999999998</v>
      </c>
    </row>
    <row r="258" customFormat="false" ht="15" hidden="false" customHeight="true" outlineLevel="0" collapsed="false">
      <c r="A258" s="114" t="n">
        <v>312960.01</v>
      </c>
      <c r="B258" s="114" t="n">
        <v>314240</v>
      </c>
      <c r="C258" s="114" t="n">
        <v>7321.57999999998</v>
      </c>
    </row>
    <row r="259" customFormat="false" ht="15" hidden="false" customHeight="true" outlineLevel="0" collapsed="false">
      <c r="A259" s="115" t="n">
        <v>314240.01</v>
      </c>
      <c r="B259" s="115" t="n">
        <v>315520</v>
      </c>
      <c r="C259" s="115" t="n">
        <v>7350.23999999998</v>
      </c>
    </row>
    <row r="260" customFormat="false" ht="15" hidden="false" customHeight="true" outlineLevel="0" collapsed="false">
      <c r="A260" s="114" t="n">
        <v>315520.01</v>
      </c>
      <c r="B260" s="114" t="n">
        <v>316800</v>
      </c>
      <c r="C260" s="114" t="n">
        <v>7378.89999999998</v>
      </c>
    </row>
    <row r="261" customFormat="false" ht="15" hidden="false" customHeight="true" outlineLevel="0" collapsed="false">
      <c r="A261" s="115" t="n">
        <v>316800.01</v>
      </c>
      <c r="B261" s="115" t="n">
        <v>318080</v>
      </c>
      <c r="C261" s="115" t="n">
        <v>7407.55999999998</v>
      </c>
    </row>
    <row r="262" customFormat="false" ht="15" hidden="false" customHeight="true" outlineLevel="0" collapsed="false">
      <c r="A262" s="114" t="n">
        <v>318080.01</v>
      </c>
      <c r="B262" s="114" t="n">
        <v>319360</v>
      </c>
      <c r="C262" s="114" t="n">
        <v>7436.21999999998</v>
      </c>
    </row>
    <row r="263" customFormat="false" ht="15" hidden="false" customHeight="true" outlineLevel="0" collapsed="false">
      <c r="A263" s="115" t="n">
        <v>319360.01</v>
      </c>
      <c r="B263" s="115" t="n">
        <v>320640</v>
      </c>
      <c r="C263" s="115" t="n">
        <v>7464.87999999998</v>
      </c>
    </row>
    <row r="264" customFormat="false" ht="15" hidden="false" customHeight="true" outlineLevel="0" collapsed="false">
      <c r="A264" s="114" t="n">
        <v>320640.01</v>
      </c>
      <c r="B264" s="114" t="n">
        <v>321920</v>
      </c>
      <c r="C264" s="114" t="n">
        <v>7493.53999999997</v>
      </c>
    </row>
    <row r="265" customFormat="false" ht="15" hidden="false" customHeight="true" outlineLevel="0" collapsed="false">
      <c r="A265" s="115" t="n">
        <v>321920.01</v>
      </c>
      <c r="B265" s="115" t="n">
        <v>323200</v>
      </c>
      <c r="C265" s="115" t="n">
        <v>7522.19999999997</v>
      </c>
    </row>
    <row r="266" customFormat="false" ht="15" hidden="false" customHeight="true" outlineLevel="0" collapsed="false">
      <c r="A266" s="114" t="n">
        <v>323200.01</v>
      </c>
      <c r="B266" s="114" t="n">
        <v>324480</v>
      </c>
      <c r="C266" s="114" t="n">
        <v>7550.85999999997</v>
      </c>
    </row>
    <row r="267" customFormat="false" ht="15" hidden="false" customHeight="true" outlineLevel="0" collapsed="false">
      <c r="A267" s="115" t="n">
        <v>324480.01</v>
      </c>
      <c r="B267" s="115" t="n">
        <v>325760</v>
      </c>
      <c r="C267" s="115" t="n">
        <v>7579.51999999997</v>
      </c>
    </row>
    <row r="268" customFormat="false" ht="15" hidden="false" customHeight="true" outlineLevel="0" collapsed="false">
      <c r="A268" s="114" t="n">
        <v>325760.01</v>
      </c>
      <c r="B268" s="114" t="n">
        <v>327040</v>
      </c>
      <c r="C268" s="114" t="n">
        <v>7608.17999999997</v>
      </c>
    </row>
    <row r="269" customFormat="false" ht="15" hidden="false" customHeight="true" outlineLevel="0" collapsed="false">
      <c r="A269" s="115" t="n">
        <v>327040.01</v>
      </c>
      <c r="B269" s="115" t="n">
        <v>328320</v>
      </c>
      <c r="C269" s="115" t="n">
        <v>7636.83999999997</v>
      </c>
    </row>
    <row r="270" customFormat="false" ht="15" hidden="false" customHeight="true" outlineLevel="0" collapsed="false">
      <c r="A270" s="114" t="n">
        <v>328320.01</v>
      </c>
      <c r="B270" s="114" t="n">
        <v>329600</v>
      </c>
      <c r="C270" s="114" t="n">
        <v>7665.49999999997</v>
      </c>
    </row>
    <row r="271" customFormat="false" ht="15" hidden="false" customHeight="true" outlineLevel="0" collapsed="false">
      <c r="A271" s="115" t="n">
        <v>329600.01</v>
      </c>
      <c r="B271" s="115" t="n">
        <v>330880</v>
      </c>
      <c r="C271" s="115" t="n">
        <v>7694.15999999997</v>
      </c>
    </row>
    <row r="272" customFormat="false" ht="15" hidden="false" customHeight="true" outlineLevel="0" collapsed="false">
      <c r="A272" s="114" t="n">
        <v>330880.01</v>
      </c>
      <c r="B272" s="114" t="n">
        <v>332160</v>
      </c>
      <c r="C272" s="114" t="n">
        <v>7722.81999999997</v>
      </c>
    </row>
    <row r="273" customFormat="false" ht="15" hidden="false" customHeight="true" outlineLevel="0" collapsed="false">
      <c r="A273" s="115" t="n">
        <v>332160.01</v>
      </c>
      <c r="B273" s="115" t="n">
        <v>333440</v>
      </c>
      <c r="C273" s="115" t="n">
        <v>7751.47999999997</v>
      </c>
    </row>
    <row r="274" customFormat="false" ht="15" hidden="false" customHeight="true" outlineLevel="0" collapsed="false">
      <c r="A274" s="114" t="n">
        <v>333440.01</v>
      </c>
      <c r="B274" s="114" t="n">
        <v>334720</v>
      </c>
      <c r="C274" s="114" t="n">
        <v>7780.13999999997</v>
      </c>
    </row>
    <row r="275" customFormat="false" ht="15" hidden="false" customHeight="true" outlineLevel="0" collapsed="false">
      <c r="A275" s="115" t="n">
        <v>334720.01</v>
      </c>
      <c r="B275" s="115" t="n">
        <v>336000</v>
      </c>
      <c r="C275" s="115" t="n">
        <v>7808.79999999997</v>
      </c>
    </row>
    <row r="276" customFormat="false" ht="15" hidden="false" customHeight="true" outlineLevel="0" collapsed="false">
      <c r="A276" s="114" t="n">
        <v>336000.01</v>
      </c>
      <c r="B276" s="114" t="n">
        <v>337280</v>
      </c>
      <c r="C276" s="114" t="n">
        <v>7837.45999999997</v>
      </c>
    </row>
    <row r="277" customFormat="false" ht="15" hidden="false" customHeight="true" outlineLevel="0" collapsed="false">
      <c r="A277" s="115" t="n">
        <v>337280.01</v>
      </c>
      <c r="B277" s="115" t="n">
        <v>338560</v>
      </c>
      <c r="C277" s="115" t="n">
        <v>7866.11999999997</v>
      </c>
    </row>
    <row r="278" customFormat="false" ht="15" hidden="false" customHeight="true" outlineLevel="0" collapsed="false">
      <c r="A278" s="114" t="n">
        <v>338560.01</v>
      </c>
      <c r="B278" s="114" t="n">
        <v>339840</v>
      </c>
      <c r="C278" s="114" t="n">
        <v>7894.77999999997</v>
      </c>
    </row>
    <row r="279" customFormat="false" ht="15" hidden="false" customHeight="true" outlineLevel="0" collapsed="false">
      <c r="A279" s="115" t="n">
        <v>339840.01</v>
      </c>
      <c r="B279" s="115" t="n">
        <v>341120</v>
      </c>
      <c r="C279" s="115" t="n">
        <v>7923.43999999997</v>
      </c>
    </row>
    <row r="280" customFormat="false" ht="15" hidden="false" customHeight="true" outlineLevel="0" collapsed="false">
      <c r="A280" s="114" t="n">
        <v>341120.01</v>
      </c>
      <c r="B280" s="114" t="n">
        <v>342400</v>
      </c>
      <c r="C280" s="114" t="n">
        <v>7952.09999999997</v>
      </c>
    </row>
    <row r="281" customFormat="false" ht="15" hidden="false" customHeight="true" outlineLevel="0" collapsed="false">
      <c r="A281" s="115" t="n">
        <v>342400.01</v>
      </c>
      <c r="B281" s="115" t="n">
        <v>343680</v>
      </c>
      <c r="C281" s="115" t="n">
        <v>7980.75999999997</v>
      </c>
    </row>
    <row r="282" customFormat="false" ht="15" hidden="false" customHeight="true" outlineLevel="0" collapsed="false">
      <c r="A282" s="114" t="n">
        <v>343680.01</v>
      </c>
      <c r="B282" s="114" t="n">
        <v>344960</v>
      </c>
      <c r="C282" s="114" t="n">
        <v>8009.41999999997</v>
      </c>
    </row>
    <row r="283" customFormat="false" ht="15" hidden="false" customHeight="true" outlineLevel="0" collapsed="false">
      <c r="A283" s="115" t="n">
        <v>344960.01</v>
      </c>
      <c r="B283" s="115" t="n">
        <v>346240</v>
      </c>
      <c r="C283" s="115" t="n">
        <v>8038.07999999997</v>
      </c>
    </row>
    <row r="284" customFormat="false" ht="15" hidden="false" customHeight="true" outlineLevel="0" collapsed="false">
      <c r="A284" s="114" t="n">
        <v>346240.01</v>
      </c>
      <c r="B284" s="114" t="n">
        <v>347520</v>
      </c>
      <c r="C284" s="114" t="n">
        <v>8066.73999999997</v>
      </c>
    </row>
    <row r="285" customFormat="false" ht="15" hidden="false" customHeight="true" outlineLevel="0" collapsed="false">
      <c r="A285" s="115" t="n">
        <v>347520.01</v>
      </c>
      <c r="B285" s="115" t="n">
        <v>348800</v>
      </c>
      <c r="C285" s="115" t="n">
        <v>8095.39999999997</v>
      </c>
    </row>
    <row r="286" customFormat="false" ht="15" hidden="false" customHeight="true" outlineLevel="0" collapsed="false">
      <c r="A286" s="114" t="n">
        <v>348800.01</v>
      </c>
      <c r="B286" s="114" t="n">
        <v>350080</v>
      </c>
      <c r="C286" s="114" t="n">
        <v>8124.05999999997</v>
      </c>
    </row>
    <row r="287" customFormat="false" ht="15" hidden="false" customHeight="true" outlineLevel="0" collapsed="false">
      <c r="A287" s="115" t="n">
        <v>350080.01</v>
      </c>
      <c r="B287" s="115" t="n">
        <v>351360</v>
      </c>
      <c r="C287" s="115" t="n">
        <v>8152.71999999997</v>
      </c>
    </row>
    <row r="288" customFormat="false" ht="15" hidden="false" customHeight="true" outlineLevel="0" collapsed="false">
      <c r="A288" s="114" t="n">
        <v>351360.01</v>
      </c>
      <c r="B288" s="114" t="n">
        <v>352640</v>
      </c>
      <c r="C288" s="114" t="n">
        <v>8181.37999999997</v>
      </c>
    </row>
    <row r="289" customFormat="false" ht="15" hidden="false" customHeight="true" outlineLevel="0" collapsed="false">
      <c r="A289" s="115" t="n">
        <v>352640.01</v>
      </c>
      <c r="B289" s="115" t="n">
        <v>353920</v>
      </c>
      <c r="C289" s="115" t="n">
        <v>8210.03999999997</v>
      </c>
    </row>
    <row r="290" customFormat="false" ht="15" hidden="false" customHeight="true" outlineLevel="0" collapsed="false">
      <c r="A290" s="114" t="n">
        <v>353920.01</v>
      </c>
      <c r="B290" s="114" t="n">
        <v>355200</v>
      </c>
      <c r="C290" s="114" t="n">
        <v>8238.69999999997</v>
      </c>
    </row>
    <row r="291" customFormat="false" ht="15" hidden="false" customHeight="true" outlineLevel="0" collapsed="false">
      <c r="A291" s="115" t="n">
        <v>355200.01</v>
      </c>
      <c r="B291" s="115" t="n">
        <v>356480</v>
      </c>
      <c r="C291" s="115" t="n">
        <v>8267.35999999997</v>
      </c>
    </row>
    <row r="292" customFormat="false" ht="15" hidden="false" customHeight="true" outlineLevel="0" collapsed="false">
      <c r="A292" s="114" t="n">
        <v>356480.01</v>
      </c>
      <c r="B292" s="114" t="n">
        <v>357760</v>
      </c>
      <c r="C292" s="114" t="n">
        <v>8296.01999999997</v>
      </c>
    </row>
    <row r="293" customFormat="false" ht="15" hidden="false" customHeight="true" outlineLevel="0" collapsed="false">
      <c r="A293" s="115" t="n">
        <v>357760.01</v>
      </c>
      <c r="B293" s="115" t="n">
        <v>359040</v>
      </c>
      <c r="C293" s="115" t="n">
        <v>8324.67999999997</v>
      </c>
    </row>
    <row r="294" customFormat="false" ht="15" hidden="false" customHeight="true" outlineLevel="0" collapsed="false">
      <c r="A294" s="114" t="n">
        <v>359040.01</v>
      </c>
      <c r="B294" s="114" t="n">
        <v>360320</v>
      </c>
      <c r="C294" s="114" t="n">
        <v>8353.33999999997</v>
      </c>
    </row>
    <row r="295" customFormat="false" ht="15" hidden="false" customHeight="true" outlineLevel="0" collapsed="false">
      <c r="A295" s="115" t="n">
        <v>360320.01</v>
      </c>
      <c r="B295" s="115" t="n">
        <v>361600</v>
      </c>
      <c r="C295" s="115" t="n">
        <v>8381.99999999997</v>
      </c>
    </row>
    <row r="296" customFormat="false" ht="15" hidden="false" customHeight="true" outlineLevel="0" collapsed="false">
      <c r="A296" s="114" t="n">
        <v>361600.01</v>
      </c>
      <c r="B296" s="114" t="n">
        <v>362880</v>
      </c>
      <c r="C296" s="114" t="n">
        <v>8410.65999999997</v>
      </c>
    </row>
    <row r="297" customFormat="false" ht="15" hidden="false" customHeight="true" outlineLevel="0" collapsed="false">
      <c r="A297" s="115" t="n">
        <v>362880.01</v>
      </c>
      <c r="B297" s="115" t="n">
        <v>364160</v>
      </c>
      <c r="C297" s="115" t="n">
        <v>8439.31999999997</v>
      </c>
    </row>
    <row r="298" customFormat="false" ht="15" hidden="false" customHeight="true" outlineLevel="0" collapsed="false">
      <c r="A298" s="114" t="n">
        <v>364160.01</v>
      </c>
      <c r="B298" s="114" t="n">
        <v>365440</v>
      </c>
      <c r="C298" s="114" t="n">
        <v>8467.97999999997</v>
      </c>
    </row>
    <row r="299" customFormat="false" ht="15" hidden="false" customHeight="true" outlineLevel="0" collapsed="false">
      <c r="A299" s="115" t="n">
        <v>365440.01</v>
      </c>
      <c r="B299" s="115" t="n">
        <v>366720</v>
      </c>
      <c r="C299" s="115" t="n">
        <v>8496.63999999997</v>
      </c>
    </row>
    <row r="300" customFormat="false" ht="15" hidden="false" customHeight="true" outlineLevel="0" collapsed="false">
      <c r="A300" s="114" t="n">
        <v>366720.01</v>
      </c>
      <c r="B300" s="114" t="n">
        <v>368000</v>
      </c>
      <c r="C300" s="114" t="n">
        <v>8525.29999999997</v>
      </c>
    </row>
    <row r="301" customFormat="false" ht="15" hidden="false" customHeight="true" outlineLevel="0" collapsed="false">
      <c r="A301" s="115" t="n">
        <v>368000.01</v>
      </c>
      <c r="B301" s="115" t="n">
        <v>369280</v>
      </c>
      <c r="C301" s="115" t="n">
        <v>8553.95999999997</v>
      </c>
    </row>
    <row r="302" customFormat="false" ht="15" hidden="false" customHeight="true" outlineLevel="0" collapsed="false">
      <c r="A302" s="114" t="n">
        <v>369280.01</v>
      </c>
      <c r="B302" s="114" t="n">
        <v>370560</v>
      </c>
      <c r="C302" s="114" t="n">
        <v>8582.61999999997</v>
      </c>
    </row>
    <row r="303" customFormat="false" ht="15" hidden="false" customHeight="true" outlineLevel="0" collapsed="false">
      <c r="A303" s="115" t="n">
        <v>370560.01</v>
      </c>
      <c r="B303" s="115" t="n">
        <v>371840</v>
      </c>
      <c r="C303" s="115" t="n">
        <v>8611.27999999997</v>
      </c>
    </row>
    <row r="304" customFormat="false" ht="15" hidden="false" customHeight="true" outlineLevel="0" collapsed="false">
      <c r="A304" s="114" t="n">
        <v>371840.01</v>
      </c>
      <c r="B304" s="114" t="n">
        <v>373120</v>
      </c>
      <c r="C304" s="114" t="n">
        <v>8639.93999999997</v>
      </c>
    </row>
    <row r="305" customFormat="false" ht="15" hidden="false" customHeight="true" outlineLevel="0" collapsed="false">
      <c r="A305" s="115" t="n">
        <v>373120.01</v>
      </c>
      <c r="B305" s="115" t="n">
        <v>374400</v>
      </c>
      <c r="C305" s="115" t="n">
        <v>8668.59999999997</v>
      </c>
    </row>
    <row r="306" customFormat="false" ht="15" hidden="false" customHeight="true" outlineLevel="0" collapsed="false">
      <c r="A306" s="114" t="n">
        <v>374400.01</v>
      </c>
      <c r="B306" s="114" t="n">
        <v>375680</v>
      </c>
      <c r="C306" s="114" t="n">
        <v>8697.25999999997</v>
      </c>
    </row>
    <row r="307" customFormat="false" ht="15" hidden="false" customHeight="true" outlineLevel="0" collapsed="false">
      <c r="A307" s="115" t="n">
        <v>375680.01</v>
      </c>
      <c r="B307" s="115" t="n">
        <v>376960</v>
      </c>
      <c r="C307" s="115" t="n">
        <v>8725.91999999997</v>
      </c>
    </row>
    <row r="308" customFormat="false" ht="15" hidden="false" customHeight="true" outlineLevel="0" collapsed="false">
      <c r="A308" s="114" t="n">
        <v>376960.01</v>
      </c>
      <c r="B308" s="114" t="n">
        <v>378240</v>
      </c>
      <c r="C308" s="114" t="n">
        <v>8754.57999999997</v>
      </c>
    </row>
    <row r="309" customFormat="false" ht="15" hidden="false" customHeight="true" outlineLevel="0" collapsed="false">
      <c r="A309" s="115" t="n">
        <v>378240.01</v>
      </c>
      <c r="B309" s="115" t="n">
        <v>379520</v>
      </c>
      <c r="C309" s="115" t="n">
        <v>8783.23999999997</v>
      </c>
    </row>
    <row r="310" customFormat="false" ht="15" hidden="false" customHeight="true" outlineLevel="0" collapsed="false">
      <c r="A310" s="114" t="n">
        <v>379520.01</v>
      </c>
      <c r="B310" s="114" t="n">
        <v>380800</v>
      </c>
      <c r="C310" s="114" t="n">
        <v>8811.89999999997</v>
      </c>
    </row>
    <row r="311" customFormat="false" ht="15" hidden="false" customHeight="true" outlineLevel="0" collapsed="false">
      <c r="A311" s="115" t="n">
        <v>380800.01</v>
      </c>
      <c r="B311" s="115" t="n">
        <v>382080</v>
      </c>
      <c r="C311" s="115" t="n">
        <v>8840.55999999997</v>
      </c>
    </row>
    <row r="312" customFormat="false" ht="15" hidden="false" customHeight="true" outlineLevel="0" collapsed="false">
      <c r="A312" s="114" t="n">
        <v>382080.01</v>
      </c>
      <c r="B312" s="114" t="n">
        <v>383360</v>
      </c>
      <c r="C312" s="114" t="n">
        <v>8869.21999999997</v>
      </c>
    </row>
    <row r="313" customFormat="false" ht="15" hidden="false" customHeight="true" outlineLevel="0" collapsed="false">
      <c r="A313" s="115" t="n">
        <v>383360.01</v>
      </c>
      <c r="B313" s="115" t="n">
        <v>384640</v>
      </c>
      <c r="C313" s="115" t="n">
        <v>8897.87999999997</v>
      </c>
    </row>
    <row r="314" customFormat="false" ht="15" hidden="false" customHeight="true" outlineLevel="0" collapsed="false">
      <c r="A314" s="114" t="n">
        <v>384640.01</v>
      </c>
      <c r="B314" s="114" t="n">
        <v>385920</v>
      </c>
      <c r="C314" s="114" t="n">
        <v>8926.53999999997</v>
      </c>
    </row>
    <row r="315" customFormat="false" ht="15" hidden="false" customHeight="true" outlineLevel="0" collapsed="false">
      <c r="A315" s="115" t="n">
        <v>385920.01</v>
      </c>
      <c r="B315" s="115" t="n">
        <v>387200</v>
      </c>
      <c r="C315" s="115" t="n">
        <v>8955.19999999997</v>
      </c>
    </row>
    <row r="316" customFormat="false" ht="15" hidden="false" customHeight="true" outlineLevel="0" collapsed="false">
      <c r="A316" s="114" t="n">
        <v>387200.01</v>
      </c>
      <c r="B316" s="114" t="n">
        <v>388480</v>
      </c>
      <c r="C316" s="114" t="n">
        <v>8983.85999999997</v>
      </c>
    </row>
    <row r="317" customFormat="false" ht="15" hidden="false" customHeight="true" outlineLevel="0" collapsed="false">
      <c r="A317" s="115" t="n">
        <v>388480.01</v>
      </c>
      <c r="B317" s="115" t="n">
        <v>389760</v>
      </c>
      <c r="C317" s="115" t="n">
        <v>9012.51999999997</v>
      </c>
    </row>
    <row r="318" customFormat="false" ht="15" hidden="false" customHeight="true" outlineLevel="0" collapsed="false">
      <c r="A318" s="114" t="n">
        <v>389760.01</v>
      </c>
      <c r="B318" s="114" t="n">
        <v>391040</v>
      </c>
      <c r="C318" s="114" t="n">
        <v>9041.17999999997</v>
      </c>
    </row>
    <row r="319" customFormat="false" ht="15" hidden="false" customHeight="true" outlineLevel="0" collapsed="false">
      <c r="A319" s="115" t="n">
        <v>391040.01</v>
      </c>
      <c r="B319" s="115" t="n">
        <v>392320</v>
      </c>
      <c r="C319" s="115" t="n">
        <v>9069.83999999997</v>
      </c>
    </row>
    <row r="320" customFormat="false" ht="15" hidden="false" customHeight="true" outlineLevel="0" collapsed="false">
      <c r="A320" s="114" t="n">
        <v>392320.01</v>
      </c>
      <c r="B320" s="114" t="n">
        <v>393600</v>
      </c>
      <c r="C320" s="114" t="n">
        <v>9098.49999999997</v>
      </c>
    </row>
    <row r="321" customFormat="false" ht="15" hidden="false" customHeight="true" outlineLevel="0" collapsed="false">
      <c r="A321" s="115" t="n">
        <v>393600.01</v>
      </c>
      <c r="B321" s="115" t="n">
        <v>394880</v>
      </c>
      <c r="C321" s="115" t="n">
        <v>9127.15999999997</v>
      </c>
    </row>
    <row r="322" customFormat="false" ht="15" hidden="false" customHeight="true" outlineLevel="0" collapsed="false">
      <c r="A322" s="114" t="n">
        <v>394880.01</v>
      </c>
      <c r="B322" s="114" t="n">
        <v>396160</v>
      </c>
      <c r="C322" s="114" t="n">
        <v>9155.81999999997</v>
      </c>
    </row>
    <row r="323" customFormat="false" ht="15" hidden="false" customHeight="true" outlineLevel="0" collapsed="false">
      <c r="A323" s="115" t="n">
        <v>396160.01</v>
      </c>
      <c r="B323" s="115" t="n">
        <v>397440</v>
      </c>
      <c r="C323" s="115" t="n">
        <v>9184.47999999997</v>
      </c>
    </row>
    <row r="324" customFormat="false" ht="15" hidden="false" customHeight="true" outlineLevel="0" collapsed="false">
      <c r="A324" s="114" t="n">
        <v>397440.01</v>
      </c>
      <c r="B324" s="114" t="n">
        <v>398720</v>
      </c>
      <c r="C324" s="114" t="n">
        <v>9213.13999999997</v>
      </c>
    </row>
    <row r="325" customFormat="false" ht="15" hidden="false" customHeight="true" outlineLevel="0" collapsed="false">
      <c r="A325" s="115" t="n">
        <v>398720.01</v>
      </c>
      <c r="B325" s="115" t="n">
        <v>400000</v>
      </c>
      <c r="C325" s="115" t="n">
        <v>9241.79999999997</v>
      </c>
    </row>
    <row r="326" customFormat="false" ht="15" hidden="false" customHeight="true" outlineLevel="0" collapsed="false">
      <c r="A326" s="114" t="n">
        <v>400000.01</v>
      </c>
      <c r="B326" s="114" t="n">
        <v>401280</v>
      </c>
      <c r="C326" s="114" t="n">
        <v>9270.45999999997</v>
      </c>
    </row>
    <row r="327" customFormat="false" ht="15" hidden="false" customHeight="true" outlineLevel="0" collapsed="false">
      <c r="A327" s="115" t="n">
        <v>401280.01</v>
      </c>
      <c r="B327" s="115" t="n">
        <v>402560</v>
      </c>
      <c r="C327" s="115" t="n">
        <v>9299.11999999997</v>
      </c>
    </row>
    <row r="328" customFormat="false" ht="15" hidden="false" customHeight="true" outlineLevel="0" collapsed="false">
      <c r="A328" s="114" t="n">
        <v>402560.01</v>
      </c>
      <c r="B328" s="114" t="n">
        <v>403840</v>
      </c>
      <c r="C328" s="114" t="n">
        <v>9327.77999999997</v>
      </c>
    </row>
    <row r="329" customFormat="false" ht="15" hidden="false" customHeight="true" outlineLevel="0" collapsed="false">
      <c r="A329" s="115" t="n">
        <v>403840.01</v>
      </c>
      <c r="B329" s="115" t="n">
        <v>405120</v>
      </c>
      <c r="C329" s="115" t="n">
        <v>9356.43999999997</v>
      </c>
    </row>
    <row r="330" customFormat="false" ht="15" hidden="false" customHeight="true" outlineLevel="0" collapsed="false">
      <c r="A330" s="114" t="n">
        <v>405120.01</v>
      </c>
      <c r="B330" s="114" t="n">
        <v>406400</v>
      </c>
      <c r="C330" s="114" t="n">
        <v>9385.09999999997</v>
      </c>
    </row>
    <row r="331" customFormat="false" ht="15" hidden="false" customHeight="true" outlineLevel="0" collapsed="false">
      <c r="A331" s="115" t="n">
        <v>406400.01</v>
      </c>
      <c r="B331" s="115" t="n">
        <v>407680</v>
      </c>
      <c r="C331" s="115" t="n">
        <v>9413.75999999997</v>
      </c>
    </row>
    <row r="332" customFormat="false" ht="15" hidden="false" customHeight="true" outlineLevel="0" collapsed="false">
      <c r="A332" s="114" t="n">
        <v>407680.01</v>
      </c>
      <c r="B332" s="114" t="n">
        <v>408960</v>
      </c>
      <c r="C332" s="114" t="n">
        <v>9442.41999999997</v>
      </c>
    </row>
    <row r="333" customFormat="false" ht="15" hidden="false" customHeight="true" outlineLevel="0" collapsed="false">
      <c r="A333" s="115" t="n">
        <v>408960.01</v>
      </c>
      <c r="B333" s="115" t="n">
        <v>410240</v>
      </c>
      <c r="C333" s="115" t="n">
        <v>9471.07999999997</v>
      </c>
    </row>
    <row r="334" customFormat="false" ht="15" hidden="false" customHeight="true" outlineLevel="0" collapsed="false">
      <c r="A334" s="114" t="n">
        <v>410240.01</v>
      </c>
      <c r="B334" s="114" t="n">
        <v>411520</v>
      </c>
      <c r="C334" s="114" t="n">
        <v>9499.73999999997</v>
      </c>
    </row>
    <row r="335" customFormat="false" ht="15" hidden="false" customHeight="true" outlineLevel="0" collapsed="false">
      <c r="A335" s="115" t="n">
        <v>411520.01</v>
      </c>
      <c r="B335" s="115" t="n">
        <v>412800</v>
      </c>
      <c r="C335" s="115" t="n">
        <v>9528.39999999997</v>
      </c>
    </row>
    <row r="336" customFormat="false" ht="15" hidden="false" customHeight="true" outlineLevel="0" collapsed="false">
      <c r="A336" s="114" t="n">
        <v>412800.01</v>
      </c>
      <c r="B336" s="114" t="n">
        <v>414080</v>
      </c>
      <c r="C336" s="114" t="n">
        <v>9557.05999999997</v>
      </c>
    </row>
    <row r="337" customFormat="false" ht="15" hidden="false" customHeight="true" outlineLevel="0" collapsed="false">
      <c r="A337" s="115" t="n">
        <v>414080.01</v>
      </c>
      <c r="B337" s="115" t="n">
        <v>415360</v>
      </c>
      <c r="C337" s="115" t="n">
        <v>9585.71999999997</v>
      </c>
    </row>
    <row r="338" customFormat="false" ht="15" hidden="false" customHeight="true" outlineLevel="0" collapsed="false">
      <c r="A338" s="114" t="n">
        <v>415360.01</v>
      </c>
      <c r="B338" s="114" t="n">
        <v>416640</v>
      </c>
      <c r="C338" s="114" t="n">
        <v>9614.37999999997</v>
      </c>
    </row>
    <row r="339" customFormat="false" ht="15" hidden="false" customHeight="true" outlineLevel="0" collapsed="false">
      <c r="A339" s="115" t="n">
        <v>416640.01</v>
      </c>
      <c r="B339" s="115" t="n">
        <v>417920</v>
      </c>
      <c r="C339" s="115" t="n">
        <v>9643.03999999996</v>
      </c>
    </row>
    <row r="340" customFormat="false" ht="15" hidden="false" customHeight="true" outlineLevel="0" collapsed="false">
      <c r="A340" s="114" t="n">
        <v>417920.01</v>
      </c>
      <c r="B340" s="114" t="n">
        <v>419200</v>
      </c>
      <c r="C340" s="114" t="n">
        <v>9671.69999999996</v>
      </c>
    </row>
    <row r="341" customFormat="false" ht="15" hidden="false" customHeight="true" outlineLevel="0" collapsed="false">
      <c r="A341" s="115" t="n">
        <v>419200.01</v>
      </c>
      <c r="B341" s="115" t="n">
        <v>420480</v>
      </c>
      <c r="C341" s="115" t="n">
        <v>9700.35999999996</v>
      </c>
    </row>
    <row r="342" customFormat="false" ht="15" hidden="false" customHeight="true" outlineLevel="0" collapsed="false">
      <c r="A342" s="114" t="n">
        <v>420480.01</v>
      </c>
      <c r="B342" s="114" t="n">
        <v>421760</v>
      </c>
      <c r="C342" s="114" t="n">
        <v>9729.01999999996</v>
      </c>
    </row>
    <row r="343" customFormat="false" ht="15" hidden="false" customHeight="true" outlineLevel="0" collapsed="false">
      <c r="A343" s="115" t="n">
        <v>421760.01</v>
      </c>
      <c r="B343" s="115" t="n">
        <v>423040</v>
      </c>
      <c r="C343" s="115" t="n">
        <v>9757.67999999996</v>
      </c>
    </row>
    <row r="344" customFormat="false" ht="15" hidden="false" customHeight="true" outlineLevel="0" collapsed="false">
      <c r="A344" s="114" t="n">
        <v>423040.01</v>
      </c>
      <c r="B344" s="114" t="n">
        <v>424320</v>
      </c>
      <c r="C344" s="114" t="n">
        <v>9786.33999999996</v>
      </c>
    </row>
    <row r="345" customFormat="false" ht="15" hidden="false" customHeight="true" outlineLevel="0" collapsed="false">
      <c r="A345" s="115" t="n">
        <v>424320.01</v>
      </c>
      <c r="B345" s="115" t="n">
        <v>425600</v>
      </c>
      <c r="C345" s="115" t="n">
        <v>9814.99999999996</v>
      </c>
    </row>
    <row r="346" customFormat="false" ht="15" hidden="false" customHeight="true" outlineLevel="0" collapsed="false">
      <c r="A346" s="114" t="n">
        <v>425600.01</v>
      </c>
      <c r="B346" s="114" t="n">
        <v>426880</v>
      </c>
      <c r="C346" s="114" t="n">
        <v>9843.65999999996</v>
      </c>
    </row>
    <row r="347" customFormat="false" ht="15" hidden="false" customHeight="true" outlineLevel="0" collapsed="false">
      <c r="A347" s="115" t="n">
        <v>426880.01</v>
      </c>
      <c r="B347" s="115" t="n">
        <v>428160</v>
      </c>
      <c r="C347" s="115" t="n">
        <v>9872.31999999996</v>
      </c>
    </row>
    <row r="348" customFormat="false" ht="15" hidden="false" customHeight="true" outlineLevel="0" collapsed="false">
      <c r="A348" s="114" t="n">
        <v>428160.01</v>
      </c>
      <c r="B348" s="114" t="n">
        <v>429440</v>
      </c>
      <c r="C348" s="114" t="n">
        <v>9900.97999999996</v>
      </c>
    </row>
    <row r="349" customFormat="false" ht="15" hidden="false" customHeight="true" outlineLevel="0" collapsed="false">
      <c r="A349" s="115" t="n">
        <v>429440.01</v>
      </c>
      <c r="B349" s="115" t="n">
        <v>430720</v>
      </c>
      <c r="C349" s="115" t="n">
        <v>9929.63999999996</v>
      </c>
    </row>
    <row r="350" customFormat="false" ht="15" hidden="false" customHeight="true" outlineLevel="0" collapsed="false">
      <c r="A350" s="114" t="n">
        <v>430720.01</v>
      </c>
      <c r="B350" s="114" t="n">
        <v>432000</v>
      </c>
      <c r="C350" s="114" t="n">
        <v>9958.29999999996</v>
      </c>
    </row>
    <row r="351" customFormat="false" ht="15" hidden="false" customHeight="true" outlineLevel="0" collapsed="false">
      <c r="A351" s="115" t="n">
        <v>432000.01</v>
      </c>
      <c r="B351" s="115" t="n">
        <v>433280</v>
      </c>
      <c r="C351" s="115" t="n">
        <v>9986.95999999996</v>
      </c>
    </row>
    <row r="352" customFormat="false" ht="15" hidden="false" customHeight="true" outlineLevel="0" collapsed="false">
      <c r="A352" s="114" t="n">
        <v>433280.01</v>
      </c>
      <c r="B352" s="114" t="n">
        <v>434560</v>
      </c>
      <c r="C352" s="114" t="n">
        <v>10015.62</v>
      </c>
    </row>
    <row r="353" customFormat="false" ht="15" hidden="false" customHeight="true" outlineLevel="0" collapsed="false">
      <c r="A353" s="115" t="n">
        <v>434560.01</v>
      </c>
      <c r="B353" s="115" t="n">
        <v>435840</v>
      </c>
      <c r="C353" s="115" t="n">
        <v>10044.28</v>
      </c>
    </row>
    <row r="354" customFormat="false" ht="15" hidden="false" customHeight="true" outlineLevel="0" collapsed="false">
      <c r="A354" s="114" t="n">
        <v>435840.01</v>
      </c>
      <c r="B354" s="114" t="n">
        <v>437120</v>
      </c>
      <c r="C354" s="114" t="n">
        <v>10072.94</v>
      </c>
    </row>
    <row r="355" customFormat="false" ht="15" hidden="false" customHeight="true" outlineLevel="0" collapsed="false">
      <c r="A355" s="115" t="n">
        <v>437120.01</v>
      </c>
      <c r="B355" s="115" t="n">
        <v>438400</v>
      </c>
      <c r="C355" s="115" t="n">
        <v>10101.6</v>
      </c>
    </row>
    <row r="356" customFormat="false" ht="15" hidden="false" customHeight="true" outlineLevel="0" collapsed="false">
      <c r="A356" s="114" t="n">
        <v>438400.01</v>
      </c>
      <c r="B356" s="114" t="n">
        <v>439680</v>
      </c>
      <c r="C356" s="114" t="n">
        <v>10130.26</v>
      </c>
    </row>
    <row r="357" customFormat="false" ht="15" hidden="false" customHeight="true" outlineLevel="0" collapsed="false">
      <c r="A357" s="115" t="n">
        <v>439680.01</v>
      </c>
      <c r="B357" s="115" t="n">
        <v>440960</v>
      </c>
      <c r="C357" s="115" t="n">
        <v>10158.92</v>
      </c>
    </row>
    <row r="358" customFormat="false" ht="15" hidden="false" customHeight="true" outlineLevel="0" collapsed="false">
      <c r="A358" s="114" t="n">
        <v>440960.01</v>
      </c>
      <c r="B358" s="114" t="n">
        <v>442240</v>
      </c>
      <c r="C358" s="114" t="n">
        <v>10187.58</v>
      </c>
    </row>
    <row r="359" customFormat="false" ht="15" hidden="false" customHeight="true" outlineLevel="0" collapsed="false">
      <c r="A359" s="115" t="n">
        <v>442240.01</v>
      </c>
      <c r="B359" s="115" t="n">
        <v>443520</v>
      </c>
      <c r="C359" s="115" t="n">
        <v>10216.24</v>
      </c>
    </row>
    <row r="360" customFormat="false" ht="15" hidden="false" customHeight="true" outlineLevel="0" collapsed="false">
      <c r="A360" s="114" t="n">
        <v>443520.01</v>
      </c>
      <c r="B360" s="114" t="n">
        <v>444800</v>
      </c>
      <c r="C360" s="114" t="n">
        <v>10244.9</v>
      </c>
    </row>
    <row r="361" customFormat="false" ht="15" hidden="false" customHeight="true" outlineLevel="0" collapsed="false">
      <c r="A361" s="115" t="n">
        <v>444800.01</v>
      </c>
      <c r="B361" s="115" t="n">
        <v>446080</v>
      </c>
      <c r="C361" s="115" t="n">
        <v>10273.56</v>
      </c>
    </row>
    <row r="362" customFormat="false" ht="15" hidden="false" customHeight="true" outlineLevel="0" collapsed="false">
      <c r="A362" s="114" t="n">
        <v>446080.01</v>
      </c>
      <c r="B362" s="114" t="n">
        <v>447360</v>
      </c>
      <c r="C362" s="114" t="n">
        <v>10302.22</v>
      </c>
    </row>
    <row r="363" customFormat="false" ht="15" hidden="false" customHeight="true" outlineLevel="0" collapsed="false">
      <c r="A363" s="115" t="n">
        <v>447360.01</v>
      </c>
      <c r="B363" s="115" t="n">
        <v>448640</v>
      </c>
      <c r="C363" s="115" t="n">
        <v>10330.88</v>
      </c>
    </row>
    <row r="364" customFormat="false" ht="15" hidden="false" customHeight="true" outlineLevel="0" collapsed="false">
      <c r="A364" s="114" t="n">
        <v>448640.01</v>
      </c>
      <c r="B364" s="114" t="n">
        <v>449920</v>
      </c>
      <c r="C364" s="114" t="n">
        <v>10359.54</v>
      </c>
    </row>
    <row r="365" customFormat="false" ht="15" hidden="false" customHeight="true" outlineLevel="0" collapsed="false">
      <c r="A365" s="115" t="n">
        <v>449920.01</v>
      </c>
      <c r="B365" s="115" t="n">
        <v>451200</v>
      </c>
      <c r="C365" s="115" t="n">
        <v>10388.2</v>
      </c>
    </row>
    <row r="366" customFormat="false" ht="15" hidden="false" customHeight="true" outlineLevel="0" collapsed="false">
      <c r="A366" s="114" t="n">
        <v>451200.01</v>
      </c>
      <c r="B366" s="114" t="n">
        <v>452480</v>
      </c>
      <c r="C366" s="114" t="n">
        <v>10416.86</v>
      </c>
    </row>
    <row r="367" customFormat="false" ht="15" hidden="false" customHeight="true" outlineLevel="0" collapsed="false">
      <c r="A367" s="115" t="n">
        <v>452480.01</v>
      </c>
      <c r="B367" s="115" t="n">
        <v>453760</v>
      </c>
      <c r="C367" s="115" t="n">
        <v>10445.52</v>
      </c>
    </row>
    <row r="368" customFormat="false" ht="15" hidden="false" customHeight="true" outlineLevel="0" collapsed="false">
      <c r="A368" s="114" t="n">
        <v>453760.01</v>
      </c>
      <c r="B368" s="114" t="n">
        <v>455040</v>
      </c>
      <c r="C368" s="114" t="n">
        <v>10474.18</v>
      </c>
    </row>
    <row r="369" customFormat="false" ht="15" hidden="false" customHeight="true" outlineLevel="0" collapsed="false">
      <c r="A369" s="115" t="n">
        <v>455040.01</v>
      </c>
      <c r="B369" s="115" t="n">
        <v>456320</v>
      </c>
      <c r="C369" s="115" t="n">
        <v>10502.84</v>
      </c>
    </row>
    <row r="370" customFormat="false" ht="15" hidden="false" customHeight="true" outlineLevel="0" collapsed="false">
      <c r="A370" s="114" t="n">
        <v>456320.01</v>
      </c>
      <c r="B370" s="114" t="n">
        <v>457600</v>
      </c>
      <c r="C370" s="114" t="n">
        <v>10531.5</v>
      </c>
    </row>
    <row r="371" customFormat="false" ht="15" hidden="false" customHeight="true" outlineLevel="0" collapsed="false">
      <c r="A371" s="115" t="n">
        <v>457600.01</v>
      </c>
      <c r="B371" s="115" t="n">
        <v>458880</v>
      </c>
      <c r="C371" s="115" t="n">
        <v>10560.16</v>
      </c>
    </row>
    <row r="372" customFormat="false" ht="15" hidden="false" customHeight="true" outlineLevel="0" collapsed="false">
      <c r="A372" s="114" t="n">
        <v>458880.01</v>
      </c>
      <c r="B372" s="114" t="n">
        <v>460160</v>
      </c>
      <c r="C372" s="114" t="n">
        <v>10588.82</v>
      </c>
    </row>
    <row r="373" customFormat="false" ht="15" hidden="false" customHeight="true" outlineLevel="0" collapsed="false">
      <c r="A373" s="115" t="n">
        <v>460160.01</v>
      </c>
      <c r="B373" s="115" t="n">
        <v>461440</v>
      </c>
      <c r="C373" s="115" t="n">
        <v>10617.48</v>
      </c>
    </row>
    <row r="374" customFormat="false" ht="15" hidden="false" customHeight="true" outlineLevel="0" collapsed="false">
      <c r="A374" s="114" t="n">
        <v>461440.01</v>
      </c>
      <c r="B374" s="114" t="n">
        <v>462720</v>
      </c>
      <c r="C374" s="114" t="n">
        <v>10646.14</v>
      </c>
    </row>
    <row r="375" customFormat="false" ht="15" hidden="false" customHeight="true" outlineLevel="0" collapsed="false">
      <c r="A375" s="115" t="n">
        <v>462720.01</v>
      </c>
      <c r="B375" s="115" t="n">
        <v>464000</v>
      </c>
      <c r="C375" s="115" t="n">
        <v>10674.8</v>
      </c>
    </row>
    <row r="376" customFormat="false" ht="15" hidden="false" customHeight="true" outlineLevel="0" collapsed="false">
      <c r="A376" s="114" t="n">
        <v>464000.01</v>
      </c>
      <c r="B376" s="114" t="n">
        <v>465280</v>
      </c>
      <c r="C376" s="114" t="n">
        <v>10703.46</v>
      </c>
    </row>
    <row r="377" customFormat="false" ht="15" hidden="false" customHeight="true" outlineLevel="0" collapsed="false">
      <c r="A377" s="115" t="n">
        <v>465280.01</v>
      </c>
      <c r="B377" s="115" t="n">
        <v>466560</v>
      </c>
      <c r="C377" s="115" t="n">
        <v>10732.12</v>
      </c>
    </row>
    <row r="378" customFormat="false" ht="15" hidden="false" customHeight="true" outlineLevel="0" collapsed="false">
      <c r="A378" s="114" t="n">
        <v>466560.01</v>
      </c>
      <c r="B378" s="114" t="n">
        <v>467840</v>
      </c>
      <c r="C378" s="114" t="n">
        <v>10760.78</v>
      </c>
    </row>
    <row r="379" customFormat="false" ht="15" hidden="false" customHeight="true" outlineLevel="0" collapsed="false">
      <c r="A379" s="115" t="n">
        <v>467840.01</v>
      </c>
      <c r="B379" s="115" t="n">
        <v>469120</v>
      </c>
      <c r="C379" s="115" t="n">
        <v>10789.44</v>
      </c>
    </row>
    <row r="380" customFormat="false" ht="15" hidden="false" customHeight="true" outlineLevel="0" collapsed="false">
      <c r="A380" s="114" t="n">
        <v>469120.01</v>
      </c>
      <c r="B380" s="114" t="n">
        <v>470400</v>
      </c>
      <c r="C380" s="114" t="n">
        <v>10818.1</v>
      </c>
    </row>
    <row r="381" customFormat="false" ht="15" hidden="false" customHeight="true" outlineLevel="0" collapsed="false">
      <c r="A381" s="115" t="n">
        <v>470400.01</v>
      </c>
      <c r="B381" s="115" t="n">
        <v>471680</v>
      </c>
      <c r="C381" s="115" t="n">
        <v>10846.76</v>
      </c>
    </row>
    <row r="382" customFormat="false" ht="15" hidden="false" customHeight="true" outlineLevel="0" collapsed="false">
      <c r="A382" s="114" t="n">
        <v>471680.01</v>
      </c>
      <c r="B382" s="114" t="n">
        <v>472960</v>
      </c>
      <c r="C382" s="114" t="n">
        <v>10875.42</v>
      </c>
    </row>
    <row r="383" customFormat="false" ht="15" hidden="false" customHeight="true" outlineLevel="0" collapsed="false">
      <c r="A383" s="115" t="n">
        <v>472960.01</v>
      </c>
      <c r="B383" s="115" t="n">
        <v>474240</v>
      </c>
      <c r="C383" s="115" t="n">
        <v>10904.08</v>
      </c>
    </row>
    <row r="384" customFormat="false" ht="15" hidden="false" customHeight="true" outlineLevel="0" collapsed="false">
      <c r="A384" s="114" t="n">
        <v>474240.01</v>
      </c>
      <c r="B384" s="114" t="n">
        <v>475520</v>
      </c>
      <c r="C384" s="114" t="n">
        <v>10932.74</v>
      </c>
    </row>
    <row r="385" customFormat="false" ht="15" hidden="false" customHeight="true" outlineLevel="0" collapsed="false">
      <c r="A385" s="115" t="n">
        <v>475520.01</v>
      </c>
      <c r="B385" s="115" t="n">
        <v>476800</v>
      </c>
      <c r="C385" s="115" t="n">
        <v>10961.4</v>
      </c>
    </row>
    <row r="386" customFormat="false" ht="15" hidden="false" customHeight="true" outlineLevel="0" collapsed="false">
      <c r="A386" s="114" t="n">
        <v>476800.01</v>
      </c>
      <c r="B386" s="114" t="n">
        <v>478080</v>
      </c>
      <c r="C386" s="114" t="n">
        <v>10990.06</v>
      </c>
    </row>
    <row r="387" customFormat="false" ht="15" hidden="false" customHeight="true" outlineLevel="0" collapsed="false">
      <c r="A387" s="115" t="n">
        <v>478080.01</v>
      </c>
      <c r="B387" s="115" t="n">
        <v>479360</v>
      </c>
      <c r="C387" s="115" t="n">
        <v>11018.72</v>
      </c>
    </row>
    <row r="388" customFormat="false" ht="15" hidden="false" customHeight="true" outlineLevel="0" collapsed="false">
      <c r="A388" s="114" t="n">
        <v>479360.01</v>
      </c>
      <c r="B388" s="114" t="n">
        <v>480640</v>
      </c>
      <c r="C388" s="114" t="n">
        <v>11047.38</v>
      </c>
    </row>
    <row r="389" customFormat="false" ht="15" hidden="false" customHeight="true" outlineLevel="0" collapsed="false">
      <c r="A389" s="115" t="n">
        <v>480640.01</v>
      </c>
      <c r="B389" s="115" t="n">
        <v>481920</v>
      </c>
      <c r="C389" s="115" t="n">
        <v>11076.04</v>
      </c>
    </row>
    <row r="390" customFormat="false" ht="15" hidden="false" customHeight="true" outlineLevel="0" collapsed="false">
      <c r="A390" s="114" t="n">
        <v>481920.01</v>
      </c>
      <c r="B390" s="114" t="n">
        <v>483200</v>
      </c>
      <c r="C390" s="114" t="n">
        <v>11104.7</v>
      </c>
    </row>
    <row r="391" customFormat="false" ht="15" hidden="false" customHeight="true" outlineLevel="0" collapsed="false">
      <c r="A391" s="115" t="n">
        <v>483200.01</v>
      </c>
      <c r="B391" s="115" t="n">
        <v>484480</v>
      </c>
      <c r="C391" s="115" t="n">
        <v>11133.36</v>
      </c>
    </row>
    <row r="392" customFormat="false" ht="15" hidden="false" customHeight="true" outlineLevel="0" collapsed="false">
      <c r="A392" s="114" t="n">
        <v>484480.01</v>
      </c>
      <c r="B392" s="114" t="n">
        <v>485760</v>
      </c>
      <c r="C392" s="114" t="n">
        <v>11162.02</v>
      </c>
    </row>
    <row r="393" customFormat="false" ht="15" hidden="false" customHeight="true" outlineLevel="0" collapsed="false">
      <c r="A393" s="115" t="n">
        <v>485760.01</v>
      </c>
      <c r="B393" s="115" t="n">
        <v>487040</v>
      </c>
      <c r="C393" s="115" t="n">
        <v>11190.68</v>
      </c>
    </row>
    <row r="394" customFormat="false" ht="15" hidden="false" customHeight="true" outlineLevel="0" collapsed="false">
      <c r="A394" s="114" t="n">
        <v>487040.01</v>
      </c>
      <c r="B394" s="114" t="n">
        <v>488320</v>
      </c>
      <c r="C394" s="114" t="n">
        <v>11219.34</v>
      </c>
    </row>
    <row r="395" customFormat="false" ht="15" hidden="false" customHeight="true" outlineLevel="0" collapsed="false">
      <c r="A395" s="115" t="n">
        <v>488320.01</v>
      </c>
      <c r="B395" s="115" t="n">
        <v>489600</v>
      </c>
      <c r="C395" s="115" t="n">
        <v>11248</v>
      </c>
    </row>
    <row r="396" customFormat="false" ht="15" hidden="false" customHeight="true" outlineLevel="0" collapsed="false">
      <c r="A396" s="114" t="n">
        <v>489600.01</v>
      </c>
      <c r="B396" s="114" t="n">
        <v>490880</v>
      </c>
      <c r="C396" s="114" t="n">
        <v>11276.66</v>
      </c>
    </row>
    <row r="397" customFormat="false" ht="15" hidden="false" customHeight="true" outlineLevel="0" collapsed="false">
      <c r="A397" s="115" t="n">
        <v>490880.01</v>
      </c>
      <c r="B397" s="115" t="n">
        <v>492160</v>
      </c>
      <c r="C397" s="115" t="n">
        <v>11305.32</v>
      </c>
    </row>
    <row r="398" customFormat="false" ht="15" hidden="false" customHeight="true" outlineLevel="0" collapsed="false">
      <c r="A398" s="114" t="n">
        <v>492160.01</v>
      </c>
      <c r="B398" s="114" t="n">
        <v>493440</v>
      </c>
      <c r="C398" s="114" t="n">
        <v>11333.98</v>
      </c>
    </row>
    <row r="399" customFormat="false" ht="15" hidden="false" customHeight="true" outlineLevel="0" collapsed="false">
      <c r="A399" s="115" t="n">
        <v>493440.01</v>
      </c>
      <c r="B399" s="115" t="n">
        <v>494720</v>
      </c>
      <c r="C399" s="115" t="n">
        <v>11362.64</v>
      </c>
    </row>
    <row r="400" customFormat="false" ht="15" hidden="false" customHeight="true" outlineLevel="0" collapsed="false">
      <c r="A400" s="114" t="n">
        <v>494720.01</v>
      </c>
      <c r="B400" s="114" t="n">
        <v>496000</v>
      </c>
      <c r="C400" s="114" t="n">
        <v>11391.3</v>
      </c>
    </row>
    <row r="401" customFormat="false" ht="15" hidden="false" customHeight="true" outlineLevel="0" collapsed="false">
      <c r="A401" s="115" t="n">
        <v>496000.01</v>
      </c>
      <c r="B401" s="115" t="n">
        <v>497280</v>
      </c>
      <c r="C401" s="115" t="n">
        <v>11419.96</v>
      </c>
    </row>
    <row r="402" customFormat="false" ht="15" hidden="false" customHeight="true" outlineLevel="0" collapsed="false">
      <c r="A402" s="114" t="n">
        <v>497280.01</v>
      </c>
      <c r="B402" s="114" t="n">
        <v>498560</v>
      </c>
      <c r="C402" s="114" t="n">
        <v>11448.62</v>
      </c>
    </row>
    <row r="403" customFormat="false" ht="15" hidden="false" customHeight="true" outlineLevel="0" collapsed="false">
      <c r="A403" s="115" t="n">
        <v>498560.01</v>
      </c>
      <c r="B403" s="115" t="n">
        <v>499840</v>
      </c>
      <c r="C403" s="115" t="n">
        <v>11477.28</v>
      </c>
    </row>
    <row r="404" customFormat="false" ht="15" hidden="false" customHeight="true" outlineLevel="0" collapsed="false">
      <c r="A404" s="114" t="n">
        <v>499840.01</v>
      </c>
      <c r="B404" s="114" t="n">
        <v>501120</v>
      </c>
      <c r="C404" s="114" t="n">
        <v>11505.94</v>
      </c>
    </row>
    <row r="405" customFormat="false" ht="15" hidden="false" customHeight="true" outlineLevel="0" collapsed="false">
      <c r="A405" s="115" t="n">
        <v>501120.01</v>
      </c>
      <c r="B405" s="115" t="n">
        <v>502400</v>
      </c>
      <c r="C405" s="115" t="n">
        <v>11534.6</v>
      </c>
    </row>
    <row r="406" customFormat="false" ht="15" hidden="false" customHeight="true" outlineLevel="0" collapsed="false">
      <c r="A406" s="114" t="n">
        <v>502400.01</v>
      </c>
      <c r="B406" s="114" t="n">
        <v>503680</v>
      </c>
      <c r="C406" s="114" t="n">
        <v>11563.26</v>
      </c>
    </row>
    <row r="407" customFormat="false" ht="15" hidden="false" customHeight="true" outlineLevel="0" collapsed="false">
      <c r="A407" s="115" t="n">
        <v>503680.01</v>
      </c>
      <c r="B407" s="115" t="n">
        <v>504960</v>
      </c>
      <c r="C407" s="115" t="n">
        <v>11591.92</v>
      </c>
    </row>
    <row r="408" customFormat="false" ht="15" hidden="false" customHeight="true" outlineLevel="0" collapsed="false">
      <c r="A408" s="114" t="n">
        <v>504960.01</v>
      </c>
      <c r="B408" s="114" t="n">
        <v>506240</v>
      </c>
      <c r="C408" s="114" t="n">
        <v>11620.58</v>
      </c>
    </row>
    <row r="409" customFormat="false" ht="15" hidden="false" customHeight="true" outlineLevel="0" collapsed="false">
      <c r="A409" s="115" t="n">
        <v>506240.01</v>
      </c>
      <c r="B409" s="115" t="n">
        <v>507520</v>
      </c>
      <c r="C409" s="115" t="n">
        <v>11649.24</v>
      </c>
    </row>
    <row r="410" customFormat="false" ht="15" hidden="false" customHeight="true" outlineLevel="0" collapsed="false">
      <c r="A410" s="114" t="n">
        <v>507520.01</v>
      </c>
      <c r="B410" s="114" t="n">
        <v>508800</v>
      </c>
      <c r="C410" s="114" t="n">
        <v>11677.9</v>
      </c>
    </row>
    <row r="411" customFormat="false" ht="15" hidden="false" customHeight="true" outlineLevel="0" collapsed="false">
      <c r="A411" s="115" t="n">
        <v>508800.01</v>
      </c>
      <c r="B411" s="115" t="n">
        <v>510080</v>
      </c>
      <c r="C411" s="115" t="n">
        <v>11706.56</v>
      </c>
    </row>
    <row r="412" customFormat="false" ht="15" hidden="false" customHeight="true" outlineLevel="0" collapsed="false">
      <c r="A412" s="114" t="n">
        <v>510080.01</v>
      </c>
      <c r="B412" s="114" t="n">
        <v>511360</v>
      </c>
      <c r="C412" s="114" t="n">
        <v>11735.22</v>
      </c>
    </row>
    <row r="413" customFormat="false" ht="15" hidden="false" customHeight="true" outlineLevel="0" collapsed="false">
      <c r="A413" s="115" t="n">
        <v>511360.01</v>
      </c>
      <c r="B413" s="115" t="n">
        <v>512640</v>
      </c>
      <c r="C413" s="115" t="n">
        <v>11763.88</v>
      </c>
    </row>
    <row r="414" customFormat="false" ht="15" hidden="false" customHeight="true" outlineLevel="0" collapsed="false">
      <c r="A414" s="114" t="n">
        <v>512640.01</v>
      </c>
      <c r="B414" s="114" t="n">
        <v>513920</v>
      </c>
      <c r="C414" s="114" t="n">
        <v>11792.54</v>
      </c>
    </row>
    <row r="415" customFormat="false" ht="15" hidden="false" customHeight="true" outlineLevel="0" collapsed="false">
      <c r="A415" s="115" t="n">
        <v>513920.01</v>
      </c>
      <c r="B415" s="115" t="n">
        <v>515200</v>
      </c>
      <c r="C415" s="115" t="n">
        <v>11821.2</v>
      </c>
    </row>
    <row r="416" customFormat="false" ht="15" hidden="false" customHeight="true" outlineLevel="0" collapsed="false">
      <c r="A416" s="114" t="n">
        <v>515200.01</v>
      </c>
      <c r="B416" s="114" t="n">
        <v>516480</v>
      </c>
      <c r="C416" s="114" t="n">
        <v>11849.86</v>
      </c>
    </row>
    <row r="417" customFormat="false" ht="15" hidden="false" customHeight="true" outlineLevel="0" collapsed="false">
      <c r="A417" s="115" t="n">
        <v>516480.01</v>
      </c>
      <c r="B417" s="115" t="n">
        <v>517760</v>
      </c>
      <c r="C417" s="115" t="n">
        <v>11878.52</v>
      </c>
    </row>
    <row r="418" customFormat="false" ht="15" hidden="false" customHeight="true" outlineLevel="0" collapsed="false">
      <c r="A418" s="114" t="n">
        <v>517760.01</v>
      </c>
      <c r="B418" s="114" t="n">
        <v>519040</v>
      </c>
      <c r="C418" s="114" t="n">
        <v>11907.18</v>
      </c>
    </row>
    <row r="419" customFormat="false" ht="15" hidden="false" customHeight="true" outlineLevel="0" collapsed="false">
      <c r="A419" s="115" t="n">
        <v>519040.01</v>
      </c>
      <c r="B419" s="115" t="n">
        <v>520320</v>
      </c>
      <c r="C419" s="115" t="n">
        <v>11935.84</v>
      </c>
    </row>
    <row r="420" customFormat="false" ht="15" hidden="false" customHeight="true" outlineLevel="0" collapsed="false">
      <c r="A420" s="114" t="n">
        <v>520320.01</v>
      </c>
      <c r="B420" s="114" t="n">
        <v>521600</v>
      </c>
      <c r="C420" s="114" t="n">
        <v>11964.5</v>
      </c>
    </row>
    <row r="421" customFormat="false" ht="15" hidden="false" customHeight="true" outlineLevel="0" collapsed="false">
      <c r="A421" s="115" t="n">
        <v>521600.01</v>
      </c>
      <c r="B421" s="115" t="n">
        <v>522880</v>
      </c>
      <c r="C421" s="115" t="n">
        <v>11993.16</v>
      </c>
    </row>
    <row r="422" customFormat="false" ht="15" hidden="false" customHeight="true" outlineLevel="0" collapsed="false">
      <c r="A422" s="114" t="n">
        <v>522880.01</v>
      </c>
      <c r="B422" s="114" t="n">
        <v>524160</v>
      </c>
      <c r="C422" s="114" t="n">
        <v>12021.82</v>
      </c>
    </row>
    <row r="423" customFormat="false" ht="15" hidden="false" customHeight="true" outlineLevel="0" collapsed="false">
      <c r="A423" s="115" t="n">
        <v>524160.01</v>
      </c>
      <c r="B423" s="115" t="n">
        <v>525440</v>
      </c>
      <c r="C423" s="115" t="n">
        <v>12050.48</v>
      </c>
    </row>
    <row r="424" customFormat="false" ht="15" hidden="false" customHeight="true" outlineLevel="0" collapsed="false">
      <c r="A424" s="114" t="n">
        <v>525440.01</v>
      </c>
      <c r="B424" s="114" t="n">
        <v>526720</v>
      </c>
      <c r="C424" s="114" t="n">
        <v>12079.14</v>
      </c>
    </row>
    <row r="425" customFormat="false" ht="15" hidden="false" customHeight="true" outlineLevel="0" collapsed="false">
      <c r="A425" s="115" t="n">
        <v>526720.01</v>
      </c>
      <c r="B425" s="115" t="n">
        <v>528000</v>
      </c>
      <c r="C425" s="115" t="n">
        <v>12107.8</v>
      </c>
    </row>
    <row r="426" customFormat="false" ht="15" hidden="false" customHeight="true" outlineLevel="0" collapsed="false">
      <c r="A426" s="114" t="n">
        <v>528000.01</v>
      </c>
      <c r="B426" s="114" t="n">
        <v>529280</v>
      </c>
      <c r="C426" s="114" t="n">
        <v>12136.46</v>
      </c>
    </row>
    <row r="427" customFormat="false" ht="15" hidden="false" customHeight="true" outlineLevel="0" collapsed="false">
      <c r="A427" s="115" t="n">
        <v>529280.01</v>
      </c>
      <c r="B427" s="115" t="n">
        <v>530560</v>
      </c>
      <c r="C427" s="115" t="n">
        <v>12165.12</v>
      </c>
    </row>
    <row r="428" customFormat="false" ht="15" hidden="false" customHeight="true" outlineLevel="0" collapsed="false">
      <c r="A428" s="114" t="n">
        <v>530560.01</v>
      </c>
      <c r="B428" s="114" t="n">
        <v>531840</v>
      </c>
      <c r="C428" s="114" t="n">
        <v>12193.78</v>
      </c>
    </row>
    <row r="429" customFormat="false" ht="15" hidden="false" customHeight="true" outlineLevel="0" collapsed="false">
      <c r="A429" s="115" t="n">
        <v>531840.01</v>
      </c>
      <c r="B429" s="115" t="n">
        <v>533120</v>
      </c>
      <c r="C429" s="115" t="n">
        <v>12222.44</v>
      </c>
    </row>
    <row r="430" customFormat="false" ht="15" hidden="false" customHeight="true" outlineLevel="0" collapsed="false">
      <c r="A430" s="114" t="n">
        <v>533120.01</v>
      </c>
      <c r="B430" s="114" t="n">
        <v>534400</v>
      </c>
      <c r="C430" s="114" t="n">
        <v>12251.1</v>
      </c>
    </row>
    <row r="431" customFormat="false" ht="15" hidden="false" customHeight="true" outlineLevel="0" collapsed="false">
      <c r="A431" s="115" t="n">
        <v>534400.01</v>
      </c>
      <c r="B431" s="115" t="n">
        <v>535680</v>
      </c>
      <c r="C431" s="115" t="n">
        <v>12279.76</v>
      </c>
    </row>
    <row r="432" customFormat="false" ht="15" hidden="false" customHeight="true" outlineLevel="0" collapsed="false">
      <c r="A432" s="114" t="n">
        <v>535680.01</v>
      </c>
      <c r="B432" s="114" t="n">
        <v>536960</v>
      </c>
      <c r="C432" s="114" t="n">
        <v>12308.42</v>
      </c>
    </row>
    <row r="433" customFormat="false" ht="15" hidden="false" customHeight="true" outlineLevel="0" collapsed="false">
      <c r="A433" s="115" t="n">
        <v>536960.01</v>
      </c>
      <c r="B433" s="115" t="n">
        <v>538240</v>
      </c>
      <c r="C433" s="115" t="n">
        <v>12337.08</v>
      </c>
    </row>
    <row r="434" customFormat="false" ht="15" hidden="false" customHeight="true" outlineLevel="0" collapsed="false">
      <c r="A434" s="114" t="n">
        <v>538240.01</v>
      </c>
      <c r="B434" s="114" t="n">
        <v>539520</v>
      </c>
      <c r="C434" s="114" t="n">
        <v>12365.74</v>
      </c>
    </row>
    <row r="435" customFormat="false" ht="15" hidden="false" customHeight="true" outlineLevel="0" collapsed="false">
      <c r="A435" s="115" t="n">
        <v>539520.01</v>
      </c>
      <c r="B435" s="115" t="n">
        <v>540800</v>
      </c>
      <c r="C435" s="115" t="n">
        <v>12394.4</v>
      </c>
    </row>
    <row r="436" customFormat="false" ht="15" hidden="false" customHeight="true" outlineLevel="0" collapsed="false">
      <c r="A436" s="114" t="n">
        <v>540800.01</v>
      </c>
      <c r="B436" s="114" t="n">
        <v>542080</v>
      </c>
      <c r="C436" s="114" t="n">
        <v>12423.06</v>
      </c>
    </row>
    <row r="437" customFormat="false" ht="15" hidden="false" customHeight="true" outlineLevel="0" collapsed="false">
      <c r="A437" s="115" t="n">
        <v>542080.01</v>
      </c>
      <c r="B437" s="115" t="n">
        <v>543360</v>
      </c>
      <c r="C437" s="115" t="n">
        <v>12451.72</v>
      </c>
    </row>
    <row r="438" customFormat="false" ht="15" hidden="false" customHeight="true" outlineLevel="0" collapsed="false">
      <c r="A438" s="114" t="n">
        <v>543360.01</v>
      </c>
      <c r="B438" s="114" t="n">
        <v>544640</v>
      </c>
      <c r="C438" s="114" t="n">
        <v>12480.38</v>
      </c>
    </row>
    <row r="439" customFormat="false" ht="15" hidden="false" customHeight="true" outlineLevel="0" collapsed="false">
      <c r="A439" s="115" t="n">
        <v>544640.01</v>
      </c>
      <c r="B439" s="115" t="n">
        <v>545920</v>
      </c>
      <c r="C439" s="115" t="n">
        <v>12509.04</v>
      </c>
    </row>
    <row r="440" customFormat="false" ht="15" hidden="false" customHeight="true" outlineLevel="0" collapsed="false">
      <c r="A440" s="114" t="n">
        <v>545920.01</v>
      </c>
      <c r="B440" s="114" t="n">
        <v>547200</v>
      </c>
      <c r="C440" s="114" t="n">
        <v>12537.7</v>
      </c>
    </row>
    <row r="441" customFormat="false" ht="15" hidden="false" customHeight="true" outlineLevel="0" collapsed="false">
      <c r="A441" s="115" t="n">
        <v>547200.01</v>
      </c>
      <c r="B441" s="115" t="n">
        <v>548480</v>
      </c>
      <c r="C441" s="115" t="n">
        <v>12566.36</v>
      </c>
    </row>
    <row r="442" customFormat="false" ht="15" hidden="false" customHeight="true" outlineLevel="0" collapsed="false">
      <c r="A442" s="114" t="n">
        <v>548480.01</v>
      </c>
      <c r="B442" s="114" t="n">
        <v>549760</v>
      </c>
      <c r="C442" s="114" t="n">
        <v>12595.02</v>
      </c>
    </row>
    <row r="443" customFormat="false" ht="15" hidden="false" customHeight="true" outlineLevel="0" collapsed="false">
      <c r="A443" s="115" t="n">
        <v>549760.01</v>
      </c>
      <c r="B443" s="115" t="n">
        <v>551040</v>
      </c>
      <c r="C443" s="115" t="n">
        <v>12623.68</v>
      </c>
    </row>
    <row r="444" customFormat="false" ht="15" hidden="false" customHeight="true" outlineLevel="0" collapsed="false">
      <c r="A444" s="114" t="n">
        <v>551040.01</v>
      </c>
      <c r="B444" s="114" t="n">
        <v>552320</v>
      </c>
      <c r="C444" s="114" t="n">
        <v>12652.34</v>
      </c>
    </row>
    <row r="445" customFormat="false" ht="15" hidden="false" customHeight="true" outlineLevel="0" collapsed="false">
      <c r="A445" s="115" t="n">
        <v>552320.01</v>
      </c>
      <c r="B445" s="115" t="n">
        <v>553600</v>
      </c>
      <c r="C445" s="115" t="n">
        <v>12681</v>
      </c>
    </row>
    <row r="446" customFormat="false" ht="15" hidden="false" customHeight="true" outlineLevel="0" collapsed="false">
      <c r="A446" s="114" t="n">
        <v>553600.01</v>
      </c>
      <c r="B446" s="114" t="n">
        <v>554880</v>
      </c>
      <c r="C446" s="114" t="n">
        <v>12709.66</v>
      </c>
    </row>
    <row r="447" customFormat="false" ht="15" hidden="false" customHeight="true" outlineLevel="0" collapsed="false">
      <c r="A447" s="115" t="n">
        <v>554880.01</v>
      </c>
      <c r="B447" s="115" t="n">
        <v>556160</v>
      </c>
      <c r="C447" s="115" t="n">
        <v>12738.32</v>
      </c>
    </row>
    <row r="448" customFormat="false" ht="15" hidden="false" customHeight="true" outlineLevel="0" collapsed="false">
      <c r="A448" s="114" t="n">
        <v>556160.01</v>
      </c>
      <c r="B448" s="114" t="n">
        <v>557440</v>
      </c>
      <c r="C448" s="114" t="n">
        <v>12766.98</v>
      </c>
    </row>
    <row r="449" customFormat="false" ht="15" hidden="false" customHeight="true" outlineLevel="0" collapsed="false">
      <c r="A449" s="115" t="n">
        <v>557440.01</v>
      </c>
      <c r="B449" s="115" t="n">
        <v>558720</v>
      </c>
      <c r="C449" s="115" t="n">
        <v>12795.64</v>
      </c>
    </row>
    <row r="450" customFormat="false" ht="15" hidden="false" customHeight="true" outlineLevel="0" collapsed="false">
      <c r="A450" s="114" t="n">
        <v>558720.01</v>
      </c>
      <c r="B450" s="114" t="n">
        <v>560000</v>
      </c>
      <c r="C450" s="114" t="n">
        <v>12824.3</v>
      </c>
    </row>
    <row r="451" customFormat="false" ht="15" hidden="false" customHeight="true" outlineLevel="0" collapsed="false">
      <c r="A451" s="115" t="n">
        <v>560000.01</v>
      </c>
      <c r="B451" s="115" t="n">
        <v>561280</v>
      </c>
      <c r="C451" s="115" t="n">
        <v>12852.96</v>
      </c>
    </row>
    <row r="452" customFormat="false" ht="15" hidden="false" customHeight="true" outlineLevel="0" collapsed="false">
      <c r="A452" s="114" t="n">
        <v>561280.01</v>
      </c>
      <c r="B452" s="114" t="n">
        <v>562560</v>
      </c>
      <c r="C452" s="114" t="n">
        <v>12881.62</v>
      </c>
    </row>
    <row r="453" customFormat="false" ht="15" hidden="false" customHeight="true" outlineLevel="0" collapsed="false">
      <c r="A453" s="115" t="n">
        <v>562560.01</v>
      </c>
      <c r="B453" s="115" t="n">
        <v>563840</v>
      </c>
      <c r="C453" s="115" t="n">
        <v>12910.28</v>
      </c>
    </row>
    <row r="454" customFormat="false" ht="15" hidden="false" customHeight="true" outlineLevel="0" collapsed="false">
      <c r="A454" s="114" t="n">
        <v>563840.01</v>
      </c>
      <c r="B454" s="114" t="n">
        <v>565120</v>
      </c>
      <c r="C454" s="114" t="n">
        <v>12938.94</v>
      </c>
    </row>
    <row r="455" customFormat="false" ht="15" hidden="false" customHeight="true" outlineLevel="0" collapsed="false">
      <c r="A455" s="115" t="n">
        <v>565120.01</v>
      </c>
      <c r="B455" s="115" t="n">
        <v>566400</v>
      </c>
      <c r="C455" s="115" t="n">
        <v>12967.6</v>
      </c>
    </row>
    <row r="456" customFormat="false" ht="15" hidden="false" customHeight="true" outlineLevel="0" collapsed="false">
      <c r="A456" s="114" t="n">
        <v>566400.01</v>
      </c>
      <c r="B456" s="114" t="n">
        <v>567680</v>
      </c>
      <c r="C456" s="114" t="n">
        <v>12996.26</v>
      </c>
    </row>
    <row r="457" customFormat="false" ht="15" hidden="false" customHeight="true" outlineLevel="0" collapsed="false">
      <c r="A457" s="115" t="n">
        <v>567680.01</v>
      </c>
      <c r="B457" s="115" t="n">
        <v>568960</v>
      </c>
      <c r="C457" s="115" t="n">
        <v>13024.92</v>
      </c>
    </row>
    <row r="458" customFormat="false" ht="15" hidden="false" customHeight="true" outlineLevel="0" collapsed="false">
      <c r="A458" s="114" t="n">
        <v>568960.01</v>
      </c>
      <c r="B458" s="114" t="n">
        <v>570240</v>
      </c>
      <c r="C458" s="114" t="n">
        <v>13053.58</v>
      </c>
    </row>
    <row r="459" customFormat="false" ht="15" hidden="false" customHeight="true" outlineLevel="0" collapsed="false">
      <c r="A459" s="115" t="n">
        <v>570240.01</v>
      </c>
      <c r="B459" s="115" t="n">
        <v>571520</v>
      </c>
      <c r="C459" s="115" t="n">
        <v>13082.24</v>
      </c>
    </row>
    <row r="460" customFormat="false" ht="15" hidden="false" customHeight="true" outlineLevel="0" collapsed="false">
      <c r="A460" s="114" t="n">
        <v>571520.01</v>
      </c>
      <c r="B460" s="114" t="n">
        <v>572800</v>
      </c>
      <c r="C460" s="114" t="n">
        <v>13110.9</v>
      </c>
    </row>
    <row r="461" customFormat="false" ht="15" hidden="false" customHeight="true" outlineLevel="0" collapsed="false">
      <c r="A461" s="115" t="n">
        <v>572800.01</v>
      </c>
      <c r="B461" s="115" t="n">
        <v>574080</v>
      </c>
      <c r="C461" s="115" t="n">
        <v>13139.56</v>
      </c>
    </row>
    <row r="462" customFormat="false" ht="15" hidden="false" customHeight="true" outlineLevel="0" collapsed="false">
      <c r="A462" s="114" t="n">
        <v>574080.01</v>
      </c>
      <c r="B462" s="114" t="n">
        <v>575360</v>
      </c>
      <c r="C462" s="114" t="n">
        <v>13168.22</v>
      </c>
    </row>
    <row r="463" customFormat="false" ht="15" hidden="false" customHeight="true" outlineLevel="0" collapsed="false">
      <c r="A463" s="115" t="n">
        <v>575360.01</v>
      </c>
      <c r="B463" s="115" t="n">
        <v>576640</v>
      </c>
      <c r="C463" s="115" t="n">
        <v>13196.88</v>
      </c>
    </row>
    <row r="464" customFormat="false" ht="15" hidden="false" customHeight="true" outlineLevel="0" collapsed="false">
      <c r="A464" s="114" t="n">
        <v>576640.01</v>
      </c>
      <c r="B464" s="114" t="n">
        <v>577920</v>
      </c>
      <c r="C464" s="114" t="n">
        <v>13225.54</v>
      </c>
    </row>
    <row r="465" customFormat="false" ht="15" hidden="false" customHeight="true" outlineLevel="0" collapsed="false">
      <c r="A465" s="115" t="n">
        <v>577920.01</v>
      </c>
      <c r="B465" s="115" t="n">
        <v>579200</v>
      </c>
      <c r="C465" s="115" t="n">
        <v>13254.2</v>
      </c>
    </row>
    <row r="466" customFormat="false" ht="15" hidden="false" customHeight="true" outlineLevel="0" collapsed="false">
      <c r="A466" s="114" t="n">
        <v>579200.01</v>
      </c>
      <c r="B466" s="114" t="n">
        <v>580480</v>
      </c>
      <c r="C466" s="114" t="n">
        <v>13282.86</v>
      </c>
    </row>
    <row r="467" customFormat="false" ht="15" hidden="false" customHeight="true" outlineLevel="0" collapsed="false">
      <c r="A467" s="115" t="n">
        <v>580480.01</v>
      </c>
      <c r="B467" s="115" t="n">
        <v>581760</v>
      </c>
      <c r="C467" s="115" t="n">
        <v>13311.52</v>
      </c>
    </row>
    <row r="468" customFormat="false" ht="15" hidden="false" customHeight="true" outlineLevel="0" collapsed="false">
      <c r="A468" s="114" t="n">
        <v>581760.01</v>
      </c>
      <c r="B468" s="114" t="n">
        <v>583040</v>
      </c>
      <c r="C468" s="114" t="n">
        <v>13340.18</v>
      </c>
    </row>
    <row r="469" customFormat="false" ht="15" hidden="false" customHeight="true" outlineLevel="0" collapsed="false">
      <c r="A469" s="115" t="n">
        <v>583040.01</v>
      </c>
      <c r="B469" s="115" t="n">
        <v>584320</v>
      </c>
      <c r="C469" s="115" t="n">
        <v>13368.84</v>
      </c>
    </row>
    <row r="470" customFormat="false" ht="15" hidden="false" customHeight="true" outlineLevel="0" collapsed="false">
      <c r="A470" s="114" t="n">
        <v>584320.01</v>
      </c>
      <c r="B470" s="114" t="n">
        <v>585600</v>
      </c>
      <c r="C470" s="114" t="n">
        <v>13397.5</v>
      </c>
    </row>
    <row r="471" customFormat="false" ht="15" hidden="false" customHeight="true" outlineLevel="0" collapsed="false">
      <c r="A471" s="115" t="n">
        <v>585600.01</v>
      </c>
      <c r="B471" s="115" t="n">
        <v>586880</v>
      </c>
      <c r="C471" s="115" t="n">
        <v>13426.16</v>
      </c>
    </row>
    <row r="472" customFormat="false" ht="15" hidden="false" customHeight="true" outlineLevel="0" collapsed="false">
      <c r="A472" s="114" t="n">
        <v>586880.01</v>
      </c>
      <c r="B472" s="114" t="n">
        <v>588160</v>
      </c>
      <c r="C472" s="114" t="n">
        <v>13454.82</v>
      </c>
    </row>
    <row r="473" customFormat="false" ht="15" hidden="false" customHeight="true" outlineLevel="0" collapsed="false">
      <c r="A473" s="115" t="n">
        <v>588160.01</v>
      </c>
      <c r="B473" s="115" t="n">
        <v>589440</v>
      </c>
      <c r="C473" s="115" t="n">
        <v>13483.4799999999</v>
      </c>
    </row>
    <row r="474" customFormat="false" ht="15" hidden="false" customHeight="true" outlineLevel="0" collapsed="false">
      <c r="A474" s="114" t="n">
        <v>589440.01</v>
      </c>
      <c r="B474" s="114" t="n">
        <v>590720</v>
      </c>
      <c r="C474" s="114" t="n">
        <v>13512.1399999999</v>
      </c>
    </row>
    <row r="475" customFormat="false" ht="15" hidden="false" customHeight="true" outlineLevel="0" collapsed="false">
      <c r="A475" s="115" t="n">
        <v>590720.01</v>
      </c>
      <c r="B475" s="115" t="n">
        <v>592000</v>
      </c>
      <c r="C475" s="115" t="n">
        <v>13540.7999999999</v>
      </c>
    </row>
    <row r="476" customFormat="false" ht="15" hidden="false" customHeight="true" outlineLevel="0" collapsed="false">
      <c r="A476" s="114" t="n">
        <v>592000.01</v>
      </c>
      <c r="B476" s="114" t="n">
        <v>593280</v>
      </c>
      <c r="C476" s="114" t="n">
        <v>13569.4599999999</v>
      </c>
    </row>
    <row r="477" customFormat="false" ht="15" hidden="false" customHeight="true" outlineLevel="0" collapsed="false">
      <c r="A477" s="115" t="n">
        <v>593280.01</v>
      </c>
      <c r="B477" s="115" t="n">
        <v>594560</v>
      </c>
      <c r="C477" s="115" t="n">
        <v>13598.1199999999</v>
      </c>
    </row>
    <row r="478" customFormat="false" ht="15" hidden="false" customHeight="true" outlineLevel="0" collapsed="false">
      <c r="A478" s="114" t="n">
        <v>594560.01</v>
      </c>
      <c r="B478" s="114" t="n">
        <v>595840</v>
      </c>
      <c r="C478" s="114" t="n">
        <v>13626.7799999999</v>
      </c>
    </row>
    <row r="479" customFormat="false" ht="15" hidden="false" customHeight="true" outlineLevel="0" collapsed="false">
      <c r="A479" s="115" t="n">
        <v>595840.01</v>
      </c>
      <c r="B479" s="115" t="n">
        <v>597120</v>
      </c>
      <c r="C479" s="115" t="n">
        <v>13655.4399999999</v>
      </c>
    </row>
    <row r="480" customFormat="false" ht="15" hidden="false" customHeight="true" outlineLevel="0" collapsed="false">
      <c r="A480" s="114" t="n">
        <v>597120.01</v>
      </c>
      <c r="B480" s="114" t="n">
        <v>598400</v>
      </c>
      <c r="C480" s="114" t="n">
        <v>13684.0999999999</v>
      </c>
    </row>
    <row r="481" customFormat="false" ht="15" hidden="false" customHeight="true" outlineLevel="0" collapsed="false">
      <c r="A481" s="115" t="n">
        <v>598400.01</v>
      </c>
      <c r="B481" s="115" t="n">
        <v>599680</v>
      </c>
      <c r="C481" s="115" t="n">
        <v>13712.7599999999</v>
      </c>
    </row>
    <row r="482" customFormat="false" ht="15" hidden="false" customHeight="true" outlineLevel="0" collapsed="false">
      <c r="A482" s="114" t="n">
        <v>599680.01</v>
      </c>
      <c r="B482" s="114" t="n">
        <v>600960</v>
      </c>
      <c r="C482" s="114" t="n">
        <v>13741.4199999999</v>
      </c>
    </row>
    <row r="483" customFormat="false" ht="15" hidden="false" customHeight="true" outlineLevel="0" collapsed="false">
      <c r="A483" s="115" t="n">
        <v>600960.01</v>
      </c>
      <c r="B483" s="115" t="n">
        <v>602240</v>
      </c>
      <c r="C483" s="115" t="n">
        <v>13770.0799999999</v>
      </c>
    </row>
    <row r="484" customFormat="false" ht="15" hidden="false" customHeight="true" outlineLevel="0" collapsed="false">
      <c r="A484" s="114" t="n">
        <v>602240.01</v>
      </c>
      <c r="B484" s="114" t="n">
        <v>603520</v>
      </c>
      <c r="C484" s="114" t="n">
        <v>13798.7399999999</v>
      </c>
    </row>
    <row r="485" customFormat="false" ht="15" hidden="false" customHeight="true" outlineLevel="0" collapsed="false">
      <c r="A485" s="115" t="n">
        <v>603520.01</v>
      </c>
      <c r="B485" s="115" t="n">
        <v>604800</v>
      </c>
      <c r="C485" s="115" t="n">
        <v>13827.3999999999</v>
      </c>
    </row>
    <row r="486" customFormat="false" ht="15" hidden="false" customHeight="true" outlineLevel="0" collapsed="false">
      <c r="A486" s="114" t="n">
        <v>604800.01</v>
      </c>
      <c r="B486" s="114" t="n">
        <v>606080</v>
      </c>
      <c r="C486" s="114" t="n">
        <v>13856.0599999999</v>
      </c>
    </row>
    <row r="487" customFormat="false" ht="15" hidden="false" customHeight="true" outlineLevel="0" collapsed="false">
      <c r="A487" s="115" t="n">
        <v>606080.01</v>
      </c>
      <c r="B487" s="115" t="n">
        <v>607360</v>
      </c>
      <c r="C487" s="115" t="n">
        <v>13884.7199999999</v>
      </c>
    </row>
    <row r="488" customFormat="false" ht="15" hidden="false" customHeight="true" outlineLevel="0" collapsed="false">
      <c r="A488" s="114" t="n">
        <v>607360.01</v>
      </c>
      <c r="B488" s="114" t="n">
        <v>608640</v>
      </c>
      <c r="C488" s="114" t="n">
        <v>13913.3799999999</v>
      </c>
    </row>
    <row r="489" customFormat="false" ht="15" hidden="false" customHeight="true" outlineLevel="0" collapsed="false">
      <c r="A489" s="115" t="n">
        <v>608640.01</v>
      </c>
      <c r="B489" s="115" t="n">
        <v>609920</v>
      </c>
      <c r="C489" s="115" t="n">
        <v>13942.0399999999</v>
      </c>
    </row>
    <row r="490" customFormat="false" ht="15" hidden="false" customHeight="true" outlineLevel="0" collapsed="false">
      <c r="A490" s="114" t="n">
        <v>609920.01</v>
      </c>
      <c r="B490" s="114" t="n">
        <v>611200</v>
      </c>
      <c r="C490" s="114" t="n">
        <v>13970.6999999999</v>
      </c>
    </row>
    <row r="491" customFormat="false" ht="15" hidden="false" customHeight="true" outlineLevel="0" collapsed="false">
      <c r="A491" s="115" t="n">
        <v>611200.01</v>
      </c>
      <c r="B491" s="115" t="n">
        <v>612480</v>
      </c>
      <c r="C491" s="115" t="n">
        <v>13999.3599999999</v>
      </c>
    </row>
    <row r="492" customFormat="false" ht="15" hidden="false" customHeight="true" outlineLevel="0" collapsed="false">
      <c r="A492" s="114" t="n">
        <v>612480.01</v>
      </c>
      <c r="B492" s="114" t="n">
        <v>613760</v>
      </c>
      <c r="C492" s="114" t="n">
        <v>14028.0199999999</v>
      </c>
    </row>
    <row r="493" customFormat="false" ht="15" hidden="false" customHeight="true" outlineLevel="0" collapsed="false">
      <c r="A493" s="115" t="n">
        <v>613760.01</v>
      </c>
      <c r="B493" s="115" t="n">
        <v>615040</v>
      </c>
      <c r="C493" s="115" t="n">
        <v>14056.6799999999</v>
      </c>
    </row>
    <row r="494" customFormat="false" ht="15" hidden="false" customHeight="true" outlineLevel="0" collapsed="false">
      <c r="A494" s="114" t="n">
        <v>615040.01</v>
      </c>
      <c r="B494" s="114" t="n">
        <v>616320</v>
      </c>
      <c r="C494" s="114" t="n">
        <v>14085.3399999999</v>
      </c>
    </row>
    <row r="495" customFormat="false" ht="15" hidden="false" customHeight="true" outlineLevel="0" collapsed="false">
      <c r="A495" s="115" t="n">
        <v>616320.01</v>
      </c>
      <c r="B495" s="115" t="n">
        <v>617600</v>
      </c>
      <c r="C495" s="115" t="n">
        <v>14113.9999999999</v>
      </c>
    </row>
    <row r="496" customFormat="false" ht="15" hidden="false" customHeight="true" outlineLevel="0" collapsed="false">
      <c r="A496" s="114" t="n">
        <v>617600.01</v>
      </c>
      <c r="B496" s="114" t="n">
        <v>618880</v>
      </c>
      <c r="C496" s="114" t="n">
        <v>14142.6599999999</v>
      </c>
    </row>
    <row r="497" customFormat="false" ht="15" hidden="false" customHeight="true" outlineLevel="0" collapsed="false">
      <c r="A497" s="115" t="n">
        <v>618880.01</v>
      </c>
      <c r="B497" s="115" t="n">
        <v>620160</v>
      </c>
      <c r="C497" s="115" t="n">
        <v>14171.3199999999</v>
      </c>
    </row>
    <row r="498" customFormat="false" ht="15" hidden="false" customHeight="true" outlineLevel="0" collapsed="false">
      <c r="A498" s="114" t="n">
        <v>620160.01</v>
      </c>
      <c r="B498" s="114" t="n">
        <v>621440</v>
      </c>
      <c r="C498" s="114" t="n">
        <v>14199.9799999999</v>
      </c>
    </row>
    <row r="499" customFormat="false" ht="15" hidden="false" customHeight="true" outlineLevel="0" collapsed="false">
      <c r="A499" s="115" t="n">
        <v>621440.01</v>
      </c>
      <c r="B499" s="115" t="n">
        <v>622720</v>
      </c>
      <c r="C499" s="115" t="n">
        <v>14228.6399999999</v>
      </c>
    </row>
    <row r="500" customFormat="false" ht="15" hidden="false" customHeight="true" outlineLevel="0" collapsed="false">
      <c r="A500" s="114" t="n">
        <v>622720.01</v>
      </c>
      <c r="B500" s="114" t="n">
        <v>624000</v>
      </c>
      <c r="C500" s="114" t="n">
        <v>14257.2999999999</v>
      </c>
    </row>
    <row r="501" customFormat="false" ht="15" hidden="false" customHeight="true" outlineLevel="0" collapsed="false">
      <c r="A501" s="115" t="n">
        <v>624000.01</v>
      </c>
      <c r="B501" s="115" t="n">
        <v>625280</v>
      </c>
      <c r="C501" s="115" t="n">
        <v>14285.9599999999</v>
      </c>
    </row>
    <row r="502" customFormat="false" ht="15" hidden="false" customHeight="true" outlineLevel="0" collapsed="false">
      <c r="A502" s="114" t="n">
        <v>625280.01</v>
      </c>
      <c r="B502" s="114" t="n">
        <v>626560</v>
      </c>
      <c r="C502" s="114" t="n">
        <v>14314.6199999999</v>
      </c>
    </row>
    <row r="503" customFormat="false" ht="15" hidden="false" customHeight="true" outlineLevel="0" collapsed="false">
      <c r="A503" s="115" t="n">
        <v>626560.01</v>
      </c>
      <c r="B503" s="115" t="n">
        <v>627840</v>
      </c>
      <c r="C503" s="115" t="n">
        <v>14343.2799999999</v>
      </c>
    </row>
    <row r="504" customFormat="false" ht="15" hidden="false" customHeight="true" outlineLevel="0" collapsed="false">
      <c r="A504" s="114" t="n">
        <v>627840.01</v>
      </c>
      <c r="B504" s="114" t="n">
        <v>629120</v>
      </c>
      <c r="C504" s="114" t="n">
        <v>14371.9399999999</v>
      </c>
    </row>
    <row r="505" customFormat="false" ht="15" hidden="false" customHeight="true" outlineLevel="0" collapsed="false">
      <c r="A505" s="115" t="n">
        <v>629120.01</v>
      </c>
      <c r="B505" s="115" t="n">
        <v>630400</v>
      </c>
      <c r="C505" s="115" t="n">
        <v>14400.5999999999</v>
      </c>
    </row>
    <row r="506" customFormat="false" ht="15" hidden="false" customHeight="true" outlineLevel="0" collapsed="false">
      <c r="A506" s="114" t="n">
        <v>630400.01</v>
      </c>
      <c r="B506" s="114" t="n">
        <v>631680</v>
      </c>
      <c r="C506" s="114" t="n">
        <v>14429.2599999999</v>
      </c>
    </row>
    <row r="507" customFormat="false" ht="15" hidden="false" customHeight="true" outlineLevel="0" collapsed="false">
      <c r="A507" s="115" t="n">
        <v>631680.01</v>
      </c>
      <c r="B507" s="115" t="n">
        <v>632960</v>
      </c>
      <c r="C507" s="115" t="n">
        <v>14457.9199999999</v>
      </c>
    </row>
    <row r="508" customFormat="false" ht="15" hidden="false" customHeight="true" outlineLevel="0" collapsed="false">
      <c r="A508" s="114" t="n">
        <v>632960.01</v>
      </c>
      <c r="B508" s="114" t="n">
        <v>634240</v>
      </c>
      <c r="C508" s="114" t="n">
        <v>14486.5799999999</v>
      </c>
    </row>
    <row r="509" customFormat="false" ht="15" hidden="false" customHeight="true" outlineLevel="0" collapsed="false">
      <c r="A509" s="115" t="n">
        <v>634240.01</v>
      </c>
      <c r="B509" s="115" t="n">
        <v>635520</v>
      </c>
      <c r="C509" s="115" t="n">
        <v>14515.2399999999</v>
      </c>
    </row>
    <row r="510" customFormat="false" ht="15" hidden="false" customHeight="true" outlineLevel="0" collapsed="false">
      <c r="A510" s="114" t="n">
        <v>635520.01</v>
      </c>
      <c r="B510" s="114" t="n">
        <v>636800</v>
      </c>
      <c r="C510" s="114" t="n">
        <v>14543.8999999999</v>
      </c>
    </row>
    <row r="511" customFormat="false" ht="15" hidden="false" customHeight="true" outlineLevel="0" collapsed="false">
      <c r="A511" s="115" t="n">
        <v>636800.01</v>
      </c>
      <c r="B511" s="115" t="n">
        <v>638080</v>
      </c>
      <c r="C511" s="115" t="n">
        <v>14572.5599999999</v>
      </c>
    </row>
    <row r="512" customFormat="false" ht="15" hidden="false" customHeight="true" outlineLevel="0" collapsed="false">
      <c r="A512" s="114" t="n">
        <v>638080.01</v>
      </c>
      <c r="B512" s="114" t="n">
        <v>639360</v>
      </c>
      <c r="C512" s="114" t="n">
        <v>14601.2199999999</v>
      </c>
    </row>
    <row r="513" customFormat="false" ht="15" hidden="false" customHeight="true" outlineLevel="0" collapsed="false">
      <c r="A513" s="115" t="n">
        <v>639360.01</v>
      </c>
      <c r="B513" s="115" t="n">
        <v>640640</v>
      </c>
      <c r="C513" s="115" t="n">
        <v>14629.8799999999</v>
      </c>
    </row>
    <row r="514" customFormat="false" ht="15" hidden="false" customHeight="true" outlineLevel="0" collapsed="false">
      <c r="A514" s="114" t="n">
        <v>640640.01</v>
      </c>
      <c r="B514" s="114" t="n">
        <v>641920</v>
      </c>
      <c r="C514" s="114" t="n">
        <v>14658.5399999999</v>
      </c>
    </row>
    <row r="515" customFormat="false" ht="15" hidden="false" customHeight="true" outlineLevel="0" collapsed="false">
      <c r="A515" s="115" t="n">
        <v>641920.01</v>
      </c>
      <c r="B515" s="115" t="n">
        <v>643200</v>
      </c>
      <c r="C515" s="115" t="n">
        <v>14687.1999999999</v>
      </c>
    </row>
    <row r="516" customFormat="false" ht="15" hidden="false" customHeight="true" outlineLevel="0" collapsed="false">
      <c r="A516" s="114" t="n">
        <v>643200.01</v>
      </c>
      <c r="B516" s="114" t="n">
        <v>644480</v>
      </c>
      <c r="C516" s="114" t="n">
        <v>14715.8599999999</v>
      </c>
    </row>
    <row r="517" customFormat="false" ht="15" hidden="false" customHeight="true" outlineLevel="0" collapsed="false">
      <c r="A517" s="115" t="n">
        <v>644480.01</v>
      </c>
      <c r="B517" s="115" t="n">
        <v>645760</v>
      </c>
      <c r="C517" s="115" t="n">
        <v>14744.5199999999</v>
      </c>
    </row>
    <row r="518" customFormat="false" ht="15" hidden="false" customHeight="true" outlineLevel="0" collapsed="false">
      <c r="A518" s="114" t="n">
        <v>645760.01</v>
      </c>
      <c r="B518" s="114" t="n">
        <v>647040</v>
      </c>
      <c r="C518" s="114" t="n">
        <v>14773.1799999999</v>
      </c>
    </row>
    <row r="519" customFormat="false" ht="15" hidden="false" customHeight="true" outlineLevel="0" collapsed="false">
      <c r="A519" s="115" t="n">
        <v>647040.01</v>
      </c>
      <c r="B519" s="115" t="n">
        <v>648320</v>
      </c>
      <c r="C519" s="115" t="n">
        <v>14801.8399999999</v>
      </c>
    </row>
    <row r="520" customFormat="false" ht="15" hidden="false" customHeight="true" outlineLevel="0" collapsed="false">
      <c r="A520" s="114" t="n">
        <v>648320.01</v>
      </c>
      <c r="B520" s="114" t="n">
        <v>649600</v>
      </c>
      <c r="C520" s="114" t="n">
        <v>14830.4999999999</v>
      </c>
    </row>
    <row r="521" customFormat="false" ht="15" hidden="false" customHeight="true" outlineLevel="0" collapsed="false">
      <c r="A521" s="115" t="n">
        <v>649600.01</v>
      </c>
      <c r="B521" s="115" t="n">
        <v>650880</v>
      </c>
      <c r="C521" s="115" t="n">
        <v>14859.1599999999</v>
      </c>
    </row>
    <row r="522" customFormat="false" ht="15" hidden="false" customHeight="true" outlineLevel="0" collapsed="false">
      <c r="A522" s="114" t="n">
        <v>650880.01</v>
      </c>
      <c r="B522" s="114" t="n">
        <v>652160</v>
      </c>
      <c r="C522" s="114" t="n">
        <v>14887.8199999999</v>
      </c>
    </row>
    <row r="523" customFormat="false" ht="15" hidden="false" customHeight="true" outlineLevel="0" collapsed="false">
      <c r="A523" s="115" t="n">
        <v>652160.01</v>
      </c>
      <c r="B523" s="115" t="n">
        <v>653440</v>
      </c>
      <c r="C523" s="115" t="n">
        <v>14916.4799999999</v>
      </c>
    </row>
    <row r="524" customFormat="false" ht="15" hidden="false" customHeight="true" outlineLevel="0" collapsed="false">
      <c r="A524" s="114" t="n">
        <v>653440.01</v>
      </c>
      <c r="B524" s="114" t="n">
        <v>654720</v>
      </c>
      <c r="C524" s="114" t="n">
        <v>14945.1399999999</v>
      </c>
    </row>
    <row r="525" customFormat="false" ht="15" hidden="false" customHeight="true" outlineLevel="0" collapsed="false">
      <c r="A525" s="115" t="n">
        <v>654720.01</v>
      </c>
      <c r="B525" s="115" t="n">
        <v>656000</v>
      </c>
      <c r="C525" s="115" t="n">
        <v>14973.7999999999</v>
      </c>
    </row>
    <row r="526" customFormat="false" ht="15" hidden="false" customHeight="true" outlineLevel="0" collapsed="false">
      <c r="A526" s="114" t="n">
        <v>656000.01</v>
      </c>
      <c r="B526" s="114" t="n">
        <v>657280</v>
      </c>
      <c r="C526" s="114" t="n">
        <v>15002.4599999999</v>
      </c>
    </row>
    <row r="527" customFormat="false" ht="15" hidden="false" customHeight="true" outlineLevel="0" collapsed="false">
      <c r="A527" s="115" t="n">
        <v>657280.01</v>
      </c>
      <c r="B527" s="115" t="n">
        <v>658560</v>
      </c>
      <c r="C527" s="115" t="n">
        <v>15031.1199999999</v>
      </c>
    </row>
    <row r="528" customFormat="false" ht="15" hidden="false" customHeight="true" outlineLevel="0" collapsed="false">
      <c r="A528" s="114" t="n">
        <v>658560.01</v>
      </c>
      <c r="B528" s="114" t="n">
        <v>659840</v>
      </c>
      <c r="C528" s="114" t="n">
        <v>15059.7799999999</v>
      </c>
    </row>
    <row r="529" customFormat="false" ht="15" hidden="false" customHeight="true" outlineLevel="0" collapsed="false">
      <c r="A529" s="115" t="n">
        <v>659840.01</v>
      </c>
      <c r="B529" s="115" t="n">
        <v>661120</v>
      </c>
      <c r="C529" s="115" t="n">
        <v>15088.4399999999</v>
      </c>
    </row>
    <row r="530" customFormat="false" ht="15" hidden="false" customHeight="true" outlineLevel="0" collapsed="false">
      <c r="A530" s="114" t="n">
        <v>661120.01</v>
      </c>
      <c r="B530" s="114" t="n">
        <v>662400</v>
      </c>
      <c r="C530" s="114" t="n">
        <v>15117.0999999999</v>
      </c>
    </row>
    <row r="531" customFormat="false" ht="15" hidden="false" customHeight="true" outlineLevel="0" collapsed="false">
      <c r="A531" s="115" t="n">
        <v>662400.01</v>
      </c>
      <c r="B531" s="115" t="n">
        <v>663680</v>
      </c>
      <c r="C531" s="115" t="n">
        <v>15145.7599999999</v>
      </c>
    </row>
    <row r="532" customFormat="false" ht="15" hidden="false" customHeight="true" outlineLevel="0" collapsed="false">
      <c r="A532" s="114" t="n">
        <v>663680.01</v>
      </c>
      <c r="B532" s="114" t="n">
        <v>664960</v>
      </c>
      <c r="C532" s="114" t="n">
        <v>15174.4199999999</v>
      </c>
    </row>
    <row r="533" customFormat="false" ht="15" hidden="false" customHeight="true" outlineLevel="0" collapsed="false">
      <c r="A533" s="115" t="n">
        <v>664960.01</v>
      </c>
      <c r="B533" s="115" t="n">
        <v>666240</v>
      </c>
      <c r="C533" s="115" t="n">
        <v>15203.0799999999</v>
      </c>
    </row>
    <row r="534" customFormat="false" ht="15" hidden="false" customHeight="true" outlineLevel="0" collapsed="false">
      <c r="A534" s="114" t="n">
        <v>666240.01</v>
      </c>
      <c r="B534" s="114" t="n">
        <v>667520</v>
      </c>
      <c r="C534" s="114" t="n">
        <v>15231.7399999999</v>
      </c>
    </row>
    <row r="535" customFormat="false" ht="15" hidden="false" customHeight="true" outlineLevel="0" collapsed="false">
      <c r="A535" s="115" t="n">
        <v>667520.01</v>
      </c>
      <c r="B535" s="115" t="n">
        <v>668800</v>
      </c>
      <c r="C535" s="115" t="n">
        <v>15260.3999999999</v>
      </c>
    </row>
    <row r="536" customFormat="false" ht="15" hidden="false" customHeight="true" outlineLevel="0" collapsed="false">
      <c r="A536" s="114" t="n">
        <v>668800.01</v>
      </c>
      <c r="B536" s="114" t="n">
        <v>670080</v>
      </c>
      <c r="C536" s="114" t="n">
        <v>15289.0599999999</v>
      </c>
    </row>
    <row r="537" customFormat="false" ht="15" hidden="false" customHeight="true" outlineLevel="0" collapsed="false">
      <c r="A537" s="115" t="n">
        <v>670080.01</v>
      </c>
      <c r="B537" s="115" t="n">
        <v>671360</v>
      </c>
      <c r="C537" s="115" t="n">
        <v>15317.7199999999</v>
      </c>
    </row>
    <row r="538" customFormat="false" ht="15" hidden="false" customHeight="true" outlineLevel="0" collapsed="false">
      <c r="A538" s="114" t="n">
        <v>671360.01</v>
      </c>
      <c r="B538" s="114" t="n">
        <v>672640</v>
      </c>
      <c r="C538" s="114" t="n">
        <v>15346.3799999999</v>
      </c>
    </row>
    <row r="539" customFormat="false" ht="15" hidden="false" customHeight="true" outlineLevel="0" collapsed="false">
      <c r="A539" s="115" t="n">
        <v>672640.01</v>
      </c>
      <c r="B539" s="115" t="n">
        <v>673920</v>
      </c>
      <c r="C539" s="115" t="n">
        <v>15375.0399999999</v>
      </c>
    </row>
    <row r="540" customFormat="false" ht="15" hidden="false" customHeight="true" outlineLevel="0" collapsed="false">
      <c r="A540" s="114" t="n">
        <v>673920.01</v>
      </c>
      <c r="B540" s="114" t="n">
        <v>675200</v>
      </c>
      <c r="C540" s="114" t="n">
        <v>15403.6999999999</v>
      </c>
    </row>
    <row r="541" customFormat="false" ht="15" hidden="false" customHeight="true" outlineLevel="0" collapsed="false">
      <c r="A541" s="115" t="n">
        <v>675200.01</v>
      </c>
      <c r="B541" s="115" t="n">
        <v>676480</v>
      </c>
      <c r="C541" s="115" t="n">
        <v>15432.3599999999</v>
      </c>
    </row>
    <row r="542" customFormat="false" ht="15" hidden="false" customHeight="true" outlineLevel="0" collapsed="false">
      <c r="A542" s="114" t="n">
        <v>676480.01</v>
      </c>
      <c r="B542" s="114" t="n">
        <v>677760</v>
      </c>
      <c r="C542" s="114" t="n">
        <v>15461.0199999999</v>
      </c>
    </row>
    <row r="543" customFormat="false" ht="15" hidden="false" customHeight="true" outlineLevel="0" collapsed="false">
      <c r="A543" s="115" t="n">
        <v>677760.01</v>
      </c>
      <c r="B543" s="115" t="n">
        <v>679040</v>
      </c>
      <c r="C543" s="115" t="n">
        <v>15489.6799999999</v>
      </c>
    </row>
    <row r="544" customFormat="false" ht="15" hidden="false" customHeight="true" outlineLevel="0" collapsed="false">
      <c r="A544" s="114" t="n">
        <v>679040.01</v>
      </c>
      <c r="B544" s="114" t="n">
        <v>680320</v>
      </c>
      <c r="C544" s="114" t="n">
        <v>15518.3399999999</v>
      </c>
    </row>
    <row r="545" customFormat="false" ht="15" hidden="false" customHeight="true" outlineLevel="0" collapsed="false">
      <c r="A545" s="115" t="n">
        <v>680320.01</v>
      </c>
      <c r="B545" s="115" t="n">
        <v>681600</v>
      </c>
      <c r="C545" s="115" t="n">
        <v>15546.9999999999</v>
      </c>
    </row>
    <row r="546" customFormat="false" ht="15" hidden="false" customHeight="true" outlineLevel="0" collapsed="false">
      <c r="A546" s="114" t="n">
        <v>681600.01</v>
      </c>
      <c r="B546" s="114" t="n">
        <v>682880</v>
      </c>
      <c r="C546" s="114" t="n">
        <v>15575.6599999999</v>
      </c>
    </row>
    <row r="547" customFormat="false" ht="15" hidden="false" customHeight="true" outlineLevel="0" collapsed="false">
      <c r="A547" s="115" t="n">
        <v>682880.01</v>
      </c>
      <c r="B547" s="115" t="n">
        <v>684160</v>
      </c>
      <c r="C547" s="115" t="n">
        <v>15604.3199999999</v>
      </c>
    </row>
    <row r="548" customFormat="false" ht="15" hidden="false" customHeight="true" outlineLevel="0" collapsed="false">
      <c r="A548" s="114" t="n">
        <v>684160.01</v>
      </c>
      <c r="B548" s="114" t="n">
        <v>685440</v>
      </c>
      <c r="C548" s="114" t="n">
        <v>15632.9799999999</v>
      </c>
    </row>
    <row r="549" customFormat="false" ht="15" hidden="false" customHeight="true" outlineLevel="0" collapsed="false">
      <c r="A549" s="115" t="n">
        <v>685440.01</v>
      </c>
      <c r="B549" s="115" t="n">
        <v>686720</v>
      </c>
      <c r="C549" s="115" t="n">
        <v>15661.6399999999</v>
      </c>
    </row>
    <row r="550" customFormat="false" ht="15" hidden="false" customHeight="true" outlineLevel="0" collapsed="false">
      <c r="A550" s="114" t="n">
        <v>686720.01</v>
      </c>
      <c r="B550" s="114" t="n">
        <v>688000</v>
      </c>
      <c r="C550" s="114" t="n">
        <v>15690.2999999999</v>
      </c>
    </row>
    <row r="551" customFormat="false" ht="15" hidden="false" customHeight="true" outlineLevel="0" collapsed="false">
      <c r="A551" s="115" t="n">
        <v>688000.01</v>
      </c>
      <c r="B551" s="115" t="n">
        <v>689280</v>
      </c>
      <c r="C551" s="115" t="n">
        <v>15718.9599999999</v>
      </c>
    </row>
    <row r="552" customFormat="false" ht="15" hidden="false" customHeight="true" outlineLevel="0" collapsed="false">
      <c r="A552" s="114" t="n">
        <v>689280.01</v>
      </c>
      <c r="B552" s="114" t="n">
        <v>690560</v>
      </c>
      <c r="C552" s="114" t="n">
        <v>15747.6199999999</v>
      </c>
    </row>
    <row r="553" customFormat="false" ht="15" hidden="false" customHeight="true" outlineLevel="0" collapsed="false">
      <c r="A553" s="115" t="n">
        <v>690560.01</v>
      </c>
      <c r="B553" s="115" t="n">
        <v>691840</v>
      </c>
      <c r="C553" s="115" t="n">
        <v>15776.2799999999</v>
      </c>
    </row>
    <row r="554" customFormat="false" ht="15" hidden="false" customHeight="true" outlineLevel="0" collapsed="false">
      <c r="A554" s="114" t="n">
        <v>691840.01</v>
      </c>
      <c r="B554" s="114" t="n">
        <v>693120</v>
      </c>
      <c r="C554" s="114" t="n">
        <v>15804.9399999999</v>
      </c>
    </row>
    <row r="555" customFormat="false" ht="15" hidden="false" customHeight="true" outlineLevel="0" collapsed="false">
      <c r="A555" s="115" t="n">
        <v>693120.01</v>
      </c>
      <c r="B555" s="115" t="n">
        <v>694400</v>
      </c>
      <c r="C555" s="115" t="n">
        <v>15833.5999999999</v>
      </c>
    </row>
    <row r="556" customFormat="false" ht="15" hidden="false" customHeight="true" outlineLevel="0" collapsed="false">
      <c r="A556" s="114" t="n">
        <v>694400.01</v>
      </c>
      <c r="B556" s="114" t="n">
        <v>695680</v>
      </c>
      <c r="C556" s="114" t="n">
        <v>15862.2599999999</v>
      </c>
    </row>
    <row r="557" customFormat="false" ht="15" hidden="false" customHeight="true" outlineLevel="0" collapsed="false">
      <c r="A557" s="115" t="n">
        <v>695680.01</v>
      </c>
      <c r="B557" s="115" t="n">
        <v>696960</v>
      </c>
      <c r="C557" s="115" t="n">
        <v>15890.9199999999</v>
      </c>
    </row>
    <row r="558" customFormat="false" ht="15" hidden="false" customHeight="true" outlineLevel="0" collapsed="false">
      <c r="A558" s="114" t="n">
        <v>696960.01</v>
      </c>
      <c r="B558" s="114" t="n">
        <v>698240</v>
      </c>
      <c r="C558" s="114" t="n">
        <v>15919.5799999999</v>
      </c>
    </row>
    <row r="559" customFormat="false" ht="15" hidden="false" customHeight="true" outlineLevel="0" collapsed="false">
      <c r="A559" s="115" t="n">
        <v>698240.01</v>
      </c>
      <c r="B559" s="115" t="n">
        <v>699520</v>
      </c>
      <c r="C559" s="115" t="n">
        <v>15948.2399999999</v>
      </c>
    </row>
    <row r="560" customFormat="false" ht="15" hidden="false" customHeight="true" outlineLevel="0" collapsed="false">
      <c r="A560" s="114" t="n">
        <v>699520.01</v>
      </c>
      <c r="B560" s="114" t="n">
        <v>700800</v>
      </c>
      <c r="C560" s="114" t="n">
        <v>15976.8999999999</v>
      </c>
    </row>
    <row r="561" customFormat="false" ht="15" hidden="false" customHeight="true" outlineLevel="0" collapsed="false">
      <c r="A561" s="115" t="n">
        <v>700800.01</v>
      </c>
      <c r="B561" s="115" t="n">
        <v>702080</v>
      </c>
      <c r="C561" s="115" t="n">
        <v>16005.5599999999</v>
      </c>
    </row>
    <row r="562" customFormat="false" ht="15" hidden="false" customHeight="true" outlineLevel="0" collapsed="false">
      <c r="A562" s="114" t="n">
        <v>702080.01</v>
      </c>
      <c r="B562" s="114" t="n">
        <v>703360</v>
      </c>
      <c r="C562" s="114" t="n">
        <v>16034.2199999999</v>
      </c>
    </row>
    <row r="563" customFormat="false" ht="15" hidden="false" customHeight="true" outlineLevel="0" collapsed="false">
      <c r="A563" s="115" t="n">
        <v>703360.01</v>
      </c>
      <c r="B563" s="115" t="n">
        <v>704640</v>
      </c>
      <c r="C563" s="115" t="n">
        <v>16062.8799999999</v>
      </c>
    </row>
    <row r="564" customFormat="false" ht="15" hidden="false" customHeight="true" outlineLevel="0" collapsed="false">
      <c r="A564" s="114" t="n">
        <v>704640.01</v>
      </c>
      <c r="B564" s="114" t="n">
        <v>705920</v>
      </c>
      <c r="C564" s="114" t="n">
        <v>16091.5399999999</v>
      </c>
    </row>
    <row r="565" customFormat="false" ht="15" hidden="false" customHeight="true" outlineLevel="0" collapsed="false">
      <c r="A565" s="115" t="n">
        <v>705920.01</v>
      </c>
      <c r="B565" s="115" t="n">
        <v>707200</v>
      </c>
      <c r="C565" s="115" t="n">
        <v>16120.1999999999</v>
      </c>
    </row>
    <row r="566" customFormat="false" ht="15" hidden="false" customHeight="true" outlineLevel="0" collapsed="false">
      <c r="A566" s="114" t="n">
        <v>707200.01</v>
      </c>
      <c r="B566" s="114" t="n">
        <v>708480</v>
      </c>
      <c r="C566" s="114" t="n">
        <v>16148.8599999999</v>
      </c>
    </row>
    <row r="567" customFormat="false" ht="15" hidden="false" customHeight="true" outlineLevel="0" collapsed="false">
      <c r="A567" s="115" t="n">
        <v>708480.01</v>
      </c>
      <c r="B567" s="115" t="n">
        <v>709760</v>
      </c>
      <c r="C567" s="115" t="n">
        <v>16177.5199999999</v>
      </c>
    </row>
    <row r="568" customFormat="false" ht="15" hidden="false" customHeight="true" outlineLevel="0" collapsed="false">
      <c r="A568" s="114" t="n">
        <v>709760.01</v>
      </c>
      <c r="B568" s="114" t="n">
        <v>711040</v>
      </c>
      <c r="C568" s="114" t="n">
        <v>16206.1799999999</v>
      </c>
    </row>
    <row r="569" customFormat="false" ht="15" hidden="false" customHeight="true" outlineLevel="0" collapsed="false">
      <c r="A569" s="115" t="n">
        <v>711040.01</v>
      </c>
      <c r="B569" s="115" t="n">
        <v>712320</v>
      </c>
      <c r="C569" s="115" t="n">
        <v>16234.8399999999</v>
      </c>
    </row>
    <row r="570" customFormat="false" ht="15" hidden="false" customHeight="true" outlineLevel="0" collapsed="false">
      <c r="A570" s="114" t="n">
        <v>712320.01</v>
      </c>
      <c r="B570" s="114" t="n">
        <v>713600</v>
      </c>
      <c r="C570" s="114" t="n">
        <v>16263.4999999999</v>
      </c>
    </row>
    <row r="571" customFormat="false" ht="15" hidden="false" customHeight="true" outlineLevel="0" collapsed="false">
      <c r="A571" s="115" t="n">
        <v>713600.01</v>
      </c>
      <c r="B571" s="115" t="n">
        <v>714880</v>
      </c>
      <c r="C571" s="115" t="n">
        <v>16292.1599999999</v>
      </c>
    </row>
    <row r="572" customFormat="false" ht="15" hidden="false" customHeight="true" outlineLevel="0" collapsed="false">
      <c r="A572" s="114" t="n">
        <v>714880.01</v>
      </c>
      <c r="B572" s="114" t="n">
        <v>716160</v>
      </c>
      <c r="C572" s="114" t="n">
        <v>16320.8199999999</v>
      </c>
    </row>
    <row r="573" customFormat="false" ht="15" hidden="false" customHeight="true" outlineLevel="0" collapsed="false">
      <c r="A573" s="115" t="n">
        <v>716160.01</v>
      </c>
      <c r="B573" s="115" t="n">
        <v>717440</v>
      </c>
      <c r="C573" s="115" t="n">
        <v>16349.4799999999</v>
      </c>
    </row>
    <row r="574" customFormat="false" ht="15" hidden="false" customHeight="true" outlineLevel="0" collapsed="false">
      <c r="A574" s="114" t="n">
        <v>717440.01</v>
      </c>
      <c r="B574" s="114" t="n">
        <v>718720</v>
      </c>
      <c r="C574" s="114" t="n">
        <v>16378.1399999999</v>
      </c>
    </row>
    <row r="575" customFormat="false" ht="15" hidden="false" customHeight="true" outlineLevel="0" collapsed="false">
      <c r="A575" s="115" t="n">
        <v>718720.01</v>
      </c>
      <c r="B575" s="115" t="n">
        <v>720000</v>
      </c>
      <c r="C575" s="115" t="n">
        <v>16406.7999999999</v>
      </c>
    </row>
    <row r="576" customFormat="false" ht="15" hidden="false" customHeight="true" outlineLevel="0" collapsed="false">
      <c r="A576" s="114" t="n">
        <v>720000.01</v>
      </c>
      <c r="B576" s="114" t="n">
        <v>721280</v>
      </c>
      <c r="C576" s="114" t="n">
        <v>16435.4599999999</v>
      </c>
    </row>
    <row r="577" customFormat="false" ht="15" hidden="false" customHeight="true" outlineLevel="0" collapsed="false">
      <c r="A577" s="115" t="n">
        <v>721280.01</v>
      </c>
      <c r="B577" s="115" t="n">
        <v>722560</v>
      </c>
      <c r="C577" s="115" t="n">
        <v>16464.1199999999</v>
      </c>
    </row>
    <row r="578" customFormat="false" ht="15" hidden="false" customHeight="true" outlineLevel="0" collapsed="false">
      <c r="A578" s="114" t="n">
        <v>722560.01</v>
      </c>
      <c r="B578" s="114" t="n">
        <v>723840</v>
      </c>
      <c r="C578" s="114" t="n">
        <v>16492.7799999999</v>
      </c>
    </row>
    <row r="579" customFormat="false" ht="15" hidden="false" customHeight="true" outlineLevel="0" collapsed="false">
      <c r="A579" s="115" t="n">
        <v>723840.01</v>
      </c>
      <c r="B579" s="115" t="n">
        <v>725120</v>
      </c>
      <c r="C579" s="115" t="n">
        <v>16521.4399999999</v>
      </c>
    </row>
    <row r="580" customFormat="false" ht="15" hidden="false" customHeight="true" outlineLevel="0" collapsed="false">
      <c r="A580" s="114" t="n">
        <v>725120.01</v>
      </c>
      <c r="B580" s="114" t="n">
        <v>726400</v>
      </c>
      <c r="C580" s="114" t="n">
        <v>16550.0999999999</v>
      </c>
    </row>
    <row r="581" customFormat="false" ht="15" hidden="false" customHeight="true" outlineLevel="0" collapsed="false">
      <c r="A581" s="115" t="n">
        <v>726400.01</v>
      </c>
      <c r="B581" s="115" t="n">
        <v>727680</v>
      </c>
      <c r="C581" s="115" t="n">
        <v>16578.7599999999</v>
      </c>
    </row>
    <row r="582" customFormat="false" ht="15" hidden="false" customHeight="true" outlineLevel="0" collapsed="false">
      <c r="A582" s="114" t="n">
        <v>727680.01</v>
      </c>
      <c r="B582" s="114" t="n">
        <v>728960</v>
      </c>
      <c r="C582" s="114" t="n">
        <v>16607.4199999999</v>
      </c>
    </row>
    <row r="583" customFormat="false" ht="15" hidden="false" customHeight="true" outlineLevel="0" collapsed="false">
      <c r="A583" s="115" t="n">
        <v>728960.01</v>
      </c>
      <c r="B583" s="115" t="n">
        <v>730240</v>
      </c>
      <c r="C583" s="115" t="n">
        <v>16636.0799999999</v>
      </c>
    </row>
    <row r="584" customFormat="false" ht="15" hidden="false" customHeight="true" outlineLevel="0" collapsed="false">
      <c r="A584" s="114" t="n">
        <v>730240.01</v>
      </c>
      <c r="B584" s="114" t="n">
        <v>731520</v>
      </c>
      <c r="C584" s="114" t="n">
        <v>16664.7399999999</v>
      </c>
    </row>
    <row r="585" customFormat="false" ht="15" hidden="false" customHeight="true" outlineLevel="0" collapsed="false">
      <c r="A585" s="115" t="n">
        <v>731520.01</v>
      </c>
      <c r="B585" s="115" t="n">
        <v>732800</v>
      </c>
      <c r="C585" s="115" t="n">
        <v>16693.3999999999</v>
      </c>
    </row>
    <row r="586" customFormat="false" ht="15" hidden="false" customHeight="true" outlineLevel="0" collapsed="false">
      <c r="A586" s="114" t="n">
        <v>732800.01</v>
      </c>
      <c r="B586" s="114" t="n">
        <v>734080</v>
      </c>
      <c r="C586" s="114" t="n">
        <v>16722.0599999999</v>
      </c>
    </row>
    <row r="587" customFormat="false" ht="15" hidden="false" customHeight="true" outlineLevel="0" collapsed="false">
      <c r="A587" s="115" t="n">
        <v>734080.01</v>
      </c>
      <c r="B587" s="115" t="n">
        <v>735360</v>
      </c>
      <c r="C587" s="115" t="n">
        <v>16750.7199999999</v>
      </c>
    </row>
    <row r="588" customFormat="false" ht="15" hidden="false" customHeight="true" outlineLevel="0" collapsed="false">
      <c r="A588" s="114" t="n">
        <v>735360.01</v>
      </c>
      <c r="B588" s="114" t="n">
        <v>736640</v>
      </c>
      <c r="C588" s="114" t="n">
        <v>16779.3799999999</v>
      </c>
    </row>
    <row r="589" customFormat="false" ht="15" hidden="false" customHeight="true" outlineLevel="0" collapsed="false">
      <c r="A589" s="115" t="n">
        <v>736640.01</v>
      </c>
      <c r="B589" s="115" t="n">
        <v>737920</v>
      </c>
      <c r="C589" s="115" t="n">
        <v>16808.0399999999</v>
      </c>
    </row>
    <row r="590" customFormat="false" ht="15" hidden="false" customHeight="true" outlineLevel="0" collapsed="false">
      <c r="A590" s="114" t="n">
        <v>737920.01</v>
      </c>
      <c r="B590" s="114" t="n">
        <v>739200</v>
      </c>
      <c r="C590" s="114" t="n">
        <v>16836.6999999999</v>
      </c>
    </row>
    <row r="591" customFormat="false" ht="15" hidden="false" customHeight="true" outlineLevel="0" collapsed="false">
      <c r="A591" s="115" t="n">
        <v>739200.01</v>
      </c>
      <c r="B591" s="115" t="n">
        <v>740480</v>
      </c>
      <c r="C591" s="115" t="n">
        <v>16865.3599999999</v>
      </c>
    </row>
    <row r="592" customFormat="false" ht="15" hidden="false" customHeight="true" outlineLevel="0" collapsed="false">
      <c r="A592" s="114" t="n">
        <v>740480.01</v>
      </c>
      <c r="B592" s="114" t="n">
        <v>741760</v>
      </c>
      <c r="C592" s="114" t="n">
        <v>16894.0199999999</v>
      </c>
    </row>
    <row r="593" customFormat="false" ht="15" hidden="false" customHeight="true" outlineLevel="0" collapsed="false">
      <c r="A593" s="115" t="n">
        <v>741760.01</v>
      </c>
      <c r="B593" s="115" t="n">
        <v>743040</v>
      </c>
      <c r="C593" s="115" t="n">
        <v>16922.6799999999</v>
      </c>
    </row>
    <row r="594" customFormat="false" ht="15" hidden="false" customHeight="true" outlineLevel="0" collapsed="false">
      <c r="A594" s="114" t="n">
        <v>743040.01</v>
      </c>
      <c r="B594" s="114" t="n">
        <v>744320</v>
      </c>
      <c r="C594" s="114" t="n">
        <v>16951.3399999999</v>
      </c>
    </row>
    <row r="595" customFormat="false" ht="15" hidden="false" customHeight="true" outlineLevel="0" collapsed="false">
      <c r="A595" s="115" t="n">
        <v>744320.01</v>
      </c>
      <c r="B595" s="115" t="n">
        <v>745600</v>
      </c>
      <c r="C595" s="115" t="n">
        <v>16979.9999999999</v>
      </c>
    </row>
    <row r="596" customFormat="false" ht="15" hidden="false" customHeight="true" outlineLevel="0" collapsed="false">
      <c r="A596" s="114" t="n">
        <v>745600.01</v>
      </c>
      <c r="B596" s="114" t="n">
        <v>746880</v>
      </c>
      <c r="C596" s="114" t="n">
        <v>17008.6599999999</v>
      </c>
    </row>
    <row r="597" customFormat="false" ht="15" hidden="false" customHeight="true" outlineLevel="0" collapsed="false">
      <c r="A597" s="115" t="n">
        <v>746880.01</v>
      </c>
      <c r="B597" s="115" t="n">
        <v>748160</v>
      </c>
      <c r="C597" s="115" t="n">
        <v>17037.3199999999</v>
      </c>
    </row>
    <row r="598" customFormat="false" ht="15" hidden="false" customHeight="true" outlineLevel="0" collapsed="false">
      <c r="A598" s="114" t="n">
        <v>748160.01</v>
      </c>
      <c r="B598" s="114" t="n">
        <v>749440</v>
      </c>
      <c r="C598" s="114" t="n">
        <v>17065.9799999999</v>
      </c>
    </row>
    <row r="599" customFormat="false" ht="15" hidden="false" customHeight="true" outlineLevel="0" collapsed="false">
      <c r="A599" s="115" t="n">
        <v>749440.01</v>
      </c>
      <c r="B599" s="115" t="n">
        <v>750720</v>
      </c>
      <c r="C599" s="115" t="n">
        <v>17094.6399999999</v>
      </c>
    </row>
    <row r="600" customFormat="false" ht="15" hidden="false" customHeight="true" outlineLevel="0" collapsed="false">
      <c r="A600" s="114" t="n">
        <v>750720.01</v>
      </c>
      <c r="B600" s="114" t="n">
        <v>752000</v>
      </c>
      <c r="C600" s="114" t="n">
        <v>17123.2999999999</v>
      </c>
    </row>
    <row r="601" customFormat="false" ht="15" hidden="false" customHeight="true" outlineLevel="0" collapsed="false">
      <c r="A601" s="115" t="n">
        <v>752000.01</v>
      </c>
      <c r="B601" s="115" t="n">
        <v>753280</v>
      </c>
      <c r="C601" s="115" t="n">
        <v>17151.9599999999</v>
      </c>
    </row>
    <row r="602" customFormat="false" ht="15" hidden="false" customHeight="true" outlineLevel="0" collapsed="false">
      <c r="A602" s="114" t="n">
        <v>753280.01</v>
      </c>
      <c r="B602" s="114" t="n">
        <v>754560</v>
      </c>
      <c r="C602" s="114" t="n">
        <v>17180.6199999999</v>
      </c>
    </row>
    <row r="603" customFormat="false" ht="15" hidden="false" customHeight="true" outlineLevel="0" collapsed="false">
      <c r="A603" s="115" t="n">
        <v>754560.01</v>
      </c>
      <c r="B603" s="115" t="n">
        <v>755840</v>
      </c>
      <c r="C603" s="115" t="n">
        <v>17209.2799999999</v>
      </c>
    </row>
    <row r="604" customFormat="false" ht="15" hidden="false" customHeight="true" outlineLevel="0" collapsed="false">
      <c r="A604" s="114" t="n">
        <v>755840.01</v>
      </c>
      <c r="B604" s="114" t="n">
        <v>757120</v>
      </c>
      <c r="C604" s="114" t="n">
        <v>17237.9399999999</v>
      </c>
    </row>
    <row r="605" customFormat="false" ht="15" hidden="false" customHeight="true" outlineLevel="0" collapsed="false">
      <c r="A605" s="115" t="n">
        <v>757120.01</v>
      </c>
      <c r="B605" s="115" t="n">
        <v>758400</v>
      </c>
      <c r="C605" s="115" t="n">
        <v>17266.5999999999</v>
      </c>
    </row>
    <row r="606" customFormat="false" ht="15" hidden="false" customHeight="true" outlineLevel="0" collapsed="false">
      <c r="A606" s="114" t="n">
        <v>758400.01</v>
      </c>
      <c r="B606" s="114" t="n">
        <v>759680</v>
      </c>
      <c r="C606" s="114" t="n">
        <v>17295.2599999999</v>
      </c>
    </row>
    <row r="607" customFormat="false" ht="15" hidden="false" customHeight="true" outlineLevel="0" collapsed="false">
      <c r="A607" s="115" t="n">
        <v>759680.01</v>
      </c>
      <c r="B607" s="115" t="n">
        <v>760960</v>
      </c>
      <c r="C607" s="115" t="n">
        <v>17323.9199999999</v>
      </c>
    </row>
    <row r="608" customFormat="false" ht="15" hidden="false" customHeight="true" outlineLevel="0" collapsed="false">
      <c r="A608" s="114" t="n">
        <v>760960.01</v>
      </c>
      <c r="B608" s="114" t="n">
        <v>762240</v>
      </c>
      <c r="C608" s="114" t="n">
        <v>17352.5799999999</v>
      </c>
    </row>
    <row r="609" customFormat="false" ht="15" hidden="false" customHeight="true" outlineLevel="0" collapsed="false">
      <c r="A609" s="115" t="n">
        <v>762240.01</v>
      </c>
      <c r="B609" s="115" t="n">
        <v>763520</v>
      </c>
      <c r="C609" s="115" t="n">
        <v>17381.2399999999</v>
      </c>
    </row>
    <row r="610" customFormat="false" ht="15" hidden="false" customHeight="true" outlineLevel="0" collapsed="false">
      <c r="A610" s="114" t="n">
        <v>763520.01</v>
      </c>
      <c r="B610" s="114" t="n">
        <v>764800</v>
      </c>
      <c r="C610" s="114" t="n">
        <v>17409.8999999999</v>
      </c>
    </row>
    <row r="611" customFormat="false" ht="15" hidden="false" customHeight="true" outlineLevel="0" collapsed="false">
      <c r="A611" s="115" t="n">
        <v>764800.01</v>
      </c>
      <c r="B611" s="115" t="n">
        <v>766080</v>
      </c>
      <c r="C611" s="115" t="n">
        <v>17438.5599999999</v>
      </c>
    </row>
    <row r="612" customFormat="false" ht="15" hidden="false" customHeight="true" outlineLevel="0" collapsed="false">
      <c r="A612" s="114" t="n">
        <v>766080.01</v>
      </c>
      <c r="B612" s="114" t="n">
        <v>767360</v>
      </c>
      <c r="C612" s="114" t="n">
        <v>17467.2199999999</v>
      </c>
    </row>
    <row r="613" customFormat="false" ht="15" hidden="false" customHeight="true" outlineLevel="0" collapsed="false">
      <c r="A613" s="115" t="n">
        <v>767360.01</v>
      </c>
      <c r="B613" s="115" t="n">
        <v>768640</v>
      </c>
      <c r="C613" s="115" t="n">
        <v>17495.8799999999</v>
      </c>
    </row>
    <row r="614" customFormat="false" ht="15" hidden="false" customHeight="true" outlineLevel="0" collapsed="false">
      <c r="A614" s="114" t="n">
        <v>768640.01</v>
      </c>
      <c r="B614" s="114" t="n">
        <v>769920</v>
      </c>
      <c r="C614" s="114" t="n">
        <v>17524.5399999999</v>
      </c>
    </row>
    <row r="615" customFormat="false" ht="15" hidden="false" customHeight="true" outlineLevel="0" collapsed="false">
      <c r="A615" s="115" t="n">
        <v>769920.01</v>
      </c>
      <c r="B615" s="115" t="n">
        <v>771200</v>
      </c>
      <c r="C615" s="115" t="n">
        <v>17553.1999999999</v>
      </c>
    </row>
    <row r="616" customFormat="false" ht="15" hidden="false" customHeight="true" outlineLevel="0" collapsed="false">
      <c r="A616" s="114" t="n">
        <v>771200.01</v>
      </c>
      <c r="B616" s="114" t="n">
        <v>772480</v>
      </c>
      <c r="C616" s="114" t="n">
        <v>17581.8599999999</v>
      </c>
    </row>
    <row r="617" customFormat="false" ht="15" hidden="false" customHeight="true" outlineLevel="0" collapsed="false">
      <c r="A617" s="115" t="n">
        <v>772480.01</v>
      </c>
      <c r="B617" s="115" t="n">
        <v>773760</v>
      </c>
      <c r="C617" s="115" t="n">
        <v>17610.5199999999</v>
      </c>
    </row>
    <row r="618" customFormat="false" ht="15" hidden="false" customHeight="true" outlineLevel="0" collapsed="false">
      <c r="A618" s="114" t="n">
        <v>773760.01</v>
      </c>
      <c r="B618" s="114" t="n">
        <v>775040</v>
      </c>
      <c r="C618" s="114" t="n">
        <v>17639.1799999999</v>
      </c>
    </row>
    <row r="619" customFormat="false" ht="15" hidden="false" customHeight="true" outlineLevel="0" collapsed="false">
      <c r="A619" s="115" t="n">
        <v>775040.01</v>
      </c>
      <c r="B619" s="115" t="n">
        <v>776320</v>
      </c>
      <c r="C619" s="115" t="n">
        <v>17667.8399999999</v>
      </c>
    </row>
    <row r="620" customFormat="false" ht="15" hidden="false" customHeight="true" outlineLevel="0" collapsed="false">
      <c r="A620" s="114" t="n">
        <v>776320.01</v>
      </c>
      <c r="B620" s="114" t="n">
        <v>777600</v>
      </c>
      <c r="C620" s="114" t="n">
        <v>17696.4999999999</v>
      </c>
    </row>
    <row r="621" customFormat="false" ht="15" hidden="false" customHeight="true" outlineLevel="0" collapsed="false">
      <c r="A621" s="115" t="n">
        <v>777600.01</v>
      </c>
      <c r="B621" s="115" t="n">
        <v>778880</v>
      </c>
      <c r="C621" s="115" t="n">
        <v>17725.1599999999</v>
      </c>
    </row>
    <row r="622" customFormat="false" ht="15" hidden="false" customHeight="true" outlineLevel="0" collapsed="false">
      <c r="A622" s="114" t="n">
        <v>778880.01</v>
      </c>
      <c r="B622" s="114" t="n">
        <v>780160</v>
      </c>
      <c r="C622" s="114" t="n">
        <v>17753.8199999999</v>
      </c>
    </row>
    <row r="623" customFormat="false" ht="15" hidden="false" customHeight="true" outlineLevel="0" collapsed="false">
      <c r="A623" s="115" t="n">
        <v>780160.01</v>
      </c>
      <c r="B623" s="115" t="n">
        <v>781440</v>
      </c>
      <c r="C623" s="115" t="n">
        <v>17782.4799999999</v>
      </c>
    </row>
    <row r="624" customFormat="false" ht="15" hidden="false" customHeight="true" outlineLevel="0" collapsed="false">
      <c r="A624" s="114" t="n">
        <v>781440.01</v>
      </c>
      <c r="B624" s="114" t="n">
        <v>782720</v>
      </c>
      <c r="C624" s="114" t="n">
        <v>17811.1399999999</v>
      </c>
    </row>
    <row r="625" customFormat="false" ht="15" hidden="false" customHeight="true" outlineLevel="0" collapsed="false">
      <c r="A625" s="115" t="n">
        <v>782720.01</v>
      </c>
      <c r="B625" s="115" t="n">
        <v>784000</v>
      </c>
      <c r="C625" s="115" t="n">
        <v>17839.7999999999</v>
      </c>
    </row>
    <row r="626" customFormat="false" ht="15" hidden="false" customHeight="true" outlineLevel="0" collapsed="false">
      <c r="A626" s="114" t="n">
        <v>784000.01</v>
      </c>
      <c r="B626" s="114" t="n">
        <v>785280</v>
      </c>
      <c r="C626" s="114" t="n">
        <v>17868.4599999999</v>
      </c>
    </row>
    <row r="627" customFormat="false" ht="15" hidden="false" customHeight="true" outlineLevel="0" collapsed="false">
      <c r="A627" s="115" t="n">
        <v>785280.01</v>
      </c>
      <c r="B627" s="115" t="n">
        <v>786560</v>
      </c>
      <c r="C627" s="115" t="n">
        <v>17897.1199999999</v>
      </c>
    </row>
    <row r="628" customFormat="false" ht="15" hidden="false" customHeight="true" outlineLevel="0" collapsed="false">
      <c r="A628" s="114" t="n">
        <v>786560.01</v>
      </c>
      <c r="B628" s="114" t="n">
        <v>787840</v>
      </c>
      <c r="C628" s="114" t="n">
        <v>17925.7799999999</v>
      </c>
    </row>
    <row r="629" customFormat="false" ht="15" hidden="false" customHeight="true" outlineLevel="0" collapsed="false">
      <c r="A629" s="115" t="n">
        <v>787840.01</v>
      </c>
      <c r="B629" s="115" t="n">
        <v>789120</v>
      </c>
      <c r="C629" s="115" t="n">
        <v>17954.4399999999</v>
      </c>
    </row>
    <row r="630" customFormat="false" ht="15" hidden="false" customHeight="true" outlineLevel="0" collapsed="false">
      <c r="A630" s="114" t="n">
        <v>789120.01</v>
      </c>
      <c r="B630" s="114" t="n">
        <v>790400</v>
      </c>
      <c r="C630" s="114" t="n">
        <v>17983.0999999999</v>
      </c>
    </row>
    <row r="631" customFormat="false" ht="15" hidden="false" customHeight="true" outlineLevel="0" collapsed="false">
      <c r="A631" s="115" t="n">
        <v>790400.01</v>
      </c>
      <c r="B631" s="115" t="n">
        <v>791680</v>
      </c>
      <c r="C631" s="115" t="n">
        <v>18011.7599999999</v>
      </c>
    </row>
    <row r="632" customFormat="false" ht="15" hidden="false" customHeight="true" outlineLevel="0" collapsed="false">
      <c r="A632" s="114" t="n">
        <v>791680.01</v>
      </c>
      <c r="B632" s="114" t="n">
        <v>792960</v>
      </c>
      <c r="C632" s="114" t="n">
        <v>18040.4199999999</v>
      </c>
    </row>
    <row r="633" customFormat="false" ht="15" hidden="false" customHeight="true" outlineLevel="0" collapsed="false">
      <c r="A633" s="115" t="n">
        <v>792960.01</v>
      </c>
      <c r="B633" s="115" t="n">
        <v>794240</v>
      </c>
      <c r="C633" s="115" t="n">
        <v>18069.0799999999</v>
      </c>
    </row>
    <row r="634" customFormat="false" ht="15" hidden="false" customHeight="true" outlineLevel="0" collapsed="false">
      <c r="A634" s="114" t="n">
        <v>794240.01</v>
      </c>
      <c r="B634" s="114" t="n">
        <v>795520</v>
      </c>
      <c r="C634" s="114" t="n">
        <v>18097.7399999999</v>
      </c>
    </row>
    <row r="635" customFormat="false" ht="15" hidden="false" customHeight="true" outlineLevel="0" collapsed="false">
      <c r="A635" s="115" t="n">
        <v>795520.01</v>
      </c>
      <c r="B635" s="115" t="n">
        <v>796800</v>
      </c>
      <c r="C635" s="115" t="n">
        <v>18126.3999999999</v>
      </c>
    </row>
    <row r="636" customFormat="false" ht="15" hidden="false" customHeight="true" outlineLevel="0" collapsed="false">
      <c r="A636" s="114" t="n">
        <v>796800.01</v>
      </c>
      <c r="B636" s="114" t="n">
        <v>798080</v>
      </c>
      <c r="C636" s="114" t="n">
        <v>18155.0599999999</v>
      </c>
    </row>
    <row r="637" customFormat="false" ht="15" hidden="false" customHeight="true" outlineLevel="0" collapsed="false">
      <c r="A637" s="115" t="n">
        <v>798080.01</v>
      </c>
      <c r="B637" s="115" t="n">
        <v>799360</v>
      </c>
      <c r="C637" s="115" t="n">
        <v>18183.7199999999</v>
      </c>
    </row>
    <row r="638" customFormat="false" ht="15" hidden="false" customHeight="true" outlineLevel="0" collapsed="false">
      <c r="A638" s="114" t="n">
        <v>799360.01</v>
      </c>
      <c r="B638" s="114" t="n">
        <v>800640</v>
      </c>
      <c r="C638" s="114" t="n">
        <v>18212.3799999999</v>
      </c>
    </row>
    <row r="639" customFormat="false" ht="15" hidden="false" customHeight="true" outlineLevel="0" collapsed="false">
      <c r="A639" s="115" t="n">
        <v>800640.01</v>
      </c>
      <c r="B639" s="115" t="n">
        <v>801920</v>
      </c>
      <c r="C639" s="115" t="n">
        <v>18241.0399999999</v>
      </c>
    </row>
    <row r="640" customFormat="false" ht="15" hidden="false" customHeight="true" outlineLevel="0" collapsed="false">
      <c r="A640" s="114" t="n">
        <v>801920.01</v>
      </c>
      <c r="B640" s="114" t="n">
        <v>803200</v>
      </c>
      <c r="C640" s="114" t="n">
        <v>18269.6999999999</v>
      </c>
    </row>
    <row r="641" customFormat="false" ht="15" hidden="false" customHeight="true" outlineLevel="0" collapsed="false">
      <c r="A641" s="115" t="n">
        <v>803200.01</v>
      </c>
      <c r="B641" s="115" t="n">
        <v>804480</v>
      </c>
      <c r="C641" s="115" t="n">
        <v>18298.3599999999</v>
      </c>
    </row>
    <row r="642" customFormat="false" ht="15" hidden="false" customHeight="true" outlineLevel="0" collapsed="false">
      <c r="A642" s="114" t="n">
        <v>804480.01</v>
      </c>
      <c r="B642" s="114" t="n">
        <v>805760</v>
      </c>
      <c r="C642" s="114" t="n">
        <v>18327.0199999999</v>
      </c>
    </row>
    <row r="643" customFormat="false" ht="15" hidden="false" customHeight="true" outlineLevel="0" collapsed="false">
      <c r="A643" s="115" t="n">
        <v>805760.01</v>
      </c>
      <c r="B643" s="115" t="n">
        <v>807040</v>
      </c>
      <c r="C643" s="115" t="n">
        <v>18355.6799999999</v>
      </c>
    </row>
    <row r="644" customFormat="false" ht="15" hidden="false" customHeight="true" outlineLevel="0" collapsed="false">
      <c r="A644" s="114" t="n">
        <v>807040.01</v>
      </c>
      <c r="B644" s="114" t="n">
        <v>808320</v>
      </c>
      <c r="C644" s="114" t="n">
        <v>18384.3399999999</v>
      </c>
    </row>
    <row r="645" customFormat="false" ht="15" hidden="false" customHeight="true" outlineLevel="0" collapsed="false">
      <c r="A645" s="115" t="n">
        <v>808320.01</v>
      </c>
      <c r="B645" s="115" t="n">
        <v>809600</v>
      </c>
      <c r="C645" s="115" t="n">
        <v>18412.9999999999</v>
      </c>
    </row>
    <row r="646" customFormat="false" ht="15" hidden="false" customHeight="true" outlineLevel="0" collapsed="false">
      <c r="A646" s="114" t="n">
        <v>809600.01</v>
      </c>
      <c r="B646" s="114" t="n">
        <v>810880</v>
      </c>
      <c r="C646" s="114" t="n">
        <v>18441.6599999999</v>
      </c>
    </row>
    <row r="647" customFormat="false" ht="15" hidden="false" customHeight="true" outlineLevel="0" collapsed="false">
      <c r="A647" s="115" t="n">
        <v>810880.01</v>
      </c>
      <c r="B647" s="115" t="n">
        <v>812160</v>
      </c>
      <c r="C647" s="115" t="n">
        <v>18470.3199999999</v>
      </c>
    </row>
    <row r="648" customFormat="false" ht="15" hidden="false" customHeight="true" outlineLevel="0" collapsed="false">
      <c r="A648" s="114" t="n">
        <v>812160.01</v>
      </c>
      <c r="B648" s="114" t="n">
        <v>813440</v>
      </c>
      <c r="C648" s="114" t="n">
        <v>18498.9799999999</v>
      </c>
    </row>
    <row r="649" customFormat="false" ht="15" hidden="false" customHeight="true" outlineLevel="0" collapsed="false">
      <c r="A649" s="115" t="n">
        <v>813440.01</v>
      </c>
      <c r="B649" s="115" t="n">
        <v>814720</v>
      </c>
      <c r="C649" s="115" t="n">
        <v>18527.6399999999</v>
      </c>
    </row>
    <row r="650" customFormat="false" ht="15" hidden="false" customHeight="true" outlineLevel="0" collapsed="false">
      <c r="A650" s="114" t="n">
        <v>814720.01</v>
      </c>
      <c r="B650" s="114" t="n">
        <v>816000</v>
      </c>
      <c r="C650" s="114" t="n">
        <v>18556.2999999999</v>
      </c>
    </row>
    <row r="651" customFormat="false" ht="15" hidden="false" customHeight="true" outlineLevel="0" collapsed="false">
      <c r="A651" s="115" t="n">
        <v>816000.01</v>
      </c>
      <c r="B651" s="115" t="n">
        <v>817280</v>
      </c>
      <c r="C651" s="115" t="n">
        <v>18584.9599999999</v>
      </c>
    </row>
    <row r="652" customFormat="false" ht="15" hidden="false" customHeight="true" outlineLevel="0" collapsed="false">
      <c r="A652" s="114" t="n">
        <v>817280.01</v>
      </c>
      <c r="B652" s="114" t="n">
        <v>818560</v>
      </c>
      <c r="C652" s="114" t="n">
        <v>18613.6199999999</v>
      </c>
    </row>
    <row r="653" customFormat="false" ht="15" hidden="false" customHeight="true" outlineLevel="0" collapsed="false">
      <c r="A653" s="115" t="n">
        <v>818560.01</v>
      </c>
      <c r="B653" s="115" t="n">
        <v>819840</v>
      </c>
      <c r="C653" s="115" t="n">
        <v>18642.2799999999</v>
      </c>
    </row>
    <row r="654" customFormat="false" ht="15" hidden="false" customHeight="true" outlineLevel="0" collapsed="false">
      <c r="A654" s="114" t="n">
        <v>819840.01</v>
      </c>
      <c r="B654" s="114" t="n">
        <v>821120</v>
      </c>
      <c r="C654" s="114" t="n">
        <v>18670.9399999999</v>
      </c>
    </row>
    <row r="655" customFormat="false" ht="15" hidden="false" customHeight="true" outlineLevel="0" collapsed="false">
      <c r="A655" s="115" t="n">
        <v>821120.01</v>
      </c>
      <c r="B655" s="115" t="n">
        <v>822400</v>
      </c>
      <c r="C655" s="115" t="n">
        <v>18699.5999999999</v>
      </c>
    </row>
    <row r="656" customFormat="false" ht="15" hidden="false" customHeight="true" outlineLevel="0" collapsed="false">
      <c r="A656" s="114" t="n">
        <v>822400.01</v>
      </c>
      <c r="B656" s="114" t="n">
        <v>823680</v>
      </c>
      <c r="C656" s="114" t="n">
        <v>18728.2599999999</v>
      </c>
    </row>
    <row r="657" customFormat="false" ht="15" hidden="false" customHeight="true" outlineLevel="0" collapsed="false">
      <c r="A657" s="115" t="n">
        <v>823680.01</v>
      </c>
      <c r="B657" s="115" t="n">
        <v>824960</v>
      </c>
      <c r="C657" s="115" t="n">
        <v>18756.9199999999</v>
      </c>
    </row>
    <row r="658" customFormat="false" ht="15" hidden="false" customHeight="true" outlineLevel="0" collapsed="false">
      <c r="A658" s="114" t="n">
        <v>824960.01</v>
      </c>
      <c r="B658" s="114" t="n">
        <v>826240</v>
      </c>
      <c r="C658" s="114" t="n">
        <v>18785.5799999999</v>
      </c>
    </row>
    <row r="659" customFormat="false" ht="15" hidden="false" customHeight="true" outlineLevel="0" collapsed="false">
      <c r="A659" s="115" t="n">
        <v>826240.01</v>
      </c>
      <c r="B659" s="115" t="n">
        <v>827520</v>
      </c>
      <c r="C659" s="115" t="n">
        <v>18814.2399999999</v>
      </c>
    </row>
    <row r="660" customFormat="false" ht="15" hidden="false" customHeight="true" outlineLevel="0" collapsed="false">
      <c r="A660" s="114" t="n">
        <v>827520.01</v>
      </c>
      <c r="B660" s="114" t="n">
        <v>828800</v>
      </c>
      <c r="C660" s="114" t="n">
        <v>18842.8999999999</v>
      </c>
    </row>
    <row r="661" customFormat="false" ht="15" hidden="false" customHeight="true" outlineLevel="0" collapsed="false">
      <c r="A661" s="115" t="n">
        <v>828800.01</v>
      </c>
      <c r="B661" s="115" t="n">
        <v>830080</v>
      </c>
      <c r="C661" s="115" t="n">
        <v>18871.5599999999</v>
      </c>
    </row>
    <row r="662" customFormat="false" ht="15" hidden="false" customHeight="true" outlineLevel="0" collapsed="false">
      <c r="A662" s="114" t="n">
        <v>830080.01</v>
      </c>
      <c r="B662" s="114" t="n">
        <v>831360</v>
      </c>
      <c r="C662" s="114" t="n">
        <v>18900.2199999999</v>
      </c>
    </row>
    <row r="663" customFormat="false" ht="15" hidden="false" customHeight="true" outlineLevel="0" collapsed="false">
      <c r="A663" s="115" t="n">
        <v>831360.01</v>
      </c>
      <c r="B663" s="115" t="n">
        <v>832640</v>
      </c>
      <c r="C663" s="115" t="n">
        <v>18928.8799999999</v>
      </c>
    </row>
    <row r="664" customFormat="false" ht="15" hidden="false" customHeight="true" outlineLevel="0" collapsed="false">
      <c r="A664" s="114" t="n">
        <v>832640.01</v>
      </c>
      <c r="B664" s="114" t="n">
        <v>833920</v>
      </c>
      <c r="C664" s="114" t="n">
        <v>18957.5399999999</v>
      </c>
    </row>
    <row r="665" customFormat="false" ht="15" hidden="false" customHeight="true" outlineLevel="0" collapsed="false">
      <c r="A665" s="115" t="n">
        <v>833920.01</v>
      </c>
      <c r="B665" s="115" t="n">
        <v>835200</v>
      </c>
      <c r="C665" s="115" t="n">
        <v>18986.1999999999</v>
      </c>
    </row>
    <row r="666" customFormat="false" ht="15" hidden="false" customHeight="true" outlineLevel="0" collapsed="false">
      <c r="A666" s="114" t="n">
        <v>835200.01</v>
      </c>
      <c r="B666" s="114" t="n">
        <v>836480</v>
      </c>
      <c r="C666" s="114" t="n">
        <v>19014.8599999999</v>
      </c>
    </row>
    <row r="667" customFormat="false" ht="15" hidden="false" customHeight="true" outlineLevel="0" collapsed="false">
      <c r="A667" s="115" t="n">
        <v>836480.01</v>
      </c>
      <c r="B667" s="115" t="n">
        <v>837760</v>
      </c>
      <c r="C667" s="115" t="n">
        <v>19043.5199999999</v>
      </c>
    </row>
    <row r="668" customFormat="false" ht="15" hidden="false" customHeight="true" outlineLevel="0" collapsed="false">
      <c r="A668" s="114" t="n">
        <v>837760.01</v>
      </c>
      <c r="B668" s="114" t="n">
        <v>839040</v>
      </c>
      <c r="C668" s="114" t="n">
        <v>19072.1799999999</v>
      </c>
    </row>
    <row r="669" customFormat="false" ht="15" hidden="false" customHeight="true" outlineLevel="0" collapsed="false">
      <c r="A669" s="115" t="n">
        <v>839040.01</v>
      </c>
      <c r="B669" s="115" t="n">
        <v>840320</v>
      </c>
      <c r="C669" s="115" t="n">
        <v>19100.8399999999</v>
      </c>
    </row>
    <row r="670" customFormat="false" ht="15" hidden="false" customHeight="true" outlineLevel="0" collapsed="false">
      <c r="A670" s="114" t="n">
        <v>840320.01</v>
      </c>
      <c r="B670" s="114" t="n">
        <v>841600</v>
      </c>
      <c r="C670" s="114" t="n">
        <v>19129.4999999999</v>
      </c>
    </row>
    <row r="671" customFormat="false" ht="15" hidden="false" customHeight="true" outlineLevel="0" collapsed="false">
      <c r="A671" s="115" t="n">
        <v>841600.01</v>
      </c>
      <c r="B671" s="115" t="n">
        <v>842880</v>
      </c>
      <c r="C671" s="115" t="n">
        <v>19158.1599999999</v>
      </c>
    </row>
    <row r="672" customFormat="false" ht="15" hidden="false" customHeight="true" outlineLevel="0" collapsed="false">
      <c r="A672" s="114" t="n">
        <v>842880.01</v>
      </c>
      <c r="B672" s="114" t="n">
        <v>844160</v>
      </c>
      <c r="C672" s="114" t="n">
        <v>19186.8199999999</v>
      </c>
    </row>
    <row r="673" customFormat="false" ht="15" hidden="false" customHeight="true" outlineLevel="0" collapsed="false">
      <c r="A673" s="115" t="n">
        <v>844160.01</v>
      </c>
      <c r="B673" s="115" t="n">
        <v>845440</v>
      </c>
      <c r="C673" s="115" t="n">
        <v>19215.4799999999</v>
      </c>
    </row>
    <row r="674" customFormat="false" ht="15" hidden="false" customHeight="true" outlineLevel="0" collapsed="false">
      <c r="A674" s="114" t="n">
        <v>845440.01</v>
      </c>
      <c r="B674" s="114" t="n">
        <v>846720</v>
      </c>
      <c r="C674" s="114" t="n">
        <v>19244.1399999999</v>
      </c>
    </row>
    <row r="675" customFormat="false" ht="15" hidden="false" customHeight="true" outlineLevel="0" collapsed="false">
      <c r="A675" s="115" t="n">
        <v>846720.01</v>
      </c>
      <c r="B675" s="115" t="n">
        <v>848000</v>
      </c>
      <c r="C675" s="115" t="n">
        <v>19272.7999999999</v>
      </c>
    </row>
    <row r="676" customFormat="false" ht="15" hidden="false" customHeight="true" outlineLevel="0" collapsed="false">
      <c r="A676" s="114" t="n">
        <v>848000.01</v>
      </c>
      <c r="B676" s="114" t="n">
        <v>849280</v>
      </c>
      <c r="C676" s="114" t="n">
        <v>19301.4599999999</v>
      </c>
    </row>
    <row r="677" customFormat="false" ht="15" hidden="false" customHeight="true" outlineLevel="0" collapsed="false">
      <c r="A677" s="115" t="n">
        <v>849280.01</v>
      </c>
      <c r="B677" s="115" t="n">
        <v>850560</v>
      </c>
      <c r="C677" s="115" t="n">
        <v>19330.1199999999</v>
      </c>
    </row>
    <row r="678" customFormat="false" ht="15" hidden="false" customHeight="true" outlineLevel="0" collapsed="false">
      <c r="A678" s="114" t="n">
        <v>850560.01</v>
      </c>
      <c r="B678" s="114" t="n">
        <v>851840</v>
      </c>
      <c r="C678" s="114" t="n">
        <v>19358.7799999999</v>
      </c>
    </row>
    <row r="679" customFormat="false" ht="15" hidden="false" customHeight="true" outlineLevel="0" collapsed="false">
      <c r="A679" s="115" t="n">
        <v>851840.01</v>
      </c>
      <c r="B679" s="115" t="n">
        <v>853120</v>
      </c>
      <c r="C679" s="115" t="n">
        <v>19387.4399999999</v>
      </c>
    </row>
    <row r="680" customFormat="false" ht="15" hidden="false" customHeight="true" outlineLevel="0" collapsed="false">
      <c r="A680" s="114" t="n">
        <v>853120.01</v>
      </c>
      <c r="B680" s="114" t="n">
        <v>854400</v>
      </c>
      <c r="C680" s="114" t="n">
        <v>19416.0999999999</v>
      </c>
    </row>
    <row r="681" customFormat="false" ht="15" hidden="false" customHeight="true" outlineLevel="0" collapsed="false">
      <c r="A681" s="115" t="n">
        <v>854400.01</v>
      </c>
      <c r="B681" s="115" t="n">
        <v>855680</v>
      </c>
      <c r="C681" s="115" t="n">
        <v>19444.7599999999</v>
      </c>
    </row>
    <row r="682" customFormat="false" ht="15" hidden="false" customHeight="true" outlineLevel="0" collapsed="false">
      <c r="A682" s="114" t="n">
        <v>855680.01</v>
      </c>
      <c r="B682" s="114" t="n">
        <v>856960</v>
      </c>
      <c r="C682" s="114" t="n">
        <v>19473.4199999999</v>
      </c>
    </row>
    <row r="683" customFormat="false" ht="15" hidden="false" customHeight="true" outlineLevel="0" collapsed="false">
      <c r="A683" s="115" t="n">
        <v>856960.01</v>
      </c>
      <c r="B683" s="115" t="n">
        <v>858240</v>
      </c>
      <c r="C683" s="115" t="n">
        <v>19502.0799999999</v>
      </c>
    </row>
    <row r="684" customFormat="false" ht="15" hidden="false" customHeight="true" outlineLevel="0" collapsed="false">
      <c r="A684" s="114" t="n">
        <v>858240.01</v>
      </c>
      <c r="B684" s="114" t="n">
        <v>859520</v>
      </c>
      <c r="C684" s="114" t="n">
        <v>19530.7399999999</v>
      </c>
    </row>
    <row r="685" customFormat="false" ht="15" hidden="false" customHeight="true" outlineLevel="0" collapsed="false">
      <c r="A685" s="115" t="n">
        <v>859520.01</v>
      </c>
      <c r="B685" s="115" t="n">
        <v>860800</v>
      </c>
      <c r="C685" s="115" t="n">
        <v>19559.3999999999</v>
      </c>
    </row>
    <row r="686" customFormat="false" ht="15" hidden="false" customHeight="true" outlineLevel="0" collapsed="false">
      <c r="A686" s="114" t="n">
        <v>860800.01</v>
      </c>
      <c r="B686" s="114" t="n">
        <v>862080</v>
      </c>
      <c r="C686" s="114" t="n">
        <v>19588.0599999999</v>
      </c>
    </row>
    <row r="687" customFormat="false" ht="15" hidden="false" customHeight="true" outlineLevel="0" collapsed="false">
      <c r="A687" s="115" t="n">
        <v>862080.01</v>
      </c>
      <c r="B687" s="115" t="n">
        <v>863360</v>
      </c>
      <c r="C687" s="115" t="n">
        <v>19616.7199999999</v>
      </c>
    </row>
    <row r="688" customFormat="false" ht="15" hidden="false" customHeight="true" outlineLevel="0" collapsed="false">
      <c r="A688" s="114" t="n">
        <v>863360.01</v>
      </c>
      <c r="B688" s="114" t="n">
        <v>864640</v>
      </c>
      <c r="C688" s="114" t="n">
        <v>19645.3799999999</v>
      </c>
    </row>
    <row r="689" customFormat="false" ht="15" hidden="false" customHeight="true" outlineLevel="0" collapsed="false">
      <c r="A689" s="115" t="n">
        <v>864640.01</v>
      </c>
      <c r="B689" s="115" t="n">
        <v>865920</v>
      </c>
      <c r="C689" s="115" t="n">
        <v>19674.0399999999</v>
      </c>
    </row>
    <row r="690" customFormat="false" ht="15" hidden="false" customHeight="true" outlineLevel="0" collapsed="false">
      <c r="A690" s="114" t="n">
        <v>865920.01</v>
      </c>
      <c r="B690" s="114" t="n">
        <v>867200</v>
      </c>
      <c r="C690" s="114" t="n">
        <v>19702.6999999999</v>
      </c>
    </row>
    <row r="691" customFormat="false" ht="15" hidden="false" customHeight="true" outlineLevel="0" collapsed="false">
      <c r="A691" s="115" t="n">
        <v>867200.01</v>
      </c>
      <c r="B691" s="115" t="n">
        <v>868480</v>
      </c>
      <c r="C691" s="115" t="n">
        <v>19731.3599999999</v>
      </c>
    </row>
    <row r="692" customFormat="false" ht="15" hidden="false" customHeight="true" outlineLevel="0" collapsed="false">
      <c r="A692" s="114" t="n">
        <v>868480.01</v>
      </c>
      <c r="B692" s="114" t="n">
        <v>869760</v>
      </c>
      <c r="C692" s="114" t="n">
        <v>19760.0199999999</v>
      </c>
    </row>
    <row r="693" customFormat="false" ht="15" hidden="false" customHeight="true" outlineLevel="0" collapsed="false">
      <c r="A693" s="115" t="n">
        <v>869760.01</v>
      </c>
      <c r="B693" s="115" t="n">
        <v>871040</v>
      </c>
      <c r="C693" s="115" t="n">
        <v>19788.6799999999</v>
      </c>
    </row>
    <row r="694" customFormat="false" ht="15" hidden="false" customHeight="true" outlineLevel="0" collapsed="false">
      <c r="A694" s="114" t="n">
        <v>871040.01</v>
      </c>
      <c r="B694" s="114" t="n">
        <v>872320</v>
      </c>
      <c r="C694" s="114" t="n">
        <v>19817.3399999999</v>
      </c>
    </row>
    <row r="695" customFormat="false" ht="15" hidden="false" customHeight="true" outlineLevel="0" collapsed="false">
      <c r="A695" s="115" t="n">
        <v>872320.01</v>
      </c>
      <c r="B695" s="115" t="n">
        <v>873600</v>
      </c>
      <c r="C695" s="115" t="n">
        <v>19845.9999999999</v>
      </c>
    </row>
    <row r="696" customFormat="false" ht="15" hidden="false" customHeight="true" outlineLevel="0" collapsed="false">
      <c r="A696" s="114" t="n">
        <v>873600.01</v>
      </c>
      <c r="B696" s="114" t="n">
        <v>874880</v>
      </c>
      <c r="C696" s="114" t="n">
        <v>19874.6599999999</v>
      </c>
    </row>
    <row r="697" customFormat="false" ht="15" hidden="false" customHeight="true" outlineLevel="0" collapsed="false">
      <c r="A697" s="115" t="n">
        <v>874880.01</v>
      </c>
      <c r="B697" s="115" t="n">
        <v>876160</v>
      </c>
      <c r="C697" s="115" t="n">
        <v>19903.3199999999</v>
      </c>
    </row>
    <row r="698" customFormat="false" ht="15" hidden="false" customHeight="true" outlineLevel="0" collapsed="false">
      <c r="A698" s="114" t="n">
        <v>876160.01</v>
      </c>
      <c r="B698" s="114" t="n">
        <v>877440</v>
      </c>
      <c r="C698" s="114" t="n">
        <v>19931.9799999999</v>
      </c>
    </row>
    <row r="699" customFormat="false" ht="15" hidden="false" customHeight="true" outlineLevel="0" collapsed="false">
      <c r="A699" s="115" t="n">
        <v>877440.01</v>
      </c>
      <c r="B699" s="115" t="n">
        <v>878720</v>
      </c>
      <c r="C699" s="115" t="n">
        <v>19960.6399999999</v>
      </c>
    </row>
    <row r="700" customFormat="false" ht="15" hidden="false" customHeight="true" outlineLevel="0" collapsed="false">
      <c r="A700" s="114" t="n">
        <v>878720.01</v>
      </c>
      <c r="B700" s="114" t="n">
        <v>880000</v>
      </c>
      <c r="C700" s="114" t="n">
        <v>19989.2999999999</v>
      </c>
    </row>
    <row r="701" customFormat="false" ht="15" hidden="false" customHeight="true" outlineLevel="0" collapsed="false">
      <c r="A701" s="115" t="n">
        <v>880000.01</v>
      </c>
      <c r="B701" s="115" t="n">
        <v>881280</v>
      </c>
      <c r="C701" s="115" t="n">
        <v>20017.9599999999</v>
      </c>
    </row>
    <row r="702" customFormat="false" ht="15" hidden="false" customHeight="true" outlineLevel="0" collapsed="false">
      <c r="A702" s="114" t="n">
        <v>881280.01</v>
      </c>
      <c r="B702" s="114" t="n">
        <v>882560</v>
      </c>
      <c r="C702" s="114" t="n">
        <v>20046.6199999999</v>
      </c>
    </row>
    <row r="703" customFormat="false" ht="15" hidden="false" customHeight="true" outlineLevel="0" collapsed="false">
      <c r="A703" s="115" t="n">
        <v>882560.01</v>
      </c>
      <c r="B703" s="115" t="n">
        <v>883840</v>
      </c>
      <c r="C703" s="115" t="n">
        <v>20075.2799999999</v>
      </c>
    </row>
    <row r="704" customFormat="false" ht="15" hidden="false" customHeight="true" outlineLevel="0" collapsed="false">
      <c r="A704" s="114" t="n">
        <v>883840.01</v>
      </c>
      <c r="B704" s="114" t="n">
        <v>885120</v>
      </c>
      <c r="C704" s="114" t="n">
        <v>20103.9399999999</v>
      </c>
    </row>
    <row r="705" customFormat="false" ht="15" hidden="false" customHeight="true" outlineLevel="0" collapsed="false">
      <c r="A705" s="115" t="n">
        <v>885120.01</v>
      </c>
      <c r="B705" s="115" t="n">
        <v>886400</v>
      </c>
      <c r="C705" s="115" t="n">
        <v>20132.5999999999</v>
      </c>
    </row>
    <row r="706" customFormat="false" ht="15" hidden="false" customHeight="true" outlineLevel="0" collapsed="false">
      <c r="A706" s="114" t="n">
        <v>886400.01</v>
      </c>
      <c r="B706" s="114" t="n">
        <v>887680</v>
      </c>
      <c r="C706" s="114" t="n">
        <v>20161.2599999999</v>
      </c>
    </row>
    <row r="707" customFormat="false" ht="15" hidden="false" customHeight="true" outlineLevel="0" collapsed="false">
      <c r="A707" s="115" t="n">
        <v>887680.01</v>
      </c>
      <c r="B707" s="115" t="n">
        <v>888960</v>
      </c>
      <c r="C707" s="115" t="n">
        <v>20189.9199999999</v>
      </c>
    </row>
    <row r="708" customFormat="false" ht="15" hidden="false" customHeight="true" outlineLevel="0" collapsed="false">
      <c r="A708" s="114" t="n">
        <v>888960.01</v>
      </c>
      <c r="B708" s="114" t="n">
        <v>890240</v>
      </c>
      <c r="C708" s="114" t="n">
        <v>20218.5799999999</v>
      </c>
    </row>
    <row r="709" customFormat="false" ht="15" hidden="false" customHeight="true" outlineLevel="0" collapsed="false">
      <c r="A709" s="115" t="n">
        <v>890240.01</v>
      </c>
      <c r="B709" s="115" t="n">
        <v>891520</v>
      </c>
      <c r="C709" s="115" t="n">
        <v>20247.2399999999</v>
      </c>
    </row>
    <row r="710" customFormat="false" ht="15" hidden="false" customHeight="true" outlineLevel="0" collapsed="false">
      <c r="A710" s="114" t="n">
        <v>891520.01</v>
      </c>
      <c r="B710" s="114" t="n">
        <v>892800</v>
      </c>
      <c r="C710" s="114" t="n">
        <v>20275.8999999999</v>
      </c>
    </row>
    <row r="711" customFormat="false" ht="15" hidden="false" customHeight="true" outlineLevel="0" collapsed="false">
      <c r="A711" s="115" t="n">
        <v>892800.01</v>
      </c>
      <c r="B711" s="115" t="n">
        <v>894080</v>
      </c>
      <c r="C711" s="115" t="n">
        <v>20304.5599999999</v>
      </c>
    </row>
    <row r="712" customFormat="false" ht="15" hidden="false" customHeight="true" outlineLevel="0" collapsed="false">
      <c r="A712" s="114" t="n">
        <v>894080.01</v>
      </c>
      <c r="B712" s="114" t="n">
        <v>895360</v>
      </c>
      <c r="C712" s="114" t="n">
        <v>20333.2199999999</v>
      </c>
    </row>
    <row r="713" customFormat="false" ht="15" hidden="false" customHeight="true" outlineLevel="0" collapsed="false">
      <c r="A713" s="115" t="n">
        <v>895360.01</v>
      </c>
      <c r="B713" s="115" t="n">
        <v>896640</v>
      </c>
      <c r="C713" s="115" t="n">
        <v>20361.8799999999</v>
      </c>
    </row>
    <row r="714" customFormat="false" ht="15" hidden="false" customHeight="true" outlineLevel="0" collapsed="false">
      <c r="A714" s="114" t="n">
        <v>896640.01</v>
      </c>
      <c r="B714" s="114" t="n">
        <v>897920</v>
      </c>
      <c r="C714" s="114" t="n">
        <v>20390.5399999999</v>
      </c>
    </row>
    <row r="715" customFormat="false" ht="15" hidden="false" customHeight="true" outlineLevel="0" collapsed="false">
      <c r="A715" s="115" t="n">
        <v>897920.01</v>
      </c>
      <c r="B715" s="115" t="n">
        <v>899200</v>
      </c>
      <c r="C715" s="115" t="n">
        <v>20419.1999999999</v>
      </c>
    </row>
    <row r="716" customFormat="false" ht="15" hidden="false" customHeight="true" outlineLevel="0" collapsed="false">
      <c r="A716" s="114" t="n">
        <v>899200.01</v>
      </c>
      <c r="B716" s="114" t="n">
        <v>900480</v>
      </c>
      <c r="C716" s="114" t="n">
        <v>20447.8599999999</v>
      </c>
    </row>
    <row r="717" customFormat="false" ht="15" hidden="false" customHeight="true" outlineLevel="0" collapsed="false">
      <c r="A717" s="115" t="n">
        <v>900480.01</v>
      </c>
      <c r="B717" s="115" t="n">
        <v>901760</v>
      </c>
      <c r="C717" s="115" t="n">
        <v>20476.5199999999</v>
      </c>
    </row>
    <row r="718" customFormat="false" ht="15" hidden="false" customHeight="true" outlineLevel="0" collapsed="false">
      <c r="A718" s="114" t="n">
        <v>901760.01</v>
      </c>
      <c r="B718" s="114" t="n">
        <v>903040</v>
      </c>
      <c r="C718" s="114" t="n">
        <v>20505.1799999999</v>
      </c>
    </row>
    <row r="719" customFormat="false" ht="15" hidden="false" customHeight="true" outlineLevel="0" collapsed="false">
      <c r="A719" s="115" t="n">
        <v>903040.01</v>
      </c>
      <c r="B719" s="115" t="n">
        <v>904320</v>
      </c>
      <c r="C719" s="115" t="n">
        <v>20533.8399999999</v>
      </c>
    </row>
    <row r="720" customFormat="false" ht="15" hidden="false" customHeight="true" outlineLevel="0" collapsed="false">
      <c r="A720" s="114" t="n">
        <v>904320.01</v>
      </c>
      <c r="B720" s="114" t="n">
        <v>905600</v>
      </c>
      <c r="C720" s="114" t="n">
        <v>20562.4999999999</v>
      </c>
    </row>
    <row r="721" customFormat="false" ht="15" hidden="false" customHeight="true" outlineLevel="0" collapsed="false">
      <c r="A721" s="115" t="n">
        <v>905600.01</v>
      </c>
      <c r="B721" s="115" t="n">
        <v>906880</v>
      </c>
      <c r="C721" s="115" t="n">
        <v>20591.1599999999</v>
      </c>
    </row>
    <row r="722" customFormat="false" ht="15" hidden="false" customHeight="true" outlineLevel="0" collapsed="false">
      <c r="A722" s="114" t="n">
        <v>906880.01</v>
      </c>
      <c r="B722" s="114" t="n">
        <v>908160</v>
      </c>
      <c r="C722" s="114" t="n">
        <v>20619.8199999999</v>
      </c>
    </row>
    <row r="723" customFormat="false" ht="15" hidden="false" customHeight="true" outlineLevel="0" collapsed="false">
      <c r="A723" s="115" t="n">
        <v>908160.01</v>
      </c>
      <c r="B723" s="115" t="n">
        <v>909440</v>
      </c>
      <c r="C723" s="115" t="n">
        <v>20648.4799999999</v>
      </c>
    </row>
    <row r="724" customFormat="false" ht="15" hidden="false" customHeight="true" outlineLevel="0" collapsed="false">
      <c r="A724" s="114" t="n">
        <v>909440.01</v>
      </c>
      <c r="B724" s="114" t="n">
        <v>910720</v>
      </c>
      <c r="C724" s="114" t="n">
        <v>20677.1399999999</v>
      </c>
    </row>
    <row r="725" customFormat="false" ht="15" hidden="false" customHeight="true" outlineLevel="0" collapsed="false">
      <c r="A725" s="115" t="n">
        <v>910720.01</v>
      </c>
      <c r="B725" s="115" t="n">
        <v>912000</v>
      </c>
      <c r="C725" s="115" t="n">
        <v>20705.7999999999</v>
      </c>
    </row>
    <row r="726" customFormat="false" ht="15" hidden="false" customHeight="true" outlineLevel="0" collapsed="false">
      <c r="A726" s="114" t="n">
        <v>912000.01</v>
      </c>
      <c r="B726" s="114" t="n">
        <v>913280</v>
      </c>
      <c r="C726" s="114" t="n">
        <v>20734.4599999999</v>
      </c>
    </row>
    <row r="727" customFormat="false" ht="15" hidden="false" customHeight="true" outlineLevel="0" collapsed="false">
      <c r="A727" s="115" t="n">
        <v>913280.01</v>
      </c>
      <c r="B727" s="115" t="n">
        <v>914560</v>
      </c>
      <c r="C727" s="115" t="n">
        <v>20763.1199999999</v>
      </c>
    </row>
    <row r="728" customFormat="false" ht="15" hidden="false" customHeight="true" outlineLevel="0" collapsed="false">
      <c r="A728" s="114" t="n">
        <v>914560.01</v>
      </c>
      <c r="B728" s="114" t="n">
        <v>915840</v>
      </c>
      <c r="C728" s="114" t="n">
        <v>20791.7799999999</v>
      </c>
    </row>
    <row r="729" customFormat="false" ht="15" hidden="false" customHeight="true" outlineLevel="0" collapsed="false">
      <c r="A729" s="115" t="n">
        <v>915840.01</v>
      </c>
      <c r="B729" s="115" t="n">
        <v>917120</v>
      </c>
      <c r="C729" s="115" t="n">
        <v>20820.4399999999</v>
      </c>
    </row>
    <row r="730" customFormat="false" ht="15" hidden="false" customHeight="true" outlineLevel="0" collapsed="false">
      <c r="A730" s="114" t="n">
        <v>917120.01</v>
      </c>
      <c r="B730" s="114" t="n">
        <v>918400</v>
      </c>
      <c r="C730" s="114" t="n">
        <v>20849.0999999999</v>
      </c>
    </row>
    <row r="731" customFormat="false" ht="15" hidden="false" customHeight="true" outlineLevel="0" collapsed="false">
      <c r="A731" s="115" t="n">
        <v>918400.01</v>
      </c>
      <c r="B731" s="115" t="n">
        <v>919680</v>
      </c>
      <c r="C731" s="115" t="n">
        <v>20877.7599999999</v>
      </c>
    </row>
    <row r="732" customFormat="false" ht="15" hidden="false" customHeight="true" outlineLevel="0" collapsed="false">
      <c r="A732" s="114" t="n">
        <v>919680.01</v>
      </c>
      <c r="B732" s="114" t="n">
        <v>920960</v>
      </c>
      <c r="C732" s="114" t="n">
        <v>20906.4199999999</v>
      </c>
    </row>
    <row r="733" customFormat="false" ht="15" hidden="false" customHeight="true" outlineLevel="0" collapsed="false">
      <c r="A733" s="115" t="n">
        <v>920960.01</v>
      </c>
      <c r="B733" s="115" t="n">
        <v>922240</v>
      </c>
      <c r="C733" s="115" t="n">
        <v>20935.0799999999</v>
      </c>
    </row>
    <row r="734" customFormat="false" ht="15" hidden="false" customHeight="true" outlineLevel="0" collapsed="false">
      <c r="A734" s="114" t="n">
        <v>922240.01</v>
      </c>
      <c r="B734" s="114" t="n">
        <v>923520</v>
      </c>
      <c r="C734" s="114" t="n">
        <v>20963.7399999999</v>
      </c>
    </row>
    <row r="735" customFormat="false" ht="15" hidden="false" customHeight="true" outlineLevel="0" collapsed="false">
      <c r="A735" s="115" t="n">
        <v>923520.01</v>
      </c>
      <c r="B735" s="115" t="n">
        <v>924800</v>
      </c>
      <c r="C735" s="115" t="n">
        <v>20992.3999999999</v>
      </c>
    </row>
    <row r="736" customFormat="false" ht="15" hidden="false" customHeight="true" outlineLevel="0" collapsed="false">
      <c r="A736" s="114" t="n">
        <v>924800.01</v>
      </c>
      <c r="B736" s="114" t="n">
        <v>926080</v>
      </c>
      <c r="C736" s="114" t="n">
        <v>21021.0599999999</v>
      </c>
    </row>
    <row r="737" customFormat="false" ht="15" hidden="false" customHeight="true" outlineLevel="0" collapsed="false">
      <c r="A737" s="115" t="n">
        <v>926080.01</v>
      </c>
      <c r="B737" s="115" t="n">
        <v>927360</v>
      </c>
      <c r="C737" s="115" t="n">
        <v>21049.7199999999</v>
      </c>
    </row>
    <row r="738" customFormat="false" ht="15" hidden="false" customHeight="true" outlineLevel="0" collapsed="false">
      <c r="A738" s="114" t="n">
        <v>927360.01</v>
      </c>
      <c r="B738" s="114" t="n">
        <v>928640</v>
      </c>
      <c r="C738" s="114" t="n">
        <v>21078.3799999999</v>
      </c>
    </row>
    <row r="739" customFormat="false" ht="15" hidden="false" customHeight="true" outlineLevel="0" collapsed="false">
      <c r="A739" s="115" t="n">
        <v>928640.01</v>
      </c>
      <c r="B739" s="115" t="n">
        <v>929920</v>
      </c>
      <c r="C739" s="115" t="n">
        <v>21107.0399999999</v>
      </c>
    </row>
    <row r="740" customFormat="false" ht="15" hidden="false" customHeight="true" outlineLevel="0" collapsed="false">
      <c r="A740" s="114" t="n">
        <v>929920.01</v>
      </c>
      <c r="B740" s="114" t="n">
        <v>931200</v>
      </c>
      <c r="C740" s="114" t="n">
        <v>21135.6999999999</v>
      </c>
    </row>
    <row r="741" customFormat="false" ht="15" hidden="false" customHeight="true" outlineLevel="0" collapsed="false">
      <c r="A741" s="115" t="n">
        <v>931200.01</v>
      </c>
      <c r="B741" s="115" t="n">
        <v>932480</v>
      </c>
      <c r="C741" s="115" t="n">
        <v>21164.3599999999</v>
      </c>
    </row>
    <row r="742" customFormat="false" ht="15" hidden="false" customHeight="true" outlineLevel="0" collapsed="false">
      <c r="A742" s="114" t="n">
        <v>932480.01</v>
      </c>
      <c r="B742" s="114" t="n">
        <v>933760</v>
      </c>
      <c r="C742" s="114" t="n">
        <v>21193.0199999999</v>
      </c>
    </row>
    <row r="743" customFormat="false" ht="15" hidden="false" customHeight="true" outlineLevel="0" collapsed="false">
      <c r="A743" s="115" t="n">
        <v>933760.01</v>
      </c>
      <c r="B743" s="115" t="n">
        <v>935040</v>
      </c>
      <c r="C743" s="115" t="n">
        <v>21221.6799999999</v>
      </c>
    </row>
    <row r="744" customFormat="false" ht="15" hidden="false" customHeight="true" outlineLevel="0" collapsed="false">
      <c r="A744" s="114" t="n">
        <v>935040.01</v>
      </c>
      <c r="B744" s="114" t="n">
        <v>936320</v>
      </c>
      <c r="C744" s="114" t="n">
        <v>21250.3399999999</v>
      </c>
    </row>
    <row r="745" customFormat="false" ht="15" hidden="false" customHeight="true" outlineLevel="0" collapsed="false">
      <c r="A745" s="115" t="n">
        <v>936320.01</v>
      </c>
      <c r="B745" s="115" t="n">
        <v>937600</v>
      </c>
      <c r="C745" s="115" t="n">
        <v>21278.9999999999</v>
      </c>
    </row>
    <row r="746" customFormat="false" ht="15" hidden="false" customHeight="true" outlineLevel="0" collapsed="false">
      <c r="A746" s="114" t="n">
        <v>937600.01</v>
      </c>
      <c r="B746" s="114" t="n">
        <v>938880</v>
      </c>
      <c r="C746" s="114" t="n">
        <v>21307.6599999999</v>
      </c>
    </row>
    <row r="747" customFormat="false" ht="15" hidden="false" customHeight="true" outlineLevel="0" collapsed="false">
      <c r="A747" s="115" t="n">
        <v>938880.01</v>
      </c>
      <c r="B747" s="115" t="n">
        <v>940160</v>
      </c>
      <c r="C747" s="115" t="n">
        <v>21336.3199999999</v>
      </c>
    </row>
    <row r="748" customFormat="false" ht="15" hidden="false" customHeight="true" outlineLevel="0" collapsed="false">
      <c r="A748" s="114" t="n">
        <v>940160.01</v>
      </c>
      <c r="B748" s="114" t="n">
        <v>941440</v>
      </c>
      <c r="C748" s="114" t="n">
        <v>21364.9799999999</v>
      </c>
    </row>
    <row r="749" customFormat="false" ht="15" hidden="false" customHeight="true" outlineLevel="0" collapsed="false">
      <c r="A749" s="115" t="n">
        <v>941440.01</v>
      </c>
      <c r="B749" s="115" t="n">
        <v>942720</v>
      </c>
      <c r="C749" s="115" t="n">
        <v>21393.6399999999</v>
      </c>
    </row>
    <row r="750" customFormat="false" ht="15" hidden="false" customHeight="true" outlineLevel="0" collapsed="false">
      <c r="A750" s="114" t="n">
        <v>942720.01</v>
      </c>
      <c r="B750" s="114" t="n">
        <v>944000</v>
      </c>
      <c r="C750" s="114" t="n">
        <v>21422.2999999999</v>
      </c>
    </row>
    <row r="751" customFormat="false" ht="15" hidden="false" customHeight="true" outlineLevel="0" collapsed="false">
      <c r="A751" s="115" t="n">
        <v>944000.01</v>
      </c>
      <c r="B751" s="115" t="n">
        <v>945280</v>
      </c>
      <c r="C751" s="115" t="n">
        <v>21450.9599999999</v>
      </c>
    </row>
    <row r="752" customFormat="false" ht="15" hidden="false" customHeight="true" outlineLevel="0" collapsed="false">
      <c r="A752" s="114" t="n">
        <v>945280.01</v>
      </c>
      <c r="B752" s="114" t="n">
        <v>946560</v>
      </c>
      <c r="C752" s="114" t="n">
        <v>21479.6199999999</v>
      </c>
    </row>
    <row r="753" customFormat="false" ht="15" hidden="false" customHeight="true" outlineLevel="0" collapsed="false">
      <c r="A753" s="115" t="n">
        <v>946560.01</v>
      </c>
      <c r="B753" s="115" t="n">
        <v>947840</v>
      </c>
      <c r="C753" s="115" t="n">
        <v>21508.2799999999</v>
      </c>
    </row>
    <row r="754" customFormat="false" ht="15" hidden="false" customHeight="true" outlineLevel="0" collapsed="false">
      <c r="A754" s="114" t="n">
        <v>947840.01</v>
      </c>
      <c r="B754" s="114" t="n">
        <v>949120</v>
      </c>
      <c r="C754" s="114" t="n">
        <v>21536.9399999999</v>
      </c>
    </row>
    <row r="755" customFormat="false" ht="15" hidden="false" customHeight="true" outlineLevel="0" collapsed="false">
      <c r="A755" s="115" t="n">
        <v>949120.01</v>
      </c>
      <c r="B755" s="115" t="n">
        <v>950400</v>
      </c>
      <c r="C755" s="115" t="n">
        <v>21565.5999999999</v>
      </c>
    </row>
    <row r="756" customFormat="false" ht="15" hidden="false" customHeight="true" outlineLevel="0" collapsed="false">
      <c r="A756" s="114" t="n">
        <v>950400.01</v>
      </c>
      <c r="B756" s="114" t="n">
        <v>951680</v>
      </c>
      <c r="C756" s="114" t="n">
        <v>21594.2599999999</v>
      </c>
    </row>
    <row r="757" customFormat="false" ht="15" hidden="false" customHeight="true" outlineLevel="0" collapsed="false">
      <c r="A757" s="115" t="n">
        <v>951680.01</v>
      </c>
      <c r="B757" s="115" t="n">
        <v>952960</v>
      </c>
      <c r="C757" s="115" t="n">
        <v>21622.9199999999</v>
      </c>
    </row>
    <row r="758" customFormat="false" ht="15" hidden="false" customHeight="true" outlineLevel="0" collapsed="false">
      <c r="A758" s="114" t="n">
        <v>952960.01</v>
      </c>
      <c r="B758" s="114" t="n">
        <v>954240</v>
      </c>
      <c r="C758" s="114" t="n">
        <v>21651.5799999999</v>
      </c>
    </row>
    <row r="759" customFormat="false" ht="15" hidden="false" customHeight="true" outlineLevel="0" collapsed="false">
      <c r="A759" s="115" t="n">
        <v>954240.01</v>
      </c>
      <c r="B759" s="115" t="n">
        <v>955520</v>
      </c>
      <c r="C759" s="115" t="n">
        <v>21680.2399999999</v>
      </c>
    </row>
    <row r="760" customFormat="false" ht="15" hidden="false" customHeight="true" outlineLevel="0" collapsed="false">
      <c r="A760" s="114" t="n">
        <v>955520.01</v>
      </c>
      <c r="B760" s="114" t="n">
        <v>956800</v>
      </c>
      <c r="C760" s="114" t="n">
        <v>21708.8999999999</v>
      </c>
    </row>
    <row r="761" customFormat="false" ht="15" hidden="false" customHeight="true" outlineLevel="0" collapsed="false">
      <c r="A761" s="115" t="n">
        <v>956800.01</v>
      </c>
      <c r="B761" s="115" t="n">
        <v>958080</v>
      </c>
      <c r="C761" s="115" t="n">
        <v>21737.5599999999</v>
      </c>
    </row>
    <row r="762" customFormat="false" ht="15" hidden="false" customHeight="true" outlineLevel="0" collapsed="false">
      <c r="A762" s="114" t="n">
        <v>958080.01</v>
      </c>
      <c r="B762" s="114" t="n">
        <v>959360</v>
      </c>
      <c r="C762" s="114" t="n">
        <v>21766.2199999999</v>
      </c>
    </row>
    <row r="763" customFormat="false" ht="15" hidden="false" customHeight="true" outlineLevel="0" collapsed="false">
      <c r="A763" s="115" t="n">
        <v>959360.01</v>
      </c>
      <c r="B763" s="115" t="n">
        <v>960640</v>
      </c>
      <c r="C763" s="115" t="n">
        <v>21794.8799999999</v>
      </c>
    </row>
    <row r="764" customFormat="false" ht="15" hidden="false" customHeight="true" outlineLevel="0" collapsed="false">
      <c r="A764" s="114" t="n">
        <v>960640.01</v>
      </c>
      <c r="B764" s="114" t="n">
        <v>961920</v>
      </c>
      <c r="C764" s="114" t="n">
        <v>21823.5399999999</v>
      </c>
    </row>
    <row r="765" customFormat="false" ht="15" hidden="false" customHeight="true" outlineLevel="0" collapsed="false">
      <c r="A765" s="115" t="n">
        <v>961920.01</v>
      </c>
      <c r="B765" s="115" t="n">
        <v>963200</v>
      </c>
      <c r="C765" s="115" t="n">
        <v>21852.1999999999</v>
      </c>
    </row>
    <row r="766" customFormat="false" ht="15" hidden="false" customHeight="true" outlineLevel="0" collapsed="false">
      <c r="A766" s="114" t="n">
        <v>963200.01</v>
      </c>
      <c r="B766" s="114" t="n">
        <v>964480</v>
      </c>
      <c r="C766" s="114" t="n">
        <v>21880.8599999999</v>
      </c>
    </row>
    <row r="767" customFormat="false" ht="15" hidden="false" customHeight="true" outlineLevel="0" collapsed="false">
      <c r="A767" s="115" t="n">
        <v>964480.01</v>
      </c>
      <c r="B767" s="115" t="n">
        <v>965760</v>
      </c>
      <c r="C767" s="115" t="n">
        <v>21909.5199999999</v>
      </c>
    </row>
    <row r="768" customFormat="false" ht="15" hidden="false" customHeight="true" outlineLevel="0" collapsed="false">
      <c r="A768" s="114" t="n">
        <v>965760.01</v>
      </c>
      <c r="B768" s="114" t="n">
        <v>967040</v>
      </c>
      <c r="C768" s="114" t="n">
        <v>21938.1799999999</v>
      </c>
    </row>
    <row r="769" customFormat="false" ht="15" hidden="false" customHeight="true" outlineLevel="0" collapsed="false">
      <c r="A769" s="115" t="n">
        <v>967040.01</v>
      </c>
      <c r="B769" s="115" t="n">
        <v>968320</v>
      </c>
      <c r="C769" s="115" t="n">
        <v>21966.8399999999</v>
      </c>
    </row>
    <row r="770" customFormat="false" ht="15" hidden="false" customHeight="true" outlineLevel="0" collapsed="false">
      <c r="A770" s="114" t="n">
        <v>968320.01</v>
      </c>
      <c r="B770" s="114" t="n">
        <v>969600</v>
      </c>
      <c r="C770" s="114" t="n">
        <v>21995.4999999999</v>
      </c>
    </row>
    <row r="771" customFormat="false" ht="15" hidden="false" customHeight="true" outlineLevel="0" collapsed="false">
      <c r="A771" s="115" t="n">
        <v>969600.01</v>
      </c>
      <c r="B771" s="115" t="n">
        <v>970880</v>
      </c>
      <c r="C771" s="115" t="n">
        <v>22024.1599999999</v>
      </c>
    </row>
    <row r="772" customFormat="false" ht="15" hidden="false" customHeight="true" outlineLevel="0" collapsed="false">
      <c r="A772" s="114" t="n">
        <v>970880.01</v>
      </c>
      <c r="B772" s="114" t="n">
        <v>972160</v>
      </c>
      <c r="C772" s="114" t="n">
        <v>22052.8199999999</v>
      </c>
    </row>
    <row r="773" customFormat="false" ht="15" hidden="false" customHeight="true" outlineLevel="0" collapsed="false">
      <c r="A773" s="115" t="n">
        <v>972160.01</v>
      </c>
      <c r="B773" s="115" t="n">
        <v>973440</v>
      </c>
      <c r="C773" s="115" t="n">
        <v>22081.4799999999</v>
      </c>
    </row>
    <row r="774" customFormat="false" ht="15" hidden="false" customHeight="true" outlineLevel="0" collapsed="false">
      <c r="A774" s="114" t="n">
        <v>973440.01</v>
      </c>
      <c r="B774" s="114" t="n">
        <v>974720</v>
      </c>
      <c r="C774" s="114" t="n">
        <v>22110.1399999999</v>
      </c>
    </row>
    <row r="775" customFormat="false" ht="15" hidden="false" customHeight="true" outlineLevel="0" collapsed="false">
      <c r="A775" s="115" t="n">
        <v>974720.01</v>
      </c>
      <c r="B775" s="115" t="n">
        <v>976000</v>
      </c>
      <c r="C775" s="115" t="n">
        <v>22138.7999999999</v>
      </c>
    </row>
    <row r="776" customFormat="false" ht="15" hidden="false" customHeight="true" outlineLevel="0" collapsed="false">
      <c r="A776" s="114" t="n">
        <v>976000.01</v>
      </c>
      <c r="B776" s="114" t="n">
        <v>977280</v>
      </c>
      <c r="C776" s="114" t="n">
        <v>22167.4599999999</v>
      </c>
    </row>
    <row r="777" customFormat="false" ht="15" hidden="false" customHeight="true" outlineLevel="0" collapsed="false">
      <c r="A777" s="115" t="n">
        <v>977280.01</v>
      </c>
      <c r="B777" s="115" t="n">
        <v>978560</v>
      </c>
      <c r="C777" s="115" t="n">
        <v>22196.1199999999</v>
      </c>
    </row>
    <row r="778" customFormat="false" ht="15" hidden="false" customHeight="true" outlineLevel="0" collapsed="false">
      <c r="A778" s="114" t="n">
        <v>978560.01</v>
      </c>
      <c r="B778" s="114" t="n">
        <v>979840</v>
      </c>
      <c r="C778" s="114" t="n">
        <v>22224.7799999999</v>
      </c>
    </row>
    <row r="779" customFormat="false" ht="15" hidden="false" customHeight="true" outlineLevel="0" collapsed="false">
      <c r="A779" s="115" t="n">
        <v>979840.01</v>
      </c>
      <c r="B779" s="115" t="n">
        <v>981120</v>
      </c>
      <c r="C779" s="115" t="n">
        <v>22253.4399999999</v>
      </c>
    </row>
    <row r="780" customFormat="false" ht="15" hidden="false" customHeight="true" outlineLevel="0" collapsed="false">
      <c r="A780" s="114" t="n">
        <v>981120.01</v>
      </c>
      <c r="B780" s="114" t="n">
        <v>982400</v>
      </c>
      <c r="C780" s="114" t="n">
        <v>22282.0999999999</v>
      </c>
    </row>
    <row r="781" customFormat="false" ht="15" hidden="false" customHeight="true" outlineLevel="0" collapsed="false">
      <c r="A781" s="115" t="n">
        <v>982400.01</v>
      </c>
      <c r="B781" s="115" t="n">
        <v>983680</v>
      </c>
      <c r="C781" s="115" t="n">
        <v>22310.7599999999</v>
      </c>
    </row>
    <row r="782" customFormat="false" ht="15" hidden="false" customHeight="true" outlineLevel="0" collapsed="false">
      <c r="A782" s="114" t="n">
        <v>983680.01</v>
      </c>
      <c r="B782" s="114" t="n">
        <v>984960</v>
      </c>
      <c r="C782" s="114" t="n">
        <v>22339.4199999999</v>
      </c>
    </row>
    <row r="783" customFormat="false" ht="15" hidden="false" customHeight="true" outlineLevel="0" collapsed="false">
      <c r="A783" s="115" t="n">
        <v>984960.01</v>
      </c>
      <c r="B783" s="115" t="n">
        <v>986240</v>
      </c>
      <c r="C783" s="115" t="n">
        <v>22368.0799999999</v>
      </c>
    </row>
    <row r="784" customFormat="false" ht="15" hidden="false" customHeight="true" outlineLevel="0" collapsed="false">
      <c r="A784" s="114" t="n">
        <v>986240.01</v>
      </c>
      <c r="B784" s="114" t="n">
        <v>987520</v>
      </c>
      <c r="C784" s="114" t="n">
        <v>22396.7399999999</v>
      </c>
    </row>
    <row r="785" customFormat="false" ht="15" hidden="false" customHeight="true" outlineLevel="0" collapsed="false">
      <c r="A785" s="115" t="n">
        <v>987520.01</v>
      </c>
      <c r="B785" s="115" t="n">
        <v>988800</v>
      </c>
      <c r="C785" s="115" t="n">
        <v>22425.3999999999</v>
      </c>
    </row>
    <row r="786" customFormat="false" ht="15" hidden="false" customHeight="true" outlineLevel="0" collapsed="false">
      <c r="A786" s="114" t="n">
        <v>988800.01</v>
      </c>
      <c r="B786" s="114" t="n">
        <v>990080</v>
      </c>
      <c r="C786" s="114" t="n">
        <v>22454.0599999999</v>
      </c>
    </row>
    <row r="787" customFormat="false" ht="15" hidden="false" customHeight="true" outlineLevel="0" collapsed="false">
      <c r="A787" s="115" t="n">
        <v>990080.01</v>
      </c>
      <c r="B787" s="115" t="n">
        <v>991360</v>
      </c>
      <c r="C787" s="115" t="n">
        <v>22482.7199999999</v>
      </c>
    </row>
    <row r="788" customFormat="false" ht="15" hidden="false" customHeight="true" outlineLevel="0" collapsed="false">
      <c r="A788" s="114" t="n">
        <v>991360.01</v>
      </c>
      <c r="B788" s="114" t="n">
        <v>992640</v>
      </c>
      <c r="C788" s="114" t="n">
        <v>22511.3799999999</v>
      </c>
    </row>
    <row r="789" customFormat="false" ht="15" hidden="false" customHeight="true" outlineLevel="0" collapsed="false">
      <c r="A789" s="115" t="n">
        <v>992640.01</v>
      </c>
      <c r="B789" s="115" t="n">
        <v>993920</v>
      </c>
      <c r="C789" s="115" t="n">
        <v>22540.0399999999</v>
      </c>
    </row>
    <row r="790" customFormat="false" ht="15" hidden="false" customHeight="true" outlineLevel="0" collapsed="false">
      <c r="A790" s="114" t="n">
        <v>993920.01</v>
      </c>
      <c r="B790" s="114" t="n">
        <v>995200</v>
      </c>
      <c r="C790" s="114" t="n">
        <v>22568.6999999999</v>
      </c>
    </row>
    <row r="791" customFormat="false" ht="15" hidden="false" customHeight="true" outlineLevel="0" collapsed="false">
      <c r="A791" s="115" t="n">
        <v>995200.01</v>
      </c>
      <c r="B791" s="115" t="n">
        <v>996480</v>
      </c>
      <c r="C791" s="115" t="n">
        <v>22597.3599999999</v>
      </c>
    </row>
    <row r="792" customFormat="false" ht="15" hidden="false" customHeight="true" outlineLevel="0" collapsed="false">
      <c r="A792" s="114" t="n">
        <v>996480.01</v>
      </c>
      <c r="B792" s="114" t="n">
        <v>997760</v>
      </c>
      <c r="C792" s="114" t="n">
        <v>22626.0199999999</v>
      </c>
    </row>
    <row r="793" customFormat="false" ht="15" hidden="false" customHeight="true" outlineLevel="0" collapsed="false">
      <c r="A793" s="115" t="n">
        <v>997760.01</v>
      </c>
      <c r="B793" s="115" t="n">
        <v>999040</v>
      </c>
      <c r="C793" s="115" t="n">
        <v>22654.6799999999</v>
      </c>
    </row>
    <row r="794" customFormat="false" ht="15" hidden="false" customHeight="true" outlineLevel="0" collapsed="false">
      <c r="A794" s="114" t="n">
        <v>999040.01</v>
      </c>
      <c r="B794" s="114" t="n">
        <v>1000320</v>
      </c>
      <c r="C794" s="114" t="n">
        <v>22683.3399999999</v>
      </c>
    </row>
    <row r="795" customFormat="false" ht="15" hidden="false" customHeight="true" outlineLevel="0" collapsed="false">
      <c r="A795" s="115" t="n">
        <v>1000320.01</v>
      </c>
      <c r="B795" s="115" t="n">
        <v>1001600</v>
      </c>
      <c r="C795" s="115" t="n">
        <v>22711.9999999999</v>
      </c>
    </row>
    <row r="796" customFormat="false" ht="15" hidden="false" customHeight="true" outlineLevel="0" collapsed="false">
      <c r="A796" s="114" t="n">
        <v>1001600.01</v>
      </c>
      <c r="B796" s="114" t="n">
        <v>1002880</v>
      </c>
      <c r="C796" s="114" t="n">
        <v>22740.6599999999</v>
      </c>
    </row>
    <row r="797" customFormat="false" ht="15" hidden="false" customHeight="true" outlineLevel="0" collapsed="false">
      <c r="A797" s="115" t="n">
        <v>1002880.01</v>
      </c>
      <c r="B797" s="115" t="n">
        <v>1004160</v>
      </c>
      <c r="C797" s="115" t="n">
        <v>22769.3199999999</v>
      </c>
    </row>
    <row r="798" customFormat="false" ht="15" hidden="false" customHeight="true" outlineLevel="0" collapsed="false">
      <c r="A798" s="114" t="n">
        <v>1004160.01</v>
      </c>
      <c r="B798" s="114" t="n">
        <v>1005440</v>
      </c>
      <c r="C798" s="114" t="n">
        <v>22797.9799999999</v>
      </c>
    </row>
    <row r="799" customFormat="false" ht="15" hidden="false" customHeight="true" outlineLevel="0" collapsed="false">
      <c r="A799" s="115" t="n">
        <v>1005440.01</v>
      </c>
      <c r="B799" s="115" t="n">
        <v>1006720</v>
      </c>
      <c r="C799" s="115" t="n">
        <v>22826.6399999999</v>
      </c>
    </row>
    <row r="800" customFormat="false" ht="15" hidden="false" customHeight="true" outlineLevel="0" collapsed="false">
      <c r="A800" s="114" t="n">
        <v>1006720.01</v>
      </c>
      <c r="B800" s="114" t="n">
        <v>1008000</v>
      </c>
      <c r="C800" s="114" t="n">
        <v>22855.2999999999</v>
      </c>
    </row>
    <row r="801" customFormat="false" ht="15" hidden="false" customHeight="true" outlineLevel="0" collapsed="false">
      <c r="A801" s="115" t="n">
        <v>1008000.01</v>
      </c>
      <c r="B801" s="115" t="n">
        <v>1009280</v>
      </c>
      <c r="C801" s="115" t="n">
        <v>22883.9599999999</v>
      </c>
    </row>
    <row r="802" customFormat="false" ht="15" hidden="false" customHeight="true" outlineLevel="0" collapsed="false">
      <c r="A802" s="114" t="n">
        <v>1009280.01</v>
      </c>
      <c r="B802" s="114" t="n">
        <v>1010560</v>
      </c>
      <c r="C802" s="114" t="n">
        <v>22912.6199999999</v>
      </c>
    </row>
    <row r="803" customFormat="false" ht="15" hidden="false" customHeight="true" outlineLevel="0" collapsed="false">
      <c r="A803" s="115" t="n">
        <v>1010560.01</v>
      </c>
      <c r="B803" s="115" t="n">
        <v>1011840</v>
      </c>
      <c r="C803" s="115" t="n">
        <v>22941.2799999999</v>
      </c>
    </row>
    <row r="804" customFormat="false" ht="15" hidden="false" customHeight="true" outlineLevel="0" collapsed="false">
      <c r="A804" s="114" t="n">
        <v>1011840.01</v>
      </c>
      <c r="B804" s="114" t="n">
        <v>1013120</v>
      </c>
      <c r="C804" s="114" t="n">
        <v>22969.9399999999</v>
      </c>
    </row>
    <row r="805" customFormat="false" ht="15" hidden="false" customHeight="true" outlineLevel="0" collapsed="false">
      <c r="A805" s="115" t="n">
        <v>1013120.01</v>
      </c>
      <c r="B805" s="115" t="n">
        <v>1014400</v>
      </c>
      <c r="C805" s="115" t="n">
        <v>22998.5999999999</v>
      </c>
    </row>
    <row r="806" customFormat="false" ht="15" hidden="false" customHeight="true" outlineLevel="0" collapsed="false">
      <c r="A806" s="114" t="n">
        <v>1014400.01</v>
      </c>
      <c r="B806" s="114" t="n">
        <v>1015680</v>
      </c>
      <c r="C806" s="114" t="n">
        <v>23027.2599999999</v>
      </c>
    </row>
    <row r="807" customFormat="false" ht="15" hidden="false" customHeight="true" outlineLevel="0" collapsed="false">
      <c r="A807" s="115" t="n">
        <v>1015680.01</v>
      </c>
      <c r="B807" s="115" t="n">
        <v>1016960</v>
      </c>
      <c r="C807" s="115" t="n">
        <v>23055.9199999999</v>
      </c>
    </row>
    <row r="808" customFormat="false" ht="15" hidden="false" customHeight="true" outlineLevel="0" collapsed="false">
      <c r="A808" s="114" t="n">
        <v>1016960.01</v>
      </c>
      <c r="B808" s="114" t="n">
        <v>1018240</v>
      </c>
      <c r="C808" s="114" t="n">
        <v>23084.5799999999</v>
      </c>
    </row>
    <row r="809" customFormat="false" ht="15" hidden="false" customHeight="true" outlineLevel="0" collapsed="false">
      <c r="A809" s="115" t="n">
        <v>1018240.01</v>
      </c>
      <c r="B809" s="115" t="n">
        <v>1019520</v>
      </c>
      <c r="C809" s="115" t="n">
        <v>23113.2399999999</v>
      </c>
    </row>
    <row r="810" customFormat="false" ht="15" hidden="false" customHeight="true" outlineLevel="0" collapsed="false">
      <c r="A810" s="114" t="n">
        <v>1019520.01</v>
      </c>
      <c r="B810" s="114" t="n">
        <v>1020800</v>
      </c>
      <c r="C810" s="114" t="n">
        <v>23141.8999999999</v>
      </c>
    </row>
    <row r="811" customFormat="false" ht="15" hidden="false" customHeight="true" outlineLevel="0" collapsed="false">
      <c r="A811" s="115" t="n">
        <v>1020800.01</v>
      </c>
      <c r="B811" s="115" t="n">
        <v>1022080</v>
      </c>
      <c r="C811" s="115" t="n">
        <v>23170.5599999999</v>
      </c>
    </row>
    <row r="812" customFormat="false" ht="15" hidden="false" customHeight="true" outlineLevel="0" collapsed="false">
      <c r="A812" s="114" t="n">
        <v>1022080.01</v>
      </c>
      <c r="B812" s="114" t="n">
        <v>1023360</v>
      </c>
      <c r="C812" s="114" t="n">
        <v>23199.2199999999</v>
      </c>
    </row>
    <row r="813" customFormat="false" ht="15" hidden="false" customHeight="true" outlineLevel="0" collapsed="false">
      <c r="A813" s="115" t="n">
        <v>1023360.01</v>
      </c>
      <c r="B813" s="115" t="n">
        <v>1024640</v>
      </c>
      <c r="C813" s="115" t="n">
        <v>23227.8799999999</v>
      </c>
    </row>
    <row r="814" customFormat="false" ht="15" hidden="false" customHeight="true" outlineLevel="0" collapsed="false">
      <c r="A814" s="114" t="n">
        <v>1024640.01</v>
      </c>
      <c r="B814" s="114" t="n">
        <v>1025920</v>
      </c>
      <c r="C814" s="114" t="n">
        <v>23256.5399999999</v>
      </c>
    </row>
    <row r="815" customFormat="false" ht="15" hidden="false" customHeight="true" outlineLevel="0" collapsed="false">
      <c r="A815" s="115" t="n">
        <v>1025920.01</v>
      </c>
      <c r="B815" s="115" t="n">
        <v>1027200</v>
      </c>
      <c r="C815" s="115" t="n">
        <v>23285.1999999999</v>
      </c>
    </row>
    <row r="816" customFormat="false" ht="15" hidden="false" customHeight="true" outlineLevel="0" collapsed="false">
      <c r="A816" s="114" t="n">
        <v>1027200.01</v>
      </c>
      <c r="B816" s="114" t="n">
        <v>1028480</v>
      </c>
      <c r="C816" s="114" t="n">
        <v>23313.8599999999</v>
      </c>
    </row>
    <row r="817" customFormat="false" ht="15" hidden="false" customHeight="true" outlineLevel="0" collapsed="false">
      <c r="A817" s="115" t="n">
        <v>1028480.01</v>
      </c>
      <c r="B817" s="115" t="n">
        <v>1029760</v>
      </c>
      <c r="C817" s="115" t="n">
        <v>23342.5199999999</v>
      </c>
    </row>
    <row r="818" customFormat="false" ht="15" hidden="false" customHeight="true" outlineLevel="0" collapsed="false">
      <c r="A818" s="114" t="n">
        <v>1029760.01</v>
      </c>
      <c r="B818" s="114" t="n">
        <v>1031040</v>
      </c>
      <c r="C818" s="114" t="n">
        <v>23371.1799999999</v>
      </c>
    </row>
    <row r="819" customFormat="false" ht="15" hidden="false" customHeight="true" outlineLevel="0" collapsed="false">
      <c r="A819" s="115" t="n">
        <v>1031040.01</v>
      </c>
      <c r="B819" s="115" t="n">
        <v>1032320</v>
      </c>
      <c r="C819" s="115" t="n">
        <v>23399.8399999999</v>
      </c>
    </row>
    <row r="820" customFormat="false" ht="15" hidden="false" customHeight="true" outlineLevel="0" collapsed="false">
      <c r="A820" s="114" t="n">
        <v>1032320.01</v>
      </c>
      <c r="B820" s="114" t="n">
        <v>1033600</v>
      </c>
      <c r="C820" s="114" t="n">
        <v>23428.4999999999</v>
      </c>
    </row>
    <row r="821" customFormat="false" ht="15" hidden="false" customHeight="true" outlineLevel="0" collapsed="false">
      <c r="A821" s="115" t="n">
        <v>1033600.01</v>
      </c>
      <c r="B821" s="115" t="n">
        <v>1034880</v>
      </c>
      <c r="C821" s="115" t="n">
        <v>23457.1599999999</v>
      </c>
    </row>
    <row r="822" customFormat="false" ht="15" hidden="false" customHeight="true" outlineLevel="0" collapsed="false">
      <c r="A822" s="114" t="n">
        <v>1034880.01</v>
      </c>
      <c r="B822" s="114" t="n">
        <v>1036160</v>
      </c>
      <c r="C822" s="114" t="n">
        <v>23485.8199999999</v>
      </c>
    </row>
    <row r="823" customFormat="false" ht="15" hidden="false" customHeight="true" outlineLevel="0" collapsed="false">
      <c r="A823" s="115" t="n">
        <v>1036160.01</v>
      </c>
      <c r="B823" s="115" t="n">
        <v>1037440</v>
      </c>
      <c r="C823" s="115" t="n">
        <v>23514.4799999999</v>
      </c>
    </row>
    <row r="824" customFormat="false" ht="15" hidden="false" customHeight="true" outlineLevel="0" collapsed="false">
      <c r="A824" s="114" t="n">
        <v>1037440.01</v>
      </c>
      <c r="B824" s="114" t="n">
        <v>1038720</v>
      </c>
      <c r="C824" s="114" t="n">
        <v>23543.1399999999</v>
      </c>
    </row>
    <row r="825" customFormat="false" ht="15" hidden="false" customHeight="true" outlineLevel="0" collapsed="false">
      <c r="A825" s="115" t="n">
        <v>1038720.01</v>
      </c>
      <c r="B825" s="115" t="n">
        <v>1040000</v>
      </c>
      <c r="C825" s="115" t="n">
        <v>23571.7999999999</v>
      </c>
    </row>
    <row r="826" customFormat="false" ht="15" hidden="false" customHeight="true" outlineLevel="0" collapsed="false">
      <c r="A826" s="114" t="n">
        <v>1040000.01</v>
      </c>
      <c r="B826" s="114" t="n">
        <v>1041280</v>
      </c>
      <c r="C826" s="114" t="n">
        <v>23600.4599999999</v>
      </c>
    </row>
    <row r="827" customFormat="false" ht="15" hidden="false" customHeight="true" outlineLevel="0" collapsed="false">
      <c r="A827" s="115" t="n">
        <v>1041280.01</v>
      </c>
      <c r="B827" s="115" t="n">
        <v>1042560</v>
      </c>
      <c r="C827" s="115" t="n">
        <v>23629.1199999999</v>
      </c>
    </row>
    <row r="828" customFormat="false" ht="15" hidden="false" customHeight="true" outlineLevel="0" collapsed="false">
      <c r="A828" s="114" t="n">
        <v>1042560.01</v>
      </c>
      <c r="B828" s="114" t="n">
        <v>1043840</v>
      </c>
      <c r="C828" s="114" t="n">
        <v>23657.7799999999</v>
      </c>
    </row>
    <row r="829" customFormat="false" ht="15" hidden="false" customHeight="true" outlineLevel="0" collapsed="false">
      <c r="A829" s="115" t="n">
        <v>1043840.01</v>
      </c>
      <c r="B829" s="115" t="n">
        <v>1045120</v>
      </c>
      <c r="C829" s="115" t="n">
        <v>23686.4399999999</v>
      </c>
    </row>
    <row r="830" customFormat="false" ht="15" hidden="false" customHeight="true" outlineLevel="0" collapsed="false">
      <c r="A830" s="114" t="n">
        <v>1045120.01</v>
      </c>
      <c r="B830" s="114" t="n">
        <v>1046400</v>
      </c>
      <c r="C830" s="114" t="n">
        <v>23715.0999999999</v>
      </c>
    </row>
    <row r="831" customFormat="false" ht="15" hidden="false" customHeight="true" outlineLevel="0" collapsed="false">
      <c r="A831" s="115" t="n">
        <v>1046400.01</v>
      </c>
      <c r="B831" s="115" t="n">
        <v>1047680</v>
      </c>
      <c r="C831" s="115" t="n">
        <v>23743.7599999999</v>
      </c>
    </row>
    <row r="832" customFormat="false" ht="15" hidden="false" customHeight="true" outlineLevel="0" collapsed="false">
      <c r="A832" s="114" t="n">
        <v>1047680.01</v>
      </c>
      <c r="B832" s="114" t="n">
        <v>1048960</v>
      </c>
      <c r="C832" s="114" t="n">
        <v>23772.4199999999</v>
      </c>
    </row>
    <row r="833" customFormat="false" ht="15" hidden="false" customHeight="true" outlineLevel="0" collapsed="false">
      <c r="A833" s="115" t="n">
        <v>1048960.01</v>
      </c>
      <c r="B833" s="115" t="n">
        <v>1050240</v>
      </c>
      <c r="C833" s="115" t="n">
        <v>23801.0799999999</v>
      </c>
    </row>
    <row r="834" customFormat="false" ht="15" hidden="false" customHeight="true" outlineLevel="0" collapsed="false">
      <c r="A834" s="114" t="n">
        <v>1050240.01</v>
      </c>
      <c r="B834" s="114" t="n">
        <v>1051520</v>
      </c>
      <c r="C834" s="114" t="n">
        <v>23829.7399999999</v>
      </c>
    </row>
    <row r="835" customFormat="false" ht="15" hidden="false" customHeight="true" outlineLevel="0" collapsed="false">
      <c r="A835" s="115" t="n">
        <v>1051520.01</v>
      </c>
      <c r="B835" s="115" t="n">
        <v>1052800</v>
      </c>
      <c r="C835" s="115" t="n">
        <v>23858.3999999999</v>
      </c>
    </row>
    <row r="836" customFormat="false" ht="15" hidden="false" customHeight="true" outlineLevel="0" collapsed="false">
      <c r="A836" s="114" t="n">
        <v>1052800.01</v>
      </c>
      <c r="B836" s="114" t="n">
        <v>1054080</v>
      </c>
      <c r="C836" s="114" t="n">
        <v>23887.0599999999</v>
      </c>
    </row>
    <row r="837" customFormat="false" ht="15" hidden="false" customHeight="true" outlineLevel="0" collapsed="false">
      <c r="A837" s="115" t="n">
        <v>1054080.01</v>
      </c>
      <c r="B837" s="115" t="n">
        <v>1055360</v>
      </c>
      <c r="C837" s="115" t="n">
        <v>23915.7199999999</v>
      </c>
    </row>
    <row r="838" customFormat="false" ht="15" hidden="false" customHeight="true" outlineLevel="0" collapsed="false">
      <c r="A838" s="114" t="n">
        <v>1055360.01</v>
      </c>
      <c r="B838" s="114" t="n">
        <v>1056640</v>
      </c>
      <c r="C838" s="114" t="n">
        <v>23944.3799999999</v>
      </c>
    </row>
    <row r="839" customFormat="false" ht="15" hidden="false" customHeight="true" outlineLevel="0" collapsed="false">
      <c r="A839" s="115" t="n">
        <v>1056640.01</v>
      </c>
      <c r="B839" s="115" t="n">
        <v>1057920</v>
      </c>
      <c r="C839" s="115" t="n">
        <v>23973.0399999999</v>
      </c>
    </row>
    <row r="840" customFormat="false" ht="15" hidden="false" customHeight="true" outlineLevel="0" collapsed="false">
      <c r="A840" s="114" t="n">
        <v>1057920.01</v>
      </c>
      <c r="B840" s="114" t="n">
        <v>1059200</v>
      </c>
      <c r="C840" s="114" t="n">
        <v>24001.6999999999</v>
      </c>
    </row>
    <row r="841" customFormat="false" ht="15" hidden="false" customHeight="true" outlineLevel="0" collapsed="false">
      <c r="A841" s="115" t="n">
        <v>1059200.01</v>
      </c>
      <c r="B841" s="115" t="n">
        <v>1060480</v>
      </c>
      <c r="C841" s="115" t="n">
        <v>24030.3599999999</v>
      </c>
    </row>
    <row r="842" customFormat="false" ht="15" hidden="false" customHeight="true" outlineLevel="0" collapsed="false">
      <c r="A842" s="114" t="n">
        <v>1060480.01</v>
      </c>
      <c r="B842" s="114" t="n">
        <v>1061760</v>
      </c>
      <c r="C842" s="114" t="n">
        <v>24059.0199999999</v>
      </c>
    </row>
    <row r="843" customFormat="false" ht="15" hidden="false" customHeight="true" outlineLevel="0" collapsed="false">
      <c r="A843" s="115" t="n">
        <v>1061760.01</v>
      </c>
      <c r="B843" s="115" t="n">
        <v>1063040</v>
      </c>
      <c r="C843" s="115" t="n">
        <v>24087.6799999999</v>
      </c>
    </row>
    <row r="844" customFormat="false" ht="15" hidden="false" customHeight="true" outlineLevel="0" collapsed="false">
      <c r="A844" s="114" t="n">
        <v>1063040.01</v>
      </c>
      <c r="B844" s="114" t="n">
        <v>1064320</v>
      </c>
      <c r="C844" s="114" t="n">
        <v>24116.3399999999</v>
      </c>
    </row>
    <row r="845" customFormat="false" ht="15" hidden="false" customHeight="true" outlineLevel="0" collapsed="false">
      <c r="A845" s="115" t="n">
        <v>1064320.01</v>
      </c>
      <c r="B845" s="115" t="n">
        <v>1065600</v>
      </c>
      <c r="C845" s="115" t="n">
        <v>24144.9999999999</v>
      </c>
    </row>
    <row r="846" customFormat="false" ht="15" hidden="false" customHeight="true" outlineLevel="0" collapsed="false">
      <c r="A846" s="114" t="n">
        <v>1065600.01</v>
      </c>
      <c r="B846" s="114" t="n">
        <v>1066880</v>
      </c>
      <c r="C846" s="114" t="n">
        <v>24173.6599999999</v>
      </c>
    </row>
    <row r="847" customFormat="false" ht="15" hidden="false" customHeight="true" outlineLevel="0" collapsed="false">
      <c r="A847" s="115" t="n">
        <v>1066880.01</v>
      </c>
      <c r="B847" s="115" t="n">
        <v>1068160</v>
      </c>
      <c r="C847" s="115" t="n">
        <v>24202.3199999999</v>
      </c>
    </row>
    <row r="848" customFormat="false" ht="15" hidden="false" customHeight="true" outlineLevel="0" collapsed="false">
      <c r="A848" s="114" t="n">
        <v>1068160.01</v>
      </c>
      <c r="B848" s="114" t="n">
        <v>1069440</v>
      </c>
      <c r="C848" s="114" t="n">
        <v>24230.9799999999</v>
      </c>
    </row>
    <row r="849" customFormat="false" ht="15" hidden="false" customHeight="true" outlineLevel="0" collapsed="false">
      <c r="A849" s="115" t="n">
        <v>1069440.01</v>
      </c>
      <c r="B849" s="115" t="n">
        <v>1070720</v>
      </c>
      <c r="C849" s="115" t="n">
        <v>24259.6399999999</v>
      </c>
    </row>
    <row r="850" customFormat="false" ht="15" hidden="false" customHeight="true" outlineLevel="0" collapsed="false">
      <c r="A850" s="114" t="n">
        <v>1070720.01</v>
      </c>
      <c r="B850" s="114" t="n">
        <v>1072000</v>
      </c>
      <c r="C850" s="114" t="n">
        <v>24288.2999999999</v>
      </c>
    </row>
    <row r="851" customFormat="false" ht="15" hidden="false" customHeight="true" outlineLevel="0" collapsed="false">
      <c r="A851" s="115" t="n">
        <v>1072000.01</v>
      </c>
      <c r="B851" s="115" t="n">
        <v>1073280</v>
      </c>
      <c r="C851" s="115" t="n">
        <v>24316.9599999999</v>
      </c>
    </row>
    <row r="852" customFormat="false" ht="15" hidden="false" customHeight="true" outlineLevel="0" collapsed="false">
      <c r="A852" s="114" t="n">
        <v>1073280.01</v>
      </c>
      <c r="B852" s="114" t="n">
        <v>1074560</v>
      </c>
      <c r="C852" s="114" t="n">
        <v>24345.6199999999</v>
      </c>
    </row>
    <row r="853" customFormat="false" ht="15" hidden="false" customHeight="true" outlineLevel="0" collapsed="false">
      <c r="A853" s="115" t="n">
        <v>1074560.01</v>
      </c>
      <c r="B853" s="115" t="n">
        <v>1075840</v>
      </c>
      <c r="C853" s="115" t="n">
        <v>24374.2799999999</v>
      </c>
    </row>
    <row r="854" customFormat="false" ht="15" hidden="false" customHeight="true" outlineLevel="0" collapsed="false">
      <c r="A854" s="114" t="n">
        <v>1075840.01</v>
      </c>
      <c r="B854" s="114" t="n">
        <v>1077120</v>
      </c>
      <c r="C854" s="114" t="n">
        <v>24402.9399999999</v>
      </c>
    </row>
    <row r="855" customFormat="false" ht="15" hidden="false" customHeight="true" outlineLevel="0" collapsed="false">
      <c r="A855" s="115" t="n">
        <v>1077120.01</v>
      </c>
      <c r="B855" s="115" t="n">
        <v>1078400</v>
      </c>
      <c r="C855" s="115" t="n">
        <v>24431.5999999999</v>
      </c>
    </row>
    <row r="856" customFormat="false" ht="15" hidden="false" customHeight="true" outlineLevel="0" collapsed="false">
      <c r="A856" s="114" t="n">
        <v>1078400.01</v>
      </c>
      <c r="B856" s="114" t="n">
        <v>1079680</v>
      </c>
      <c r="C856" s="114" t="n">
        <v>24460.2599999999</v>
      </c>
    </row>
    <row r="857" customFormat="false" ht="15" hidden="false" customHeight="true" outlineLevel="0" collapsed="false">
      <c r="A857" s="115" t="n">
        <v>1079680.01</v>
      </c>
      <c r="B857" s="115" t="n">
        <v>1080960</v>
      </c>
      <c r="C857" s="115" t="n">
        <v>24488.9199999999</v>
      </c>
    </row>
    <row r="858" customFormat="false" ht="15" hidden="false" customHeight="true" outlineLevel="0" collapsed="false">
      <c r="A858" s="114" t="n">
        <v>1080960.01</v>
      </c>
      <c r="B858" s="114" t="n">
        <v>1082240</v>
      </c>
      <c r="C858" s="114" t="n">
        <v>24517.5799999999</v>
      </c>
    </row>
    <row r="859" customFormat="false" ht="15" hidden="false" customHeight="true" outlineLevel="0" collapsed="false">
      <c r="A859" s="115" t="n">
        <v>1082240.01</v>
      </c>
      <c r="B859" s="115" t="n">
        <v>1083520</v>
      </c>
      <c r="C859" s="115" t="n">
        <v>24546.2399999999</v>
      </c>
    </row>
    <row r="860" customFormat="false" ht="15" hidden="false" customHeight="true" outlineLevel="0" collapsed="false">
      <c r="A860" s="114" t="n">
        <v>1083520.01</v>
      </c>
      <c r="B860" s="114" t="n">
        <v>1084800</v>
      </c>
      <c r="C860" s="114" t="n">
        <v>24574.8999999999</v>
      </c>
    </row>
    <row r="861" customFormat="false" ht="15" hidden="false" customHeight="true" outlineLevel="0" collapsed="false">
      <c r="A861" s="115" t="n">
        <v>1084800.01</v>
      </c>
      <c r="B861" s="115" t="n">
        <v>1086080</v>
      </c>
      <c r="C861" s="115" t="n">
        <v>24603.5599999999</v>
      </c>
    </row>
    <row r="862" customFormat="false" ht="15" hidden="false" customHeight="true" outlineLevel="0" collapsed="false">
      <c r="A862" s="114" t="n">
        <v>1086080.01</v>
      </c>
      <c r="B862" s="114" t="n">
        <v>1087360</v>
      </c>
      <c r="C862" s="114" t="n">
        <v>24632.2199999999</v>
      </c>
    </row>
    <row r="863" customFormat="false" ht="15" hidden="false" customHeight="true" outlineLevel="0" collapsed="false">
      <c r="A863" s="115" t="n">
        <v>1087360.01</v>
      </c>
      <c r="B863" s="115" t="n">
        <v>1088640</v>
      </c>
      <c r="C863" s="115" t="n">
        <v>24660.8799999999</v>
      </c>
    </row>
    <row r="864" customFormat="false" ht="15" hidden="false" customHeight="true" outlineLevel="0" collapsed="false">
      <c r="A864" s="114" t="n">
        <v>1088640.01</v>
      </c>
      <c r="B864" s="114" t="n">
        <v>1089920</v>
      </c>
      <c r="C864" s="114" t="n">
        <v>24689.5399999999</v>
      </c>
    </row>
    <row r="865" customFormat="false" ht="15" hidden="false" customHeight="true" outlineLevel="0" collapsed="false">
      <c r="A865" s="115" t="n">
        <v>1089920.01</v>
      </c>
      <c r="B865" s="115" t="n">
        <v>1091200</v>
      </c>
      <c r="C865" s="115" t="n">
        <v>24718.1999999999</v>
      </c>
    </row>
    <row r="866" customFormat="false" ht="15" hidden="false" customHeight="true" outlineLevel="0" collapsed="false">
      <c r="A866" s="114" t="n">
        <v>1091200.01</v>
      </c>
      <c r="B866" s="114" t="n">
        <v>1092480</v>
      </c>
      <c r="C866" s="114" t="n">
        <v>24746.8599999999</v>
      </c>
    </row>
    <row r="867" customFormat="false" ht="15" hidden="false" customHeight="true" outlineLevel="0" collapsed="false">
      <c r="A867" s="115" t="n">
        <v>1092480.01</v>
      </c>
      <c r="B867" s="115" t="n">
        <v>1093760</v>
      </c>
      <c r="C867" s="115" t="n">
        <v>24775.5199999999</v>
      </c>
    </row>
    <row r="868" customFormat="false" ht="15" hidden="false" customHeight="true" outlineLevel="0" collapsed="false">
      <c r="A868" s="114" t="n">
        <v>1093760.01</v>
      </c>
      <c r="B868" s="114" t="n">
        <v>1095040</v>
      </c>
      <c r="C868" s="114" t="n">
        <v>24804.1799999999</v>
      </c>
    </row>
    <row r="869" customFormat="false" ht="15" hidden="false" customHeight="true" outlineLevel="0" collapsed="false">
      <c r="A869" s="115" t="n">
        <v>1095040.01</v>
      </c>
      <c r="B869" s="115" t="n">
        <v>1096320</v>
      </c>
      <c r="C869" s="115" t="n">
        <v>24832.8399999999</v>
      </c>
    </row>
    <row r="870" customFormat="false" ht="15" hidden="false" customHeight="true" outlineLevel="0" collapsed="false">
      <c r="A870" s="114" t="n">
        <v>1096320.01</v>
      </c>
      <c r="B870" s="114" t="n">
        <v>1097600</v>
      </c>
      <c r="C870" s="114" t="n">
        <v>24861.4999999999</v>
      </c>
    </row>
    <row r="871" customFormat="false" ht="15" hidden="false" customHeight="true" outlineLevel="0" collapsed="false">
      <c r="A871" s="115" t="n">
        <v>1097600.01</v>
      </c>
      <c r="B871" s="115" t="n">
        <v>1098880</v>
      </c>
      <c r="C871" s="115" t="n">
        <v>24890.1599999999</v>
      </c>
    </row>
    <row r="872" customFormat="false" ht="15" hidden="false" customHeight="true" outlineLevel="0" collapsed="false">
      <c r="A872" s="114" t="n">
        <v>1098880.01</v>
      </c>
      <c r="B872" s="114" t="n">
        <v>1100160</v>
      </c>
      <c r="C872" s="114" t="n">
        <v>24918.8199999999</v>
      </c>
    </row>
    <row r="873" customFormat="false" ht="15" hidden="false" customHeight="true" outlineLevel="0" collapsed="false">
      <c r="A873" s="115" t="n">
        <v>1100160.01</v>
      </c>
      <c r="B873" s="115" t="n">
        <v>1101440</v>
      </c>
      <c r="C873" s="115" t="n">
        <v>24947.4799999999</v>
      </c>
    </row>
    <row r="874" customFormat="false" ht="15" hidden="false" customHeight="true" outlineLevel="0" collapsed="false">
      <c r="A874" s="114" t="n">
        <v>1101440.01</v>
      </c>
      <c r="B874" s="114" t="n">
        <v>1102720</v>
      </c>
      <c r="C874" s="114" t="n">
        <v>24976.1399999999</v>
      </c>
    </row>
    <row r="875" customFormat="false" ht="15" hidden="false" customHeight="true" outlineLevel="0" collapsed="false">
      <c r="A875" s="115" t="n">
        <v>1102720.01</v>
      </c>
      <c r="B875" s="115" t="n">
        <v>1104000</v>
      </c>
      <c r="C875" s="115" t="n">
        <v>25004.7999999999</v>
      </c>
    </row>
    <row r="876" customFormat="false" ht="15" hidden="false" customHeight="true" outlineLevel="0" collapsed="false">
      <c r="A876" s="114" t="n">
        <v>1104000.01</v>
      </c>
      <c r="B876" s="114" t="n">
        <v>1105280</v>
      </c>
      <c r="C876" s="114" t="n">
        <v>25033.4599999999</v>
      </c>
    </row>
    <row r="877" customFormat="false" ht="15" hidden="false" customHeight="true" outlineLevel="0" collapsed="false">
      <c r="A877" s="115" t="n">
        <v>1105280.01</v>
      </c>
      <c r="B877" s="115" t="n">
        <v>1106560</v>
      </c>
      <c r="C877" s="115" t="n">
        <v>25062.1199999999</v>
      </c>
    </row>
    <row r="878" customFormat="false" ht="15" hidden="false" customHeight="true" outlineLevel="0" collapsed="false">
      <c r="A878" s="114" t="n">
        <v>1106560.01</v>
      </c>
      <c r="B878" s="114" t="n">
        <v>1107840</v>
      </c>
      <c r="C878" s="114" t="n">
        <v>25090.7799999999</v>
      </c>
    </row>
    <row r="879" customFormat="false" ht="15" hidden="false" customHeight="true" outlineLevel="0" collapsed="false">
      <c r="A879" s="115" t="n">
        <v>1107840.01</v>
      </c>
      <c r="B879" s="115" t="n">
        <v>1109120</v>
      </c>
      <c r="C879" s="115" t="n">
        <v>25119.4399999999</v>
      </c>
    </row>
    <row r="880" customFormat="false" ht="15" hidden="false" customHeight="true" outlineLevel="0" collapsed="false">
      <c r="A880" s="114" t="n">
        <v>1109120.01</v>
      </c>
      <c r="B880" s="114" t="n">
        <v>1110400</v>
      </c>
      <c r="C880" s="114" t="n">
        <v>25148.0999999999</v>
      </c>
    </row>
    <row r="881" customFormat="false" ht="15" hidden="false" customHeight="true" outlineLevel="0" collapsed="false">
      <c r="A881" s="115" t="n">
        <v>1110400.01</v>
      </c>
      <c r="B881" s="115" t="n">
        <v>1111680</v>
      </c>
      <c r="C881" s="115" t="n">
        <v>25176.7599999999</v>
      </c>
    </row>
    <row r="882" customFormat="false" ht="15" hidden="false" customHeight="true" outlineLevel="0" collapsed="false">
      <c r="A882" s="114" t="n">
        <v>1111680.01</v>
      </c>
      <c r="B882" s="114" t="n">
        <v>1112960</v>
      </c>
      <c r="C882" s="114" t="n">
        <v>25205.4199999999</v>
      </c>
    </row>
    <row r="883" customFormat="false" ht="15" hidden="false" customHeight="true" outlineLevel="0" collapsed="false">
      <c r="A883" s="115" t="n">
        <v>1112960.01</v>
      </c>
      <c r="B883" s="115" t="n">
        <v>1114240</v>
      </c>
      <c r="C883" s="115" t="n">
        <v>25234.0799999999</v>
      </c>
    </row>
    <row r="884" customFormat="false" ht="15" hidden="false" customHeight="true" outlineLevel="0" collapsed="false">
      <c r="A884" s="114" t="n">
        <v>1114240.01</v>
      </c>
      <c r="B884" s="114" t="n">
        <v>1115520</v>
      </c>
      <c r="C884" s="114" t="n">
        <v>25262.7399999999</v>
      </c>
    </row>
    <row r="885" customFormat="false" ht="15" hidden="false" customHeight="true" outlineLevel="0" collapsed="false">
      <c r="A885" s="115" t="n">
        <v>1115520.01</v>
      </c>
      <c r="B885" s="115" t="n">
        <v>1116800</v>
      </c>
      <c r="C885" s="115" t="n">
        <v>25291.3999999999</v>
      </c>
    </row>
    <row r="886" customFormat="false" ht="15" hidden="false" customHeight="true" outlineLevel="0" collapsed="false">
      <c r="A886" s="114" t="n">
        <v>1116800.01</v>
      </c>
      <c r="B886" s="114" t="n">
        <v>1118080</v>
      </c>
      <c r="C886" s="114" t="n">
        <v>25320.0599999999</v>
      </c>
    </row>
    <row r="887" customFormat="false" ht="15" hidden="false" customHeight="true" outlineLevel="0" collapsed="false">
      <c r="A887" s="115" t="n">
        <v>1118080.01</v>
      </c>
      <c r="B887" s="115" t="n">
        <v>1119360</v>
      </c>
      <c r="C887" s="115" t="n">
        <v>25348.7199999999</v>
      </c>
    </row>
    <row r="888" customFormat="false" ht="15" hidden="false" customHeight="true" outlineLevel="0" collapsed="false">
      <c r="A888" s="114" t="n">
        <v>1119360.01</v>
      </c>
      <c r="B888" s="114" t="n">
        <v>1120640</v>
      </c>
      <c r="C888" s="114" t="n">
        <v>25377.3799999999</v>
      </c>
    </row>
    <row r="889" customFormat="false" ht="15" hidden="false" customHeight="true" outlineLevel="0" collapsed="false">
      <c r="A889" s="115" t="n">
        <v>1120640.01</v>
      </c>
      <c r="B889" s="115" t="n">
        <v>1121920</v>
      </c>
      <c r="C889" s="115" t="n">
        <v>25406.0399999999</v>
      </c>
    </row>
    <row r="890" customFormat="false" ht="15" hidden="false" customHeight="true" outlineLevel="0" collapsed="false">
      <c r="A890" s="114" t="n">
        <v>1121920.01</v>
      </c>
      <c r="B890" s="114" t="n">
        <v>1123200</v>
      </c>
      <c r="C890" s="114" t="n">
        <v>25434.6999999999</v>
      </c>
    </row>
    <row r="891" customFormat="false" ht="15" hidden="false" customHeight="true" outlineLevel="0" collapsed="false">
      <c r="A891" s="115" t="n">
        <v>1123200.01</v>
      </c>
      <c r="B891" s="115" t="n">
        <v>1124480</v>
      </c>
      <c r="C891" s="115" t="n">
        <v>25463.3599999999</v>
      </c>
    </row>
    <row r="892" customFormat="false" ht="15" hidden="false" customHeight="true" outlineLevel="0" collapsed="false">
      <c r="A892" s="114" t="n">
        <v>1124480.01</v>
      </c>
      <c r="B892" s="114" t="n">
        <v>1125760</v>
      </c>
      <c r="C892" s="114" t="n">
        <v>25492.0199999999</v>
      </c>
    </row>
    <row r="893" customFormat="false" ht="15" hidden="false" customHeight="true" outlineLevel="0" collapsed="false">
      <c r="A893" s="115" t="n">
        <v>1125760.01</v>
      </c>
      <c r="B893" s="115" t="n">
        <v>1127040</v>
      </c>
      <c r="C893" s="115" t="n">
        <v>25520.6799999999</v>
      </c>
    </row>
    <row r="894" customFormat="false" ht="15" hidden="false" customHeight="true" outlineLevel="0" collapsed="false">
      <c r="A894" s="114" t="n">
        <v>1127040.01</v>
      </c>
      <c r="B894" s="114" t="n">
        <v>1128320</v>
      </c>
      <c r="C894" s="114" t="n">
        <v>25549.3399999999</v>
      </c>
    </row>
    <row r="895" customFormat="false" ht="15" hidden="false" customHeight="true" outlineLevel="0" collapsed="false">
      <c r="A895" s="115" t="n">
        <v>1128320.01</v>
      </c>
      <c r="B895" s="115" t="n">
        <v>1129600</v>
      </c>
      <c r="C895" s="115" t="n">
        <v>25577.9999999999</v>
      </c>
    </row>
    <row r="896" customFormat="false" ht="15" hidden="false" customHeight="true" outlineLevel="0" collapsed="false">
      <c r="A896" s="114" t="n">
        <v>1129600.01</v>
      </c>
      <c r="B896" s="114" t="n">
        <v>1130880</v>
      </c>
      <c r="C896" s="114" t="n">
        <v>25606.6599999999</v>
      </c>
    </row>
    <row r="897" customFormat="false" ht="15" hidden="false" customHeight="true" outlineLevel="0" collapsed="false">
      <c r="A897" s="115" t="n">
        <v>1130880.01</v>
      </c>
      <c r="B897" s="115" t="n">
        <v>1132160</v>
      </c>
      <c r="C897" s="115" t="n">
        <v>25635.3199999999</v>
      </c>
    </row>
    <row r="898" customFormat="false" ht="15" hidden="false" customHeight="true" outlineLevel="0" collapsed="false">
      <c r="A898" s="114" t="n">
        <v>1132160.01</v>
      </c>
      <c r="B898" s="114" t="n">
        <v>1133440</v>
      </c>
      <c r="C898" s="114" t="n">
        <v>25663.9799999999</v>
      </c>
    </row>
    <row r="899" customFormat="false" ht="15" hidden="false" customHeight="true" outlineLevel="0" collapsed="false">
      <c r="A899" s="115" t="n">
        <v>1133440.01</v>
      </c>
      <c r="B899" s="115" t="n">
        <v>1134720</v>
      </c>
      <c r="C899" s="115" t="n">
        <v>25692.6399999999</v>
      </c>
    </row>
    <row r="900" customFormat="false" ht="15" hidden="false" customHeight="true" outlineLevel="0" collapsed="false">
      <c r="A900" s="114" t="n">
        <v>1134720.01</v>
      </c>
      <c r="B900" s="114" t="n">
        <v>1136000</v>
      </c>
      <c r="C900" s="114" t="n">
        <v>25721.2999999999</v>
      </c>
    </row>
    <row r="901" customFormat="false" ht="15" hidden="false" customHeight="true" outlineLevel="0" collapsed="false">
      <c r="A901" s="115" t="n">
        <v>1136000.01</v>
      </c>
      <c r="B901" s="115" t="n">
        <v>1137280</v>
      </c>
      <c r="C901" s="115" t="n">
        <v>25749.9599999999</v>
      </c>
    </row>
    <row r="902" customFormat="false" ht="15" hidden="false" customHeight="true" outlineLevel="0" collapsed="false">
      <c r="A902" s="114" t="n">
        <v>1137280.01</v>
      </c>
      <c r="B902" s="114" t="n">
        <v>1138560</v>
      </c>
      <c r="C902" s="114" t="n">
        <v>25778.6199999999</v>
      </c>
    </row>
    <row r="903" customFormat="false" ht="15" hidden="false" customHeight="true" outlineLevel="0" collapsed="false">
      <c r="A903" s="115" t="n">
        <v>1138560.01</v>
      </c>
      <c r="B903" s="115" t="n">
        <v>1139840</v>
      </c>
      <c r="C903" s="115" t="n">
        <v>25807.2799999999</v>
      </c>
    </row>
    <row r="904" customFormat="false" ht="15" hidden="false" customHeight="true" outlineLevel="0" collapsed="false">
      <c r="A904" s="114" t="n">
        <v>1139840.01</v>
      </c>
      <c r="B904" s="114" t="n">
        <v>1141120</v>
      </c>
      <c r="C904" s="114" t="n">
        <v>25835.9399999999</v>
      </c>
    </row>
    <row r="905" customFormat="false" ht="15" hidden="false" customHeight="true" outlineLevel="0" collapsed="false">
      <c r="A905" s="115" t="n">
        <v>1141120.01</v>
      </c>
      <c r="B905" s="115" t="n">
        <v>1142400</v>
      </c>
      <c r="C905" s="115" t="n">
        <v>25864.5999999999</v>
      </c>
    </row>
    <row r="906" customFormat="false" ht="15" hidden="false" customHeight="true" outlineLevel="0" collapsed="false">
      <c r="A906" s="114" t="n">
        <v>1142400.01</v>
      </c>
      <c r="B906" s="114" t="n">
        <v>1143680</v>
      </c>
      <c r="C906" s="114" t="n">
        <v>25893.2599999999</v>
      </c>
    </row>
    <row r="907" customFormat="false" ht="15" hidden="false" customHeight="true" outlineLevel="0" collapsed="false">
      <c r="A907" s="115" t="n">
        <v>1143680.01</v>
      </c>
      <c r="B907" s="115" t="n">
        <v>1144960</v>
      </c>
      <c r="C907" s="115" t="n">
        <v>25921.9199999999</v>
      </c>
    </row>
    <row r="908" customFormat="false" ht="15" hidden="false" customHeight="true" outlineLevel="0" collapsed="false">
      <c r="A908" s="114" t="n">
        <v>1144960.01</v>
      </c>
      <c r="B908" s="114" t="n">
        <v>1146240</v>
      </c>
      <c r="C908" s="114" t="n">
        <v>25950.5799999999</v>
      </c>
    </row>
    <row r="909" customFormat="false" ht="15" hidden="false" customHeight="true" outlineLevel="0" collapsed="false">
      <c r="A909" s="115" t="n">
        <v>1146240.01</v>
      </c>
      <c r="B909" s="115" t="n">
        <v>1147520</v>
      </c>
      <c r="C909" s="115" t="n">
        <v>25979.2399999999</v>
      </c>
    </row>
    <row r="910" customFormat="false" ht="15" hidden="false" customHeight="true" outlineLevel="0" collapsed="false">
      <c r="A910" s="114" t="n">
        <v>1147520.01</v>
      </c>
      <c r="B910" s="114" t="n">
        <v>1148800</v>
      </c>
      <c r="C910" s="114" t="n">
        <v>26007.8999999999</v>
      </c>
    </row>
    <row r="911" customFormat="false" ht="15" hidden="false" customHeight="true" outlineLevel="0" collapsed="false">
      <c r="A911" s="115" t="n">
        <v>1148800.01</v>
      </c>
      <c r="B911" s="115" t="n">
        <v>1150080</v>
      </c>
      <c r="C911" s="115" t="n">
        <v>26036.5599999999</v>
      </c>
    </row>
    <row r="912" customFormat="false" ht="15" hidden="false" customHeight="true" outlineLevel="0" collapsed="false">
      <c r="A912" s="114" t="n">
        <v>1150080.01</v>
      </c>
      <c r="B912" s="114" t="n">
        <v>1151360</v>
      </c>
      <c r="C912" s="114" t="n">
        <v>26065.2199999999</v>
      </c>
    </row>
    <row r="913" customFormat="false" ht="15" hidden="false" customHeight="true" outlineLevel="0" collapsed="false">
      <c r="A913" s="115" t="n">
        <v>1151360.01</v>
      </c>
      <c r="B913" s="115" t="n">
        <v>1152640</v>
      </c>
      <c r="C913" s="115" t="n">
        <v>26093.8799999999</v>
      </c>
    </row>
    <row r="914" customFormat="false" ht="15" hidden="false" customHeight="true" outlineLevel="0" collapsed="false">
      <c r="A914" s="114" t="n">
        <v>1152640.01</v>
      </c>
      <c r="B914" s="114" t="n">
        <v>1153920</v>
      </c>
      <c r="C914" s="114" t="n">
        <v>26122.5399999999</v>
      </c>
    </row>
    <row r="915" customFormat="false" ht="15" hidden="false" customHeight="true" outlineLevel="0" collapsed="false">
      <c r="A915" s="115" t="n">
        <v>1153920.01</v>
      </c>
      <c r="B915" s="115" t="n">
        <v>1155200</v>
      </c>
      <c r="C915" s="115" t="n">
        <v>26151.1999999999</v>
      </c>
    </row>
    <row r="916" customFormat="false" ht="15" hidden="false" customHeight="true" outlineLevel="0" collapsed="false">
      <c r="A916" s="114" t="n">
        <v>1155200.01</v>
      </c>
      <c r="B916" s="114" t="n">
        <v>1156480</v>
      </c>
      <c r="C916" s="114" t="n">
        <v>26179.8599999999</v>
      </c>
    </row>
    <row r="917" customFormat="false" ht="15" hidden="false" customHeight="true" outlineLevel="0" collapsed="false">
      <c r="A917" s="115" t="n">
        <v>1156480.01</v>
      </c>
      <c r="B917" s="115" t="n">
        <v>1157760</v>
      </c>
      <c r="C917" s="115" t="n">
        <v>26208.5199999999</v>
      </c>
    </row>
    <row r="918" customFormat="false" ht="15" hidden="false" customHeight="true" outlineLevel="0" collapsed="false">
      <c r="A918" s="114" t="n">
        <v>1157760.01</v>
      </c>
      <c r="B918" s="114" t="n">
        <v>1159040</v>
      </c>
      <c r="C918" s="114" t="n">
        <v>26237.1799999999</v>
      </c>
    </row>
    <row r="919" customFormat="false" ht="15" hidden="false" customHeight="true" outlineLevel="0" collapsed="false">
      <c r="A919" s="115" t="n">
        <v>1159040.01</v>
      </c>
      <c r="B919" s="115" t="n">
        <v>1160320</v>
      </c>
      <c r="C919" s="115" t="n">
        <v>26265.8399999999</v>
      </c>
    </row>
    <row r="920" customFormat="false" ht="15" hidden="false" customHeight="true" outlineLevel="0" collapsed="false">
      <c r="A920" s="114" t="n">
        <v>1160320.01</v>
      </c>
      <c r="B920" s="114" t="n">
        <v>1161600</v>
      </c>
      <c r="C920" s="114" t="n">
        <v>26294.4999999999</v>
      </c>
    </row>
    <row r="921" customFormat="false" ht="15" hidden="false" customHeight="true" outlineLevel="0" collapsed="false">
      <c r="A921" s="115" t="n">
        <v>1161600.01</v>
      </c>
      <c r="B921" s="115" t="n">
        <v>1162880</v>
      </c>
      <c r="C921" s="115" t="n">
        <v>26323.1599999999</v>
      </c>
    </row>
    <row r="922" customFormat="false" ht="15" hidden="false" customHeight="true" outlineLevel="0" collapsed="false">
      <c r="A922" s="114" t="n">
        <v>1162880.01</v>
      </c>
      <c r="B922" s="114" t="n">
        <v>1164160</v>
      </c>
      <c r="C922" s="114" t="n">
        <v>26351.8199999999</v>
      </c>
    </row>
    <row r="923" customFormat="false" ht="15" hidden="false" customHeight="true" outlineLevel="0" collapsed="false">
      <c r="A923" s="115" t="n">
        <v>1164160.01</v>
      </c>
      <c r="B923" s="115" t="n">
        <v>1165440</v>
      </c>
      <c r="C923" s="115" t="n">
        <v>26380.4799999999</v>
      </c>
    </row>
    <row r="924" customFormat="false" ht="15" hidden="false" customHeight="true" outlineLevel="0" collapsed="false">
      <c r="A924" s="114" t="n">
        <v>1165440.01</v>
      </c>
      <c r="B924" s="114" t="n">
        <v>1166720</v>
      </c>
      <c r="C924" s="114" t="n">
        <v>26409.1399999999</v>
      </c>
    </row>
    <row r="925" customFormat="false" ht="15" hidden="false" customHeight="true" outlineLevel="0" collapsed="false">
      <c r="A925" s="115" t="n">
        <v>1166720.01</v>
      </c>
      <c r="B925" s="115" t="n">
        <v>1168000</v>
      </c>
      <c r="C925" s="115" t="n">
        <v>26437.7999999999</v>
      </c>
    </row>
    <row r="926" customFormat="false" ht="15" hidden="false" customHeight="true" outlineLevel="0" collapsed="false">
      <c r="A926" s="114" t="n">
        <v>1168000.01</v>
      </c>
      <c r="B926" s="114" t="n">
        <v>1169280</v>
      </c>
      <c r="C926" s="114" t="n">
        <v>26466.4599999999</v>
      </c>
    </row>
    <row r="927" customFormat="false" ht="15" hidden="false" customHeight="true" outlineLevel="0" collapsed="false">
      <c r="A927" s="115" t="n">
        <v>1169280.01</v>
      </c>
      <c r="B927" s="115" t="n">
        <v>1170560</v>
      </c>
      <c r="C927" s="115" t="n">
        <v>26495.1199999999</v>
      </c>
    </row>
    <row r="928" customFormat="false" ht="15" hidden="false" customHeight="true" outlineLevel="0" collapsed="false">
      <c r="A928" s="114" t="n">
        <v>1170560.01</v>
      </c>
      <c r="B928" s="114" t="n">
        <v>1171840</v>
      </c>
      <c r="C928" s="114" t="n">
        <v>26523.7799999999</v>
      </c>
    </row>
    <row r="929" customFormat="false" ht="15" hidden="false" customHeight="true" outlineLevel="0" collapsed="false">
      <c r="A929" s="115" t="n">
        <v>1171840.01</v>
      </c>
      <c r="B929" s="115" t="n">
        <v>1173120</v>
      </c>
      <c r="C929" s="115" t="n">
        <v>26552.4399999999</v>
      </c>
    </row>
    <row r="930" customFormat="false" ht="15" hidden="false" customHeight="true" outlineLevel="0" collapsed="false">
      <c r="A930" s="114" t="n">
        <v>1173120.01</v>
      </c>
      <c r="B930" s="114" t="n">
        <v>1174400</v>
      </c>
      <c r="C930" s="114" t="n">
        <v>26581.0999999999</v>
      </c>
    </row>
    <row r="931" customFormat="false" ht="15" hidden="false" customHeight="true" outlineLevel="0" collapsed="false">
      <c r="A931" s="115" t="n">
        <v>1174400.01</v>
      </c>
      <c r="B931" s="115" t="n">
        <v>1175680</v>
      </c>
      <c r="C931" s="115" t="n">
        <v>26609.7599999999</v>
      </c>
    </row>
    <row r="932" customFormat="false" ht="15" hidden="false" customHeight="true" outlineLevel="0" collapsed="false">
      <c r="A932" s="114" t="n">
        <v>1175680.01</v>
      </c>
      <c r="B932" s="114" t="n">
        <v>1176960</v>
      </c>
      <c r="C932" s="114" t="n">
        <v>26638.4199999999</v>
      </c>
    </row>
    <row r="933" customFormat="false" ht="15" hidden="false" customHeight="true" outlineLevel="0" collapsed="false">
      <c r="A933" s="115" t="n">
        <v>1176960.01</v>
      </c>
      <c r="B933" s="115" t="n">
        <v>1178240</v>
      </c>
      <c r="C933" s="115" t="n">
        <v>26667.0799999999</v>
      </c>
    </row>
    <row r="934" customFormat="false" ht="15" hidden="false" customHeight="true" outlineLevel="0" collapsed="false">
      <c r="A934" s="114" t="n">
        <v>1178240.01</v>
      </c>
      <c r="B934" s="114" t="n">
        <v>1179520</v>
      </c>
      <c r="C934" s="114" t="n">
        <v>26695.7399999999</v>
      </c>
    </row>
    <row r="935" customFormat="false" ht="15" hidden="false" customHeight="true" outlineLevel="0" collapsed="false">
      <c r="A935" s="115" t="n">
        <v>1179520.01</v>
      </c>
      <c r="B935" s="115" t="n">
        <v>1180800</v>
      </c>
      <c r="C935" s="115" t="n">
        <v>26724.3999999999</v>
      </c>
    </row>
    <row r="936" customFormat="false" ht="15" hidden="false" customHeight="true" outlineLevel="0" collapsed="false">
      <c r="A936" s="114" t="n">
        <v>1180800.01</v>
      </c>
      <c r="B936" s="114" t="n">
        <v>1182080</v>
      </c>
      <c r="C936" s="114" t="n">
        <v>26753.0599999999</v>
      </c>
    </row>
    <row r="937" customFormat="false" ht="15" hidden="false" customHeight="true" outlineLevel="0" collapsed="false">
      <c r="A937" s="115" t="n">
        <v>1182080.01</v>
      </c>
      <c r="B937" s="115" t="n">
        <v>1183360</v>
      </c>
      <c r="C937" s="115" t="n">
        <v>26781.7199999999</v>
      </c>
    </row>
    <row r="938" customFormat="false" ht="15" hidden="false" customHeight="true" outlineLevel="0" collapsed="false">
      <c r="A938" s="114" t="n">
        <v>1183360.01</v>
      </c>
      <c r="B938" s="114" t="n">
        <v>1184640</v>
      </c>
      <c r="C938" s="114" t="n">
        <v>26810.3799999999</v>
      </c>
    </row>
    <row r="939" customFormat="false" ht="15" hidden="false" customHeight="true" outlineLevel="0" collapsed="false">
      <c r="A939" s="115" t="n">
        <v>1184640.01</v>
      </c>
      <c r="B939" s="115" t="n">
        <v>1185920</v>
      </c>
      <c r="C939" s="115" t="n">
        <v>26839.0399999999</v>
      </c>
    </row>
    <row r="940" customFormat="false" ht="15" hidden="false" customHeight="true" outlineLevel="0" collapsed="false">
      <c r="A940" s="114" t="n">
        <v>1185920.01</v>
      </c>
      <c r="B940" s="114" t="n">
        <v>1187200</v>
      </c>
      <c r="C940" s="114" t="n">
        <v>26867.6999999999</v>
      </c>
    </row>
    <row r="941" customFormat="false" ht="15" hidden="false" customHeight="true" outlineLevel="0" collapsed="false">
      <c r="A941" s="115" t="n">
        <v>1187200.01</v>
      </c>
      <c r="B941" s="115" t="n">
        <v>1188480</v>
      </c>
      <c r="C941" s="115" t="n">
        <v>26896.3599999999</v>
      </c>
    </row>
    <row r="942" customFormat="false" ht="15" hidden="false" customHeight="true" outlineLevel="0" collapsed="false">
      <c r="A942" s="114" t="n">
        <v>1188480.01</v>
      </c>
      <c r="B942" s="114" t="n">
        <v>1189760</v>
      </c>
      <c r="C942" s="114" t="n">
        <v>26925.0199999999</v>
      </c>
    </row>
    <row r="943" customFormat="false" ht="15" hidden="false" customHeight="true" outlineLevel="0" collapsed="false">
      <c r="A943" s="115" t="n">
        <v>1189760.01</v>
      </c>
      <c r="B943" s="115" t="n">
        <v>1191040</v>
      </c>
      <c r="C943" s="115" t="n">
        <v>26953.6799999999</v>
      </c>
    </row>
    <row r="944" customFormat="false" ht="15" hidden="false" customHeight="true" outlineLevel="0" collapsed="false">
      <c r="A944" s="114" t="n">
        <v>1191040.01</v>
      </c>
      <c r="B944" s="114" t="n">
        <v>1192320</v>
      </c>
      <c r="C944" s="114" t="n">
        <v>26982.3399999999</v>
      </c>
    </row>
    <row r="945" customFormat="false" ht="15" hidden="false" customHeight="true" outlineLevel="0" collapsed="false">
      <c r="A945" s="115" t="n">
        <v>1192320.01</v>
      </c>
      <c r="B945" s="115" t="n">
        <v>1193600</v>
      </c>
      <c r="C945" s="115" t="n">
        <v>27010.9999999999</v>
      </c>
    </row>
    <row r="946" customFormat="false" ht="15" hidden="false" customHeight="true" outlineLevel="0" collapsed="false">
      <c r="A946" s="114" t="n">
        <v>1193600.01</v>
      </c>
      <c r="B946" s="114" t="n">
        <v>1194880</v>
      </c>
      <c r="C946" s="114" t="n">
        <v>27039.6599999999</v>
      </c>
    </row>
    <row r="947" customFormat="false" ht="15" hidden="false" customHeight="true" outlineLevel="0" collapsed="false">
      <c r="A947" s="115" t="n">
        <v>1194880.01</v>
      </c>
      <c r="B947" s="115" t="n">
        <v>1196160</v>
      </c>
      <c r="C947" s="115" t="n">
        <v>27068.3199999999</v>
      </c>
    </row>
    <row r="948" customFormat="false" ht="15" hidden="false" customHeight="true" outlineLevel="0" collapsed="false">
      <c r="A948" s="114" t="n">
        <v>1196160.01</v>
      </c>
      <c r="B948" s="114" t="n">
        <v>1197440</v>
      </c>
      <c r="C948" s="114" t="n">
        <v>27096.9799999999</v>
      </c>
    </row>
    <row r="949" customFormat="false" ht="15" hidden="false" customHeight="true" outlineLevel="0" collapsed="false">
      <c r="A949" s="115" t="n">
        <v>1197440.01</v>
      </c>
      <c r="B949" s="115" t="n">
        <v>1198720</v>
      </c>
      <c r="C949" s="115" t="n">
        <v>27125.6399999999</v>
      </c>
    </row>
    <row r="950" customFormat="false" ht="15" hidden="false" customHeight="true" outlineLevel="0" collapsed="false">
      <c r="A950" s="114" t="n">
        <v>1198720.01</v>
      </c>
      <c r="B950" s="114" t="n">
        <v>1200000</v>
      </c>
      <c r="C950" s="114" t="n">
        <v>27154.2999999999</v>
      </c>
    </row>
    <row r="951" customFormat="false" ht="15" hidden="false" customHeight="true" outlineLevel="0" collapsed="false">
      <c r="A951" s="115" t="n">
        <v>1200000.01</v>
      </c>
      <c r="B951" s="115" t="n">
        <v>1201280</v>
      </c>
      <c r="C951" s="115" t="n">
        <v>27182.9599999999</v>
      </c>
    </row>
    <row r="952" customFormat="false" ht="15" hidden="false" customHeight="true" outlineLevel="0" collapsed="false">
      <c r="A952" s="114" t="n">
        <v>1201280.01</v>
      </c>
      <c r="B952" s="114" t="n">
        <v>1202560</v>
      </c>
      <c r="C952" s="114" t="n">
        <v>27211.6199999999</v>
      </c>
    </row>
    <row r="953" customFormat="false" ht="15" hidden="false" customHeight="true" outlineLevel="0" collapsed="false">
      <c r="A953" s="115" t="n">
        <v>1202560.01</v>
      </c>
      <c r="B953" s="115" t="n">
        <v>1203840</v>
      </c>
      <c r="C953" s="115" t="n">
        <v>27240.2799999999</v>
      </c>
    </row>
    <row r="954" customFormat="false" ht="15" hidden="false" customHeight="true" outlineLevel="0" collapsed="false">
      <c r="A954" s="114" t="n">
        <v>1203840.01</v>
      </c>
      <c r="B954" s="114" t="n">
        <v>1205120</v>
      </c>
      <c r="C954" s="114" t="n">
        <v>27268.9399999999</v>
      </c>
    </row>
    <row r="955" customFormat="false" ht="15" hidden="false" customHeight="true" outlineLevel="0" collapsed="false">
      <c r="A955" s="115" t="n">
        <v>1205120.01</v>
      </c>
      <c r="B955" s="115" t="n">
        <v>1206400</v>
      </c>
      <c r="C955" s="115" t="n">
        <v>27297.5999999999</v>
      </c>
    </row>
    <row r="956" customFormat="false" ht="15" hidden="false" customHeight="true" outlineLevel="0" collapsed="false">
      <c r="A956" s="114" t="n">
        <v>1206400.01</v>
      </c>
      <c r="B956" s="114" t="n">
        <v>1207680</v>
      </c>
      <c r="C956" s="114" t="n">
        <v>27326.2599999999</v>
      </c>
    </row>
    <row r="957" customFormat="false" ht="15" hidden="false" customHeight="true" outlineLevel="0" collapsed="false">
      <c r="A957" s="115" t="n">
        <v>1207680.01</v>
      </c>
      <c r="B957" s="115" t="n">
        <v>1208960</v>
      </c>
      <c r="C957" s="115" t="n">
        <v>27354.9199999999</v>
      </c>
    </row>
    <row r="958" customFormat="false" ht="15" hidden="false" customHeight="true" outlineLevel="0" collapsed="false">
      <c r="A958" s="114" t="n">
        <v>1208960.01</v>
      </c>
      <c r="B958" s="114" t="n">
        <v>1210240</v>
      </c>
      <c r="C958" s="114" t="n">
        <v>27383.5799999999</v>
      </c>
    </row>
    <row r="959" customFormat="false" ht="15" hidden="false" customHeight="true" outlineLevel="0" collapsed="false">
      <c r="A959" s="115" t="n">
        <v>1210240.01</v>
      </c>
      <c r="B959" s="115" t="n">
        <v>1211520</v>
      </c>
      <c r="C959" s="115" t="n">
        <v>27412.2399999999</v>
      </c>
    </row>
    <row r="960" customFormat="false" ht="15" hidden="false" customHeight="true" outlineLevel="0" collapsed="false">
      <c r="A960" s="114" t="n">
        <v>1211520.01</v>
      </c>
      <c r="B960" s="114" t="n">
        <v>1212800</v>
      </c>
      <c r="C960" s="114" t="n">
        <v>27440.8999999999</v>
      </c>
    </row>
    <row r="961" customFormat="false" ht="15" hidden="false" customHeight="true" outlineLevel="0" collapsed="false">
      <c r="A961" s="115" t="n">
        <v>1212800.01</v>
      </c>
      <c r="B961" s="115" t="n">
        <v>1214080</v>
      </c>
      <c r="C961" s="115" t="n">
        <v>27469.5599999999</v>
      </c>
    </row>
    <row r="962" customFormat="false" ht="15" hidden="false" customHeight="true" outlineLevel="0" collapsed="false">
      <c r="A962" s="114" t="n">
        <v>1214080.01</v>
      </c>
      <c r="B962" s="114" t="n">
        <v>1215360</v>
      </c>
      <c r="C962" s="114" t="n">
        <v>27498.2199999999</v>
      </c>
    </row>
    <row r="963" customFormat="false" ht="15" hidden="false" customHeight="true" outlineLevel="0" collapsed="false">
      <c r="A963" s="115" t="n">
        <v>1215360.01</v>
      </c>
      <c r="B963" s="115" t="n">
        <v>1216640</v>
      </c>
      <c r="C963" s="115" t="n">
        <v>27526.8799999999</v>
      </c>
    </row>
    <row r="964" customFormat="false" ht="15" hidden="false" customHeight="true" outlineLevel="0" collapsed="false">
      <c r="A964" s="114" t="n">
        <v>1216640.01</v>
      </c>
      <c r="B964" s="114" t="n">
        <v>1217920</v>
      </c>
      <c r="C964" s="114" t="n">
        <v>27555.5399999999</v>
      </c>
    </row>
    <row r="965" customFormat="false" ht="15" hidden="false" customHeight="true" outlineLevel="0" collapsed="false">
      <c r="A965" s="115" t="n">
        <v>1217920.01</v>
      </c>
      <c r="B965" s="115" t="n">
        <v>1219200</v>
      </c>
      <c r="C965" s="115" t="n">
        <v>27584.1999999999</v>
      </c>
    </row>
    <row r="966" customFormat="false" ht="15" hidden="false" customHeight="true" outlineLevel="0" collapsed="false">
      <c r="A966" s="114" t="n">
        <v>1219200.01</v>
      </c>
      <c r="B966" s="114" t="n">
        <v>1220480</v>
      </c>
      <c r="C966" s="114" t="n">
        <v>27612.8599999999</v>
      </c>
    </row>
    <row r="967" customFormat="false" ht="15" hidden="false" customHeight="true" outlineLevel="0" collapsed="false">
      <c r="A967" s="115" t="n">
        <v>1220480.01</v>
      </c>
      <c r="B967" s="115" t="n">
        <v>1221760</v>
      </c>
      <c r="C967" s="115" t="n">
        <v>27641.5199999999</v>
      </c>
    </row>
    <row r="968" customFormat="false" ht="15" hidden="false" customHeight="true" outlineLevel="0" collapsed="false">
      <c r="A968" s="114" t="n">
        <v>1221760.01</v>
      </c>
      <c r="B968" s="114" t="n">
        <v>1223040</v>
      </c>
      <c r="C968" s="114" t="n">
        <v>27670.1799999999</v>
      </c>
    </row>
    <row r="969" customFormat="false" ht="15" hidden="false" customHeight="true" outlineLevel="0" collapsed="false">
      <c r="A969" s="115" t="n">
        <v>1223040.01</v>
      </c>
      <c r="B969" s="115" t="n">
        <v>1224320</v>
      </c>
      <c r="C969" s="115" t="n">
        <v>27698.8399999999</v>
      </c>
    </row>
    <row r="970" customFormat="false" ht="15" hidden="false" customHeight="true" outlineLevel="0" collapsed="false">
      <c r="A970" s="114" t="n">
        <v>1224320.01</v>
      </c>
      <c r="B970" s="114" t="n">
        <v>1225600</v>
      </c>
      <c r="C970" s="114" t="n">
        <v>27727.4999999999</v>
      </c>
    </row>
    <row r="971" customFormat="false" ht="15" hidden="false" customHeight="true" outlineLevel="0" collapsed="false">
      <c r="A971" s="115" t="n">
        <v>1225600.01</v>
      </c>
      <c r="B971" s="115" t="n">
        <v>1226880</v>
      </c>
      <c r="C971" s="115" t="n">
        <v>27756.1599999999</v>
      </c>
    </row>
    <row r="972" customFormat="false" ht="15" hidden="false" customHeight="true" outlineLevel="0" collapsed="false">
      <c r="A972" s="114" t="n">
        <v>1226880.01</v>
      </c>
      <c r="B972" s="114" t="n">
        <v>1228160</v>
      </c>
      <c r="C972" s="114" t="n">
        <v>27784.8199999999</v>
      </c>
    </row>
    <row r="973" customFormat="false" ht="15" hidden="false" customHeight="true" outlineLevel="0" collapsed="false">
      <c r="A973" s="115" t="n">
        <v>1228160.01</v>
      </c>
      <c r="B973" s="115" t="n">
        <v>1229440</v>
      </c>
      <c r="C973" s="115" t="n">
        <v>27813.4799999999</v>
      </c>
    </row>
    <row r="974" customFormat="false" ht="15" hidden="false" customHeight="true" outlineLevel="0" collapsed="false">
      <c r="A974" s="114" t="n">
        <v>1229440.01</v>
      </c>
      <c r="B974" s="114" t="n">
        <v>1230720</v>
      </c>
      <c r="C974" s="114" t="n">
        <v>27842.1399999999</v>
      </c>
    </row>
    <row r="975" customFormat="false" ht="15" hidden="false" customHeight="true" outlineLevel="0" collapsed="false">
      <c r="A975" s="115" t="n">
        <v>1230720.01</v>
      </c>
      <c r="B975" s="115" t="n">
        <v>1232000</v>
      </c>
      <c r="C975" s="115" t="n">
        <v>27870.7999999999</v>
      </c>
    </row>
    <row r="976" customFormat="false" ht="15" hidden="false" customHeight="true" outlineLevel="0" collapsed="false">
      <c r="A976" s="114" t="n">
        <v>1232000.01</v>
      </c>
      <c r="B976" s="114" t="n">
        <v>1233280</v>
      </c>
      <c r="C976" s="114" t="n">
        <v>27899.4599999999</v>
      </c>
    </row>
    <row r="977" customFormat="false" ht="15" hidden="false" customHeight="true" outlineLevel="0" collapsed="false">
      <c r="A977" s="115" t="n">
        <v>1233280.01</v>
      </c>
      <c r="B977" s="115" t="n">
        <v>1234560</v>
      </c>
      <c r="C977" s="115" t="n">
        <v>27928.1199999999</v>
      </c>
    </row>
    <row r="978" customFormat="false" ht="15" hidden="false" customHeight="true" outlineLevel="0" collapsed="false">
      <c r="A978" s="114" t="n">
        <v>1234560.01</v>
      </c>
      <c r="B978" s="114" t="n">
        <v>1235840</v>
      </c>
      <c r="C978" s="114" t="n">
        <v>27956.7799999999</v>
      </c>
    </row>
    <row r="979" customFormat="false" ht="15" hidden="false" customHeight="true" outlineLevel="0" collapsed="false">
      <c r="A979" s="115" t="n">
        <v>1235840.01</v>
      </c>
      <c r="B979" s="115" t="n">
        <v>1237120</v>
      </c>
      <c r="C979" s="115" t="n">
        <v>27985.4399999999</v>
      </c>
    </row>
    <row r="980" customFormat="false" ht="15" hidden="false" customHeight="true" outlineLevel="0" collapsed="false">
      <c r="A980" s="114" t="n">
        <v>1237120.01</v>
      </c>
      <c r="B980" s="114" t="n">
        <v>1238400</v>
      </c>
      <c r="C980" s="114" t="n">
        <v>28014.0999999999</v>
      </c>
    </row>
    <row r="981" customFormat="false" ht="15" hidden="false" customHeight="true" outlineLevel="0" collapsed="false">
      <c r="A981" s="115" t="n">
        <v>1238400.01</v>
      </c>
      <c r="B981" s="115" t="n">
        <v>1239680</v>
      </c>
      <c r="C981" s="115" t="n">
        <v>28042.7599999999</v>
      </c>
    </row>
    <row r="982" customFormat="false" ht="15" hidden="false" customHeight="true" outlineLevel="0" collapsed="false">
      <c r="A982" s="114" t="n">
        <v>1239680.01</v>
      </c>
      <c r="B982" s="114" t="n">
        <v>1240960</v>
      </c>
      <c r="C982" s="114" t="n">
        <v>28071.4199999999</v>
      </c>
    </row>
    <row r="983" customFormat="false" ht="15" hidden="false" customHeight="true" outlineLevel="0" collapsed="false">
      <c r="A983" s="115" t="n">
        <v>1240960.01</v>
      </c>
      <c r="B983" s="115" t="n">
        <v>1242240</v>
      </c>
      <c r="C983" s="115" t="n">
        <v>28100.0799999999</v>
      </c>
    </row>
    <row r="984" customFormat="false" ht="15" hidden="false" customHeight="true" outlineLevel="0" collapsed="false">
      <c r="A984" s="114" t="n">
        <v>1242240.01</v>
      </c>
      <c r="B984" s="114" t="n">
        <v>1243520</v>
      </c>
      <c r="C984" s="114" t="n">
        <v>28128.7399999999</v>
      </c>
    </row>
    <row r="985" customFormat="false" ht="15" hidden="false" customHeight="true" outlineLevel="0" collapsed="false">
      <c r="A985" s="115" t="n">
        <v>1243520.01</v>
      </c>
      <c r="B985" s="115" t="n">
        <v>1244800</v>
      </c>
      <c r="C985" s="115" t="n">
        <v>28157.3999999999</v>
      </c>
    </row>
    <row r="986" customFormat="false" ht="15" hidden="false" customHeight="true" outlineLevel="0" collapsed="false">
      <c r="A986" s="114" t="n">
        <v>1244800.01</v>
      </c>
      <c r="B986" s="114" t="n">
        <v>1246080</v>
      </c>
      <c r="C986" s="114" t="n">
        <v>28186.0599999999</v>
      </c>
    </row>
    <row r="987" customFormat="false" ht="15" hidden="false" customHeight="true" outlineLevel="0" collapsed="false">
      <c r="A987" s="115" t="n">
        <v>1246080.01</v>
      </c>
      <c r="B987" s="115" t="n">
        <v>1247360</v>
      </c>
      <c r="C987" s="115" t="n">
        <v>28214.7199999999</v>
      </c>
    </row>
    <row r="988" customFormat="false" ht="15" hidden="false" customHeight="true" outlineLevel="0" collapsed="false">
      <c r="A988" s="114" t="n">
        <v>1247360.01</v>
      </c>
      <c r="B988" s="114" t="n">
        <v>1248640</v>
      </c>
      <c r="C988" s="114" t="n">
        <v>28243.3799999999</v>
      </c>
    </row>
    <row r="989" customFormat="false" ht="15" hidden="false" customHeight="true" outlineLevel="0" collapsed="false">
      <c r="A989" s="115" t="n">
        <v>1248640.01</v>
      </c>
      <c r="B989" s="115" t="n">
        <v>1249920</v>
      </c>
      <c r="C989" s="115" t="n">
        <v>28272.0399999999</v>
      </c>
    </row>
    <row r="990" customFormat="false" ht="15" hidden="false" customHeight="true" outlineLevel="0" collapsed="false">
      <c r="A990" s="114" t="n">
        <v>1249920.01</v>
      </c>
      <c r="B990" s="114" t="n">
        <v>1251200</v>
      </c>
      <c r="C990" s="114" t="n">
        <v>28300.6999999999</v>
      </c>
    </row>
    <row r="991" customFormat="false" ht="15" hidden="false" customHeight="true" outlineLevel="0" collapsed="false">
      <c r="A991" s="115" t="n">
        <v>1251200.01</v>
      </c>
      <c r="B991" s="115" t="n">
        <v>1252480</v>
      </c>
      <c r="C991" s="115" t="n">
        <v>28329.3599999999</v>
      </c>
    </row>
    <row r="992" customFormat="false" ht="15" hidden="false" customHeight="true" outlineLevel="0" collapsed="false">
      <c r="A992" s="114" t="n">
        <v>1252480.01</v>
      </c>
      <c r="B992" s="114" t="n">
        <v>1253760</v>
      </c>
      <c r="C992" s="114" t="n">
        <v>28358.0199999999</v>
      </c>
    </row>
    <row r="993" customFormat="false" ht="15" hidden="false" customHeight="true" outlineLevel="0" collapsed="false">
      <c r="A993" s="115" t="n">
        <v>1253760.01</v>
      </c>
      <c r="B993" s="115" t="n">
        <v>1255040</v>
      </c>
      <c r="C993" s="115" t="n">
        <v>28386.6799999999</v>
      </c>
    </row>
    <row r="994" customFormat="false" ht="15" hidden="false" customHeight="true" outlineLevel="0" collapsed="false">
      <c r="A994" s="114" t="n">
        <v>1255040.01</v>
      </c>
      <c r="B994" s="114" t="n">
        <v>1256320</v>
      </c>
      <c r="C994" s="114" t="n">
        <v>28415.3399999999</v>
      </c>
    </row>
    <row r="995" customFormat="false" ht="15" hidden="false" customHeight="true" outlineLevel="0" collapsed="false">
      <c r="A995" s="115" t="n">
        <v>1256320.01</v>
      </c>
      <c r="B995" s="115" t="n">
        <v>1257600</v>
      </c>
      <c r="C995" s="115" t="n">
        <v>28443.9999999999</v>
      </c>
    </row>
    <row r="996" customFormat="false" ht="15" hidden="false" customHeight="true" outlineLevel="0" collapsed="false">
      <c r="A996" s="114" t="n">
        <v>1257600.01</v>
      </c>
      <c r="B996" s="114" t="n">
        <v>1258880</v>
      </c>
      <c r="C996" s="114" t="n">
        <v>28472.6599999999</v>
      </c>
    </row>
    <row r="997" customFormat="false" ht="15" hidden="false" customHeight="true" outlineLevel="0" collapsed="false">
      <c r="A997" s="115" t="n">
        <v>1258880.01</v>
      </c>
      <c r="B997" s="115" t="n">
        <v>1260160</v>
      </c>
      <c r="C997" s="115" t="n">
        <v>28501.3199999999</v>
      </c>
    </row>
    <row r="998" customFormat="false" ht="15" hidden="false" customHeight="true" outlineLevel="0" collapsed="false">
      <c r="A998" s="114" t="n">
        <v>1260160.01</v>
      </c>
      <c r="B998" s="114" t="n">
        <v>1261440</v>
      </c>
      <c r="C998" s="114" t="n">
        <v>28529.9799999999</v>
      </c>
    </row>
    <row r="999" customFormat="false" ht="15" hidden="false" customHeight="true" outlineLevel="0" collapsed="false">
      <c r="A999" s="115" t="n">
        <v>1261440.01</v>
      </c>
      <c r="B999" s="115" t="n">
        <v>1262720</v>
      </c>
      <c r="C999" s="115" t="n">
        <v>28558.6399999999</v>
      </c>
    </row>
    <row r="1000" customFormat="false" ht="15" hidden="false" customHeight="true" outlineLevel="0" collapsed="false">
      <c r="A1000" s="114" t="n">
        <v>1262720.01</v>
      </c>
      <c r="B1000" s="114" t="n">
        <v>1264000</v>
      </c>
      <c r="C1000" s="114" t="n">
        <v>28587.2999999999</v>
      </c>
    </row>
    <row r="1001" customFormat="false" ht="15" hidden="false" customHeight="true" outlineLevel="0" collapsed="false">
      <c r="A1001" s="115" t="n">
        <v>1264000.01</v>
      </c>
      <c r="B1001" s="115" t="n">
        <v>1265280</v>
      </c>
      <c r="C1001" s="115" t="n">
        <v>28615.9599999999</v>
      </c>
    </row>
    <row r="1002" customFormat="false" ht="15" hidden="false" customHeight="true" outlineLevel="0" collapsed="false">
      <c r="A1002" s="114" t="n">
        <v>1265280.01</v>
      </c>
      <c r="B1002" s="114" t="n">
        <v>1266560</v>
      </c>
      <c r="C1002" s="114" t="n">
        <v>28644.6199999999</v>
      </c>
    </row>
    <row r="1003" customFormat="false" ht="15" hidden="false" customHeight="true" outlineLevel="0" collapsed="false">
      <c r="A1003" s="115" t="n">
        <v>1266560.01</v>
      </c>
      <c r="B1003" s="115" t="n">
        <v>1267840</v>
      </c>
      <c r="C1003" s="115" t="n">
        <v>28673.2799999999</v>
      </c>
    </row>
    <row r="1004" customFormat="false" ht="15" hidden="false" customHeight="true" outlineLevel="0" collapsed="false">
      <c r="A1004" s="114" t="n">
        <v>1267840.01</v>
      </c>
      <c r="B1004" s="114" t="n">
        <v>1269120</v>
      </c>
      <c r="C1004" s="114" t="n">
        <v>28701.9399999999</v>
      </c>
    </row>
    <row r="1005" customFormat="false" ht="15" hidden="false" customHeight="true" outlineLevel="0" collapsed="false">
      <c r="A1005" s="115" t="n">
        <v>1269120.01</v>
      </c>
      <c r="B1005" s="115" t="n">
        <v>1270400</v>
      </c>
      <c r="C1005" s="115" t="n">
        <v>28730.5999999999</v>
      </c>
    </row>
    <row r="1006" customFormat="false" ht="15" hidden="false" customHeight="true" outlineLevel="0" collapsed="false">
      <c r="A1006" s="114" t="n">
        <v>1270400.01</v>
      </c>
      <c r="B1006" s="114" t="n">
        <v>1271680</v>
      </c>
      <c r="C1006" s="114" t="n">
        <v>28759.2599999999</v>
      </c>
    </row>
    <row r="1007" customFormat="false" ht="15" hidden="false" customHeight="true" outlineLevel="0" collapsed="false">
      <c r="A1007" s="115" t="n">
        <v>1271680.01</v>
      </c>
      <c r="B1007" s="115" t="n">
        <v>1272960</v>
      </c>
      <c r="C1007" s="115" t="n">
        <v>28787.9199999999</v>
      </c>
    </row>
    <row r="1008" customFormat="false" ht="15" hidden="false" customHeight="true" outlineLevel="0" collapsed="false">
      <c r="A1008" s="114" t="n">
        <v>1272960.01</v>
      </c>
      <c r="B1008" s="114" t="n">
        <v>1274240</v>
      </c>
      <c r="C1008" s="114" t="n">
        <v>28816.5799999999</v>
      </c>
    </row>
    <row r="1009" customFormat="false" ht="15" hidden="false" customHeight="true" outlineLevel="0" collapsed="false">
      <c r="A1009" s="115" t="n">
        <v>1274240.01</v>
      </c>
      <c r="B1009" s="115" t="n">
        <v>1275520</v>
      </c>
      <c r="C1009" s="115" t="n">
        <v>28845.2399999999</v>
      </c>
    </row>
    <row r="1010" customFormat="false" ht="15" hidden="false" customHeight="true" outlineLevel="0" collapsed="false">
      <c r="A1010" s="114" t="n">
        <v>1275520.01</v>
      </c>
      <c r="B1010" s="114" t="n">
        <v>1276800</v>
      </c>
      <c r="C1010" s="114" t="n">
        <v>28873.8999999999</v>
      </c>
    </row>
    <row r="1011" customFormat="false" ht="15" hidden="false" customHeight="true" outlineLevel="0" collapsed="false">
      <c r="A1011" s="115" t="n">
        <v>1276800.01</v>
      </c>
      <c r="B1011" s="115" t="n">
        <v>1278080</v>
      </c>
      <c r="C1011" s="115" t="n">
        <v>28902.5599999999</v>
      </c>
    </row>
    <row r="1012" customFormat="false" ht="15" hidden="false" customHeight="true" outlineLevel="0" collapsed="false">
      <c r="A1012" s="114" t="n">
        <v>1278080.01</v>
      </c>
      <c r="B1012" s="114" t="n">
        <v>1279360</v>
      </c>
      <c r="C1012" s="114" t="n">
        <v>28931.2199999999</v>
      </c>
    </row>
    <row r="1013" customFormat="false" ht="15" hidden="false" customHeight="true" outlineLevel="0" collapsed="false">
      <c r="A1013" s="115" t="n">
        <v>1279360.01</v>
      </c>
      <c r="B1013" s="115" t="n">
        <v>1280640</v>
      </c>
      <c r="C1013" s="115" t="n">
        <v>28959.8799999999</v>
      </c>
    </row>
    <row r="1014" customFormat="false" ht="15" hidden="false" customHeight="true" outlineLevel="0" collapsed="false">
      <c r="A1014" s="114" t="n">
        <v>1280640.01</v>
      </c>
      <c r="B1014" s="114" t="n">
        <v>1281920</v>
      </c>
      <c r="C1014" s="114" t="n">
        <v>28988.5399999999</v>
      </c>
    </row>
    <row r="1015" customFormat="false" ht="15" hidden="false" customHeight="true" outlineLevel="0" collapsed="false">
      <c r="A1015" s="115" t="n">
        <v>1281920.01</v>
      </c>
      <c r="B1015" s="115" t="n">
        <v>1283200</v>
      </c>
      <c r="C1015" s="115" t="n">
        <v>29017.1999999999</v>
      </c>
    </row>
    <row r="1016" customFormat="false" ht="15" hidden="false" customHeight="true" outlineLevel="0" collapsed="false">
      <c r="A1016" s="114" t="n">
        <v>1283200.01</v>
      </c>
      <c r="B1016" s="114" t="n">
        <v>1284480</v>
      </c>
      <c r="C1016" s="114" t="n">
        <v>29045.8599999999</v>
      </c>
    </row>
    <row r="1017" customFormat="false" ht="15" hidden="false" customHeight="true" outlineLevel="0" collapsed="false">
      <c r="A1017" s="115" t="n">
        <v>1284480.01</v>
      </c>
      <c r="B1017" s="115" t="n">
        <v>1285760</v>
      </c>
      <c r="C1017" s="115" t="n">
        <v>29074.5199999999</v>
      </c>
    </row>
    <row r="1018" customFormat="false" ht="15" hidden="false" customHeight="true" outlineLevel="0" collapsed="false">
      <c r="A1018" s="114" t="n">
        <v>1285760.01</v>
      </c>
      <c r="B1018" s="114" t="n">
        <v>1287040</v>
      </c>
      <c r="C1018" s="114" t="n">
        <v>29103.1799999999</v>
      </c>
    </row>
    <row r="1019" customFormat="false" ht="15" hidden="false" customHeight="true" outlineLevel="0" collapsed="false">
      <c r="A1019" s="115" t="n">
        <v>1287040.01</v>
      </c>
      <c r="B1019" s="115" t="n">
        <v>1288320</v>
      </c>
      <c r="C1019" s="115" t="n">
        <v>29131.8399999999</v>
      </c>
    </row>
    <row r="1020" customFormat="false" ht="15" hidden="false" customHeight="true" outlineLevel="0" collapsed="false">
      <c r="A1020" s="114" t="n">
        <v>1288320.01</v>
      </c>
      <c r="B1020" s="114" t="n">
        <v>1289600</v>
      </c>
      <c r="C1020" s="114" t="n">
        <v>29160.4999999999</v>
      </c>
    </row>
    <row r="1021" customFormat="false" ht="15" hidden="false" customHeight="true" outlineLevel="0" collapsed="false">
      <c r="A1021" s="115" t="n">
        <v>1289600.01</v>
      </c>
      <c r="B1021" s="115" t="n">
        <v>1290880</v>
      </c>
      <c r="C1021" s="115" t="n">
        <v>29189.1599999999</v>
      </c>
    </row>
    <row r="1022" customFormat="false" ht="15" hidden="false" customHeight="true" outlineLevel="0" collapsed="false">
      <c r="A1022" s="114" t="n">
        <v>1290880.01</v>
      </c>
      <c r="B1022" s="114" t="n">
        <v>1292160</v>
      </c>
      <c r="C1022" s="114" t="n">
        <v>29217.8199999999</v>
      </c>
    </row>
    <row r="1023" customFormat="false" ht="15" hidden="false" customHeight="true" outlineLevel="0" collapsed="false">
      <c r="A1023" s="115" t="n">
        <v>1292160.01</v>
      </c>
      <c r="B1023" s="115" t="n">
        <v>1293440</v>
      </c>
      <c r="C1023" s="115" t="n">
        <v>29246.4799999999</v>
      </c>
    </row>
    <row r="1024" customFormat="false" ht="15" hidden="false" customHeight="true" outlineLevel="0" collapsed="false">
      <c r="A1024" s="114" t="n">
        <v>1293440.01</v>
      </c>
      <c r="B1024" s="114" t="n">
        <v>1294720</v>
      </c>
      <c r="C1024" s="114" t="n">
        <v>29275.1399999999</v>
      </c>
    </row>
    <row r="1025" customFormat="false" ht="15" hidden="false" customHeight="true" outlineLevel="0" collapsed="false">
      <c r="A1025" s="115" t="n">
        <v>1294720.01</v>
      </c>
      <c r="B1025" s="115" t="n">
        <v>1296000</v>
      </c>
      <c r="C1025" s="115" t="n">
        <v>29303.7999999999</v>
      </c>
    </row>
    <row r="1026" customFormat="false" ht="15" hidden="false" customHeight="true" outlineLevel="0" collapsed="false">
      <c r="A1026" s="114" t="n">
        <v>1296000.01</v>
      </c>
      <c r="B1026" s="114" t="n">
        <v>1297280</v>
      </c>
      <c r="C1026" s="114" t="n">
        <v>29332.4599999999</v>
      </c>
    </row>
    <row r="1027" customFormat="false" ht="15" hidden="false" customHeight="true" outlineLevel="0" collapsed="false">
      <c r="A1027" s="115" t="n">
        <v>1297280.01</v>
      </c>
      <c r="B1027" s="115" t="n">
        <v>1298560</v>
      </c>
      <c r="C1027" s="115" t="n">
        <v>29361.1199999999</v>
      </c>
    </row>
    <row r="1028" customFormat="false" ht="15" hidden="false" customHeight="true" outlineLevel="0" collapsed="false">
      <c r="A1028" s="114" t="n">
        <v>1298560.01</v>
      </c>
      <c r="B1028" s="114" t="n">
        <v>1299840</v>
      </c>
      <c r="C1028" s="114" t="n">
        <v>29389.7799999999</v>
      </c>
    </row>
    <row r="1029" customFormat="false" ht="15" hidden="false" customHeight="true" outlineLevel="0" collapsed="false">
      <c r="A1029" s="115" t="n">
        <v>1299840.01</v>
      </c>
      <c r="B1029" s="115" t="n">
        <v>1301120</v>
      </c>
      <c r="C1029" s="115" t="n">
        <v>29418.4399999999</v>
      </c>
    </row>
    <row r="1030" customFormat="false" ht="15" hidden="false" customHeight="true" outlineLevel="0" collapsed="false">
      <c r="A1030" s="114" t="n">
        <v>1301120.01</v>
      </c>
      <c r="B1030" s="114" t="n">
        <v>1302400</v>
      </c>
      <c r="C1030" s="114" t="n">
        <v>29447.0999999999</v>
      </c>
    </row>
    <row r="1031" customFormat="false" ht="15" hidden="false" customHeight="true" outlineLevel="0" collapsed="false">
      <c r="A1031" s="115" t="n">
        <v>1302400.01</v>
      </c>
      <c r="B1031" s="115" t="n">
        <v>1303680</v>
      </c>
      <c r="C1031" s="115" t="n">
        <v>29475.7599999999</v>
      </c>
    </row>
    <row r="1032" customFormat="false" ht="15" hidden="false" customHeight="true" outlineLevel="0" collapsed="false">
      <c r="A1032" s="114" t="n">
        <v>1303680.01</v>
      </c>
      <c r="B1032" s="114" t="n">
        <v>1304960</v>
      </c>
      <c r="C1032" s="114" t="n">
        <v>29504.4199999999</v>
      </c>
    </row>
    <row r="1033" customFormat="false" ht="15" hidden="false" customHeight="true" outlineLevel="0" collapsed="false">
      <c r="A1033" s="115" t="n">
        <v>1304960.01</v>
      </c>
      <c r="B1033" s="115" t="n">
        <v>1306240</v>
      </c>
      <c r="C1033" s="115" t="n">
        <v>29533.0799999999</v>
      </c>
    </row>
    <row r="1034" customFormat="false" ht="15" hidden="false" customHeight="true" outlineLevel="0" collapsed="false">
      <c r="A1034" s="114" t="n">
        <v>1306240.01</v>
      </c>
      <c r="B1034" s="114" t="n">
        <v>1307520</v>
      </c>
      <c r="C1034" s="114" t="n">
        <v>29561.7399999999</v>
      </c>
    </row>
    <row r="1035" customFormat="false" ht="15" hidden="false" customHeight="true" outlineLevel="0" collapsed="false">
      <c r="A1035" s="115" t="n">
        <v>1307520.01</v>
      </c>
      <c r="B1035" s="115" t="n">
        <v>1308800</v>
      </c>
      <c r="C1035" s="115" t="n">
        <v>29590.3999999999</v>
      </c>
    </row>
    <row r="1036" customFormat="false" ht="15" hidden="false" customHeight="true" outlineLevel="0" collapsed="false">
      <c r="A1036" s="114" t="n">
        <v>1308800.01</v>
      </c>
      <c r="B1036" s="114" t="n">
        <v>1310080</v>
      </c>
      <c r="C1036" s="114" t="n">
        <v>29619.0599999999</v>
      </c>
    </row>
    <row r="1037" customFormat="false" ht="15" hidden="false" customHeight="true" outlineLevel="0" collapsed="false">
      <c r="A1037" s="115" t="n">
        <v>1310080.01</v>
      </c>
      <c r="B1037" s="115" t="n">
        <v>1311360</v>
      </c>
      <c r="C1037" s="115" t="n">
        <v>29647.7199999999</v>
      </c>
    </row>
    <row r="1038" customFormat="false" ht="15" hidden="false" customHeight="true" outlineLevel="0" collapsed="false">
      <c r="A1038" s="114" t="n">
        <v>1311360.01</v>
      </c>
      <c r="B1038" s="114" t="n">
        <v>1312640</v>
      </c>
      <c r="C1038" s="114" t="n">
        <v>29676.3799999999</v>
      </c>
    </row>
    <row r="1039" customFormat="false" ht="15" hidden="false" customHeight="true" outlineLevel="0" collapsed="false">
      <c r="A1039" s="115" t="n">
        <v>1312640.01</v>
      </c>
      <c r="B1039" s="115" t="n">
        <v>1313920</v>
      </c>
      <c r="C1039" s="115" t="n">
        <v>29705.0399999999</v>
      </c>
    </row>
    <row r="1040" customFormat="false" ht="15" hidden="false" customHeight="true" outlineLevel="0" collapsed="false">
      <c r="A1040" s="114" t="n">
        <v>1313920.01</v>
      </c>
      <c r="B1040" s="114" t="n">
        <v>1315200</v>
      </c>
      <c r="C1040" s="114" t="n">
        <v>29733.6999999999</v>
      </c>
    </row>
    <row r="1041" customFormat="false" ht="15" hidden="false" customHeight="true" outlineLevel="0" collapsed="false">
      <c r="A1041" s="115" t="n">
        <v>1315200.01</v>
      </c>
      <c r="B1041" s="115" t="n">
        <v>1316480</v>
      </c>
      <c r="C1041" s="115" t="n">
        <v>29762.3599999999</v>
      </c>
    </row>
    <row r="1042" customFormat="false" ht="15" hidden="false" customHeight="true" outlineLevel="0" collapsed="false">
      <c r="A1042" s="114" t="n">
        <v>1316480.01</v>
      </c>
      <c r="B1042" s="114" t="n">
        <v>1317760</v>
      </c>
      <c r="C1042" s="114" t="n">
        <v>29791.0199999999</v>
      </c>
    </row>
    <row r="1043" customFormat="false" ht="15" hidden="false" customHeight="true" outlineLevel="0" collapsed="false">
      <c r="A1043" s="115" t="n">
        <v>1317760.01</v>
      </c>
      <c r="B1043" s="115" t="n">
        <v>1319040</v>
      </c>
      <c r="C1043" s="115" t="n">
        <v>29819.6799999999</v>
      </c>
    </row>
    <row r="1044" customFormat="false" ht="15" hidden="false" customHeight="true" outlineLevel="0" collapsed="false">
      <c r="A1044" s="114" t="n">
        <v>1319040.01</v>
      </c>
      <c r="B1044" s="114" t="n">
        <v>1320320</v>
      </c>
      <c r="C1044" s="114" t="n">
        <v>29848.3399999999</v>
      </c>
    </row>
    <row r="1045" customFormat="false" ht="15" hidden="false" customHeight="true" outlineLevel="0" collapsed="false">
      <c r="A1045" s="115" t="n">
        <v>1320320.01</v>
      </c>
      <c r="B1045" s="115" t="n">
        <v>1321600</v>
      </c>
      <c r="C1045" s="115" t="n">
        <v>29876.9999999999</v>
      </c>
    </row>
    <row r="1046" customFormat="false" ht="15" hidden="false" customHeight="true" outlineLevel="0" collapsed="false">
      <c r="A1046" s="114" t="n">
        <v>1321600.01</v>
      </c>
      <c r="B1046" s="114" t="n">
        <v>1322880</v>
      </c>
      <c r="C1046" s="114" t="n">
        <v>29905.6599999999</v>
      </c>
    </row>
    <row r="1047" customFormat="false" ht="15" hidden="false" customHeight="true" outlineLevel="0" collapsed="false">
      <c r="A1047" s="115" t="n">
        <v>1322880.01</v>
      </c>
      <c r="B1047" s="115" t="n">
        <v>1324160</v>
      </c>
      <c r="C1047" s="115" t="n">
        <v>29934.3199999999</v>
      </c>
    </row>
    <row r="1048" customFormat="false" ht="15" hidden="false" customHeight="true" outlineLevel="0" collapsed="false">
      <c r="A1048" s="114" t="n">
        <v>1324160.01</v>
      </c>
      <c r="B1048" s="114" t="n">
        <v>1325440</v>
      </c>
      <c r="C1048" s="114" t="n">
        <v>29962.9799999999</v>
      </c>
    </row>
    <row r="1049" customFormat="false" ht="15" hidden="false" customHeight="true" outlineLevel="0" collapsed="false">
      <c r="A1049" s="115" t="n">
        <v>1325440.01</v>
      </c>
      <c r="B1049" s="115" t="n">
        <v>1326720</v>
      </c>
      <c r="C1049" s="115" t="n">
        <v>29991.6399999999</v>
      </c>
    </row>
    <row r="1050" customFormat="false" ht="15" hidden="false" customHeight="true" outlineLevel="0" collapsed="false">
      <c r="A1050" s="114" t="n">
        <v>1326720.01</v>
      </c>
      <c r="B1050" s="114" t="n">
        <v>1328000</v>
      </c>
      <c r="C1050" s="114" t="n">
        <v>30020.2999999999</v>
      </c>
    </row>
    <row r="1051" customFormat="false" ht="15" hidden="false" customHeight="true" outlineLevel="0" collapsed="false">
      <c r="A1051" s="115" t="n">
        <v>1328000.01</v>
      </c>
      <c r="B1051" s="115" t="n">
        <v>1329280</v>
      </c>
      <c r="C1051" s="115" t="n">
        <v>30048.9599999999</v>
      </c>
    </row>
    <row r="1052" customFormat="false" ht="15" hidden="false" customHeight="true" outlineLevel="0" collapsed="false">
      <c r="A1052" s="114" t="n">
        <v>1329280.01</v>
      </c>
      <c r="B1052" s="114" t="n">
        <v>1330560</v>
      </c>
      <c r="C1052" s="114" t="n">
        <v>30077.6199999999</v>
      </c>
    </row>
    <row r="1053" customFormat="false" ht="15" hidden="false" customHeight="true" outlineLevel="0" collapsed="false">
      <c r="A1053" s="115" t="n">
        <v>1330560.01</v>
      </c>
      <c r="B1053" s="115" t="n">
        <v>1331840</v>
      </c>
      <c r="C1053" s="115" t="n">
        <v>30106.2799999999</v>
      </c>
    </row>
    <row r="1054" customFormat="false" ht="15" hidden="false" customHeight="true" outlineLevel="0" collapsed="false">
      <c r="A1054" s="114" t="n">
        <v>1331840.01</v>
      </c>
      <c r="B1054" s="114" t="n">
        <v>1333120</v>
      </c>
      <c r="C1054" s="114" t="n">
        <v>30134.9399999999</v>
      </c>
    </row>
    <row r="1055" customFormat="false" ht="15" hidden="false" customHeight="true" outlineLevel="0" collapsed="false">
      <c r="A1055" s="115" t="n">
        <v>1333120.01</v>
      </c>
      <c r="B1055" s="115" t="n">
        <v>1334400</v>
      </c>
      <c r="C1055" s="115" t="n">
        <v>30163.5999999999</v>
      </c>
    </row>
    <row r="1056" customFormat="false" ht="15" hidden="false" customHeight="true" outlineLevel="0" collapsed="false">
      <c r="A1056" s="114" t="n">
        <v>1334400.01</v>
      </c>
      <c r="B1056" s="114" t="n">
        <v>1335680</v>
      </c>
      <c r="C1056" s="114" t="n">
        <v>30192.2599999999</v>
      </c>
    </row>
    <row r="1057" customFormat="false" ht="15" hidden="false" customHeight="true" outlineLevel="0" collapsed="false">
      <c r="A1057" s="115" t="n">
        <v>1335680.01</v>
      </c>
      <c r="B1057" s="115" t="n">
        <v>1336960</v>
      </c>
      <c r="C1057" s="115" t="n">
        <v>30220.9199999999</v>
      </c>
    </row>
    <row r="1058" customFormat="false" ht="15" hidden="false" customHeight="true" outlineLevel="0" collapsed="false">
      <c r="A1058" s="114" t="n">
        <v>1336960.01</v>
      </c>
      <c r="B1058" s="114" t="n">
        <v>1338240</v>
      </c>
      <c r="C1058" s="114" t="n">
        <v>30249.5799999999</v>
      </c>
    </row>
    <row r="1059" customFormat="false" ht="15" hidden="false" customHeight="true" outlineLevel="0" collapsed="false">
      <c r="A1059" s="115" t="n">
        <v>1338240.01</v>
      </c>
      <c r="B1059" s="115" t="n">
        <v>1339520</v>
      </c>
      <c r="C1059" s="115" t="n">
        <v>30278.2399999999</v>
      </c>
    </row>
    <row r="1060" customFormat="false" ht="15" hidden="false" customHeight="true" outlineLevel="0" collapsed="false">
      <c r="A1060" s="114" t="n">
        <v>1339520.01</v>
      </c>
      <c r="B1060" s="114" t="n">
        <v>1340800</v>
      </c>
      <c r="C1060" s="114" t="n">
        <v>30306.8999999999</v>
      </c>
    </row>
    <row r="1061" customFormat="false" ht="15" hidden="false" customHeight="true" outlineLevel="0" collapsed="false">
      <c r="A1061" s="115" t="n">
        <v>1340800.01</v>
      </c>
      <c r="B1061" s="115" t="n">
        <v>1342080</v>
      </c>
      <c r="C1061" s="115" t="n">
        <v>30335.5599999999</v>
      </c>
    </row>
    <row r="1062" customFormat="false" ht="15" hidden="false" customHeight="true" outlineLevel="0" collapsed="false">
      <c r="A1062" s="114" t="n">
        <v>1342080.01</v>
      </c>
      <c r="B1062" s="114" t="n">
        <v>1343360</v>
      </c>
      <c r="C1062" s="114" t="n">
        <v>30364.2199999999</v>
      </c>
    </row>
    <row r="1063" customFormat="false" ht="15" hidden="false" customHeight="true" outlineLevel="0" collapsed="false">
      <c r="A1063" s="115" t="n">
        <v>1343360.01</v>
      </c>
      <c r="B1063" s="115" t="n">
        <v>1344640</v>
      </c>
      <c r="C1063" s="115" t="n">
        <v>30392.8799999999</v>
      </c>
    </row>
    <row r="1064" customFormat="false" ht="15" hidden="false" customHeight="true" outlineLevel="0" collapsed="false">
      <c r="A1064" s="114" t="n">
        <v>1344640.01</v>
      </c>
      <c r="B1064" s="114" t="n">
        <v>1345920</v>
      </c>
      <c r="C1064" s="114" t="n">
        <v>30421.5399999999</v>
      </c>
    </row>
    <row r="1065" customFormat="false" ht="15" hidden="false" customHeight="true" outlineLevel="0" collapsed="false">
      <c r="A1065" s="115" t="n">
        <v>1345920.01</v>
      </c>
      <c r="B1065" s="115" t="n">
        <v>1347200</v>
      </c>
      <c r="C1065" s="115" t="n">
        <v>30450.1999999999</v>
      </c>
    </row>
    <row r="1066" customFormat="false" ht="15" hidden="false" customHeight="true" outlineLevel="0" collapsed="false">
      <c r="A1066" s="114" t="n">
        <v>1347200.01</v>
      </c>
      <c r="B1066" s="114" t="n">
        <v>1348480</v>
      </c>
      <c r="C1066" s="114" t="n">
        <v>30478.8599999999</v>
      </c>
    </row>
    <row r="1067" customFormat="false" ht="15" hidden="false" customHeight="true" outlineLevel="0" collapsed="false">
      <c r="A1067" s="115" t="n">
        <v>1348480.01</v>
      </c>
      <c r="B1067" s="115" t="n">
        <v>1349760</v>
      </c>
      <c r="C1067" s="115" t="n">
        <v>30507.5199999999</v>
      </c>
    </row>
    <row r="1068" customFormat="false" ht="15" hidden="false" customHeight="true" outlineLevel="0" collapsed="false">
      <c r="A1068" s="114" t="n">
        <v>1349760.01</v>
      </c>
      <c r="B1068" s="114" t="n">
        <v>1351040</v>
      </c>
      <c r="C1068" s="114" t="n">
        <v>30536.1799999999</v>
      </c>
    </row>
    <row r="1069" customFormat="false" ht="15" hidden="false" customHeight="true" outlineLevel="0" collapsed="false">
      <c r="A1069" s="115" t="n">
        <v>1351040.01</v>
      </c>
      <c r="B1069" s="115" t="n">
        <v>1352320</v>
      </c>
      <c r="C1069" s="115" t="n">
        <v>30564.8399999999</v>
      </c>
    </row>
    <row r="1070" customFormat="false" ht="15" hidden="false" customHeight="true" outlineLevel="0" collapsed="false">
      <c r="A1070" s="114" t="n">
        <v>1352320.01</v>
      </c>
      <c r="B1070" s="114" t="n">
        <v>1353600</v>
      </c>
      <c r="C1070" s="114" t="n">
        <v>30593.4999999999</v>
      </c>
    </row>
    <row r="1071" customFormat="false" ht="15" hidden="false" customHeight="true" outlineLevel="0" collapsed="false">
      <c r="A1071" s="115" t="n">
        <v>1353600.01</v>
      </c>
      <c r="B1071" s="115" t="n">
        <v>1354880</v>
      </c>
      <c r="C1071" s="115" t="n">
        <v>30622.1599999999</v>
      </c>
    </row>
    <row r="1072" customFormat="false" ht="15" hidden="false" customHeight="true" outlineLevel="0" collapsed="false">
      <c r="A1072" s="114" t="n">
        <v>1354880.01</v>
      </c>
      <c r="B1072" s="114" t="n">
        <v>1356160</v>
      </c>
      <c r="C1072" s="114" t="n">
        <v>30650.8199999999</v>
      </c>
    </row>
    <row r="1073" customFormat="false" ht="15" hidden="false" customHeight="true" outlineLevel="0" collapsed="false">
      <c r="A1073" s="115" t="n">
        <v>1356160.01</v>
      </c>
      <c r="B1073" s="115" t="n">
        <v>1357440</v>
      </c>
      <c r="C1073" s="115" t="n">
        <v>30679.4799999999</v>
      </c>
    </row>
    <row r="1074" customFormat="false" ht="15" hidden="false" customHeight="true" outlineLevel="0" collapsed="false">
      <c r="A1074" s="114" t="n">
        <v>1357440.01</v>
      </c>
      <c r="B1074" s="114" t="n">
        <v>1358720</v>
      </c>
      <c r="C1074" s="114" t="n">
        <v>30708.1399999999</v>
      </c>
    </row>
    <row r="1075" customFormat="false" ht="15" hidden="false" customHeight="true" outlineLevel="0" collapsed="false">
      <c r="A1075" s="115" t="n">
        <v>1358720.01</v>
      </c>
      <c r="B1075" s="115" t="n">
        <v>1360000</v>
      </c>
      <c r="C1075" s="115" t="n">
        <v>30736.7999999999</v>
      </c>
    </row>
    <row r="1076" customFormat="false" ht="15" hidden="false" customHeight="true" outlineLevel="0" collapsed="false">
      <c r="A1076" s="114" t="n">
        <v>1360000.01</v>
      </c>
      <c r="B1076" s="114" t="n">
        <v>1361280</v>
      </c>
      <c r="C1076" s="114" t="n">
        <v>30765.4599999999</v>
      </c>
    </row>
    <row r="1077" customFormat="false" ht="15" hidden="false" customHeight="true" outlineLevel="0" collapsed="false">
      <c r="A1077" s="115" t="n">
        <v>1361280.01</v>
      </c>
      <c r="B1077" s="115" t="n">
        <v>1362560</v>
      </c>
      <c r="C1077" s="115" t="n">
        <v>30794.1199999999</v>
      </c>
    </row>
    <row r="1078" customFormat="false" ht="15" hidden="false" customHeight="true" outlineLevel="0" collapsed="false">
      <c r="A1078" s="114" t="n">
        <v>1362560.01</v>
      </c>
      <c r="B1078" s="114" t="n">
        <v>1363840</v>
      </c>
      <c r="C1078" s="114" t="n">
        <v>30822.7799999999</v>
      </c>
    </row>
    <row r="1079" customFormat="false" ht="15" hidden="false" customHeight="true" outlineLevel="0" collapsed="false">
      <c r="A1079" s="115" t="n">
        <v>1363840.01</v>
      </c>
      <c r="B1079" s="115" t="n">
        <v>1365120</v>
      </c>
      <c r="C1079" s="115" t="n">
        <v>30851.4399999999</v>
      </c>
    </row>
    <row r="1080" customFormat="false" ht="15" hidden="false" customHeight="true" outlineLevel="0" collapsed="false">
      <c r="A1080" s="114" t="n">
        <v>1365120.01</v>
      </c>
      <c r="B1080" s="114" t="n">
        <v>1366400</v>
      </c>
      <c r="C1080" s="114" t="n">
        <v>30880.0999999999</v>
      </c>
    </row>
    <row r="1081" customFormat="false" ht="15" hidden="false" customHeight="true" outlineLevel="0" collapsed="false">
      <c r="A1081" s="115" t="n">
        <v>1366400.01</v>
      </c>
      <c r="B1081" s="115" t="n">
        <v>1367680</v>
      </c>
      <c r="C1081" s="115" t="n">
        <v>30908.7599999999</v>
      </c>
    </row>
    <row r="1082" customFormat="false" ht="15" hidden="false" customHeight="true" outlineLevel="0" collapsed="false">
      <c r="A1082" s="114" t="n">
        <v>1367680.01</v>
      </c>
      <c r="B1082" s="114" t="n">
        <v>1368960</v>
      </c>
      <c r="C1082" s="114" t="n">
        <v>30937.4199999999</v>
      </c>
    </row>
    <row r="1083" customFormat="false" ht="15" hidden="false" customHeight="true" outlineLevel="0" collapsed="false">
      <c r="A1083" s="115" t="n">
        <v>1368960.01</v>
      </c>
      <c r="B1083" s="115" t="n">
        <v>1370240</v>
      </c>
      <c r="C1083" s="115" t="n">
        <v>30966.0799999999</v>
      </c>
    </row>
    <row r="1084" customFormat="false" ht="15" hidden="false" customHeight="true" outlineLevel="0" collapsed="false">
      <c r="A1084" s="114" t="n">
        <v>1370240.01</v>
      </c>
      <c r="B1084" s="114" t="n">
        <v>1371520</v>
      </c>
      <c r="C1084" s="114" t="n">
        <v>30994.7399999999</v>
      </c>
    </row>
    <row r="1085" customFormat="false" ht="15" hidden="false" customHeight="true" outlineLevel="0" collapsed="false">
      <c r="A1085" s="115" t="n">
        <v>1371520.01</v>
      </c>
      <c r="B1085" s="115" t="n">
        <v>1372800</v>
      </c>
      <c r="C1085" s="115" t="n">
        <v>31023.3999999999</v>
      </c>
    </row>
    <row r="1086" customFormat="false" ht="15" hidden="false" customHeight="true" outlineLevel="0" collapsed="false">
      <c r="A1086" s="114" t="n">
        <v>1372800.01</v>
      </c>
      <c r="B1086" s="114" t="n">
        <v>1374080</v>
      </c>
      <c r="C1086" s="114" t="n">
        <v>31052.0599999999</v>
      </c>
    </row>
    <row r="1087" customFormat="false" ht="15" hidden="false" customHeight="true" outlineLevel="0" collapsed="false">
      <c r="A1087" s="115" t="n">
        <v>1374080.01</v>
      </c>
      <c r="B1087" s="115" t="n">
        <v>1375360</v>
      </c>
      <c r="C1087" s="115" t="n">
        <v>31080.7199999999</v>
      </c>
    </row>
    <row r="1088" customFormat="false" ht="15" hidden="false" customHeight="true" outlineLevel="0" collapsed="false">
      <c r="A1088" s="114" t="n">
        <v>1375360.01</v>
      </c>
      <c r="B1088" s="114" t="n">
        <v>1376640</v>
      </c>
      <c r="C1088" s="114" t="n">
        <v>31109.3799999999</v>
      </c>
    </row>
    <row r="1089" customFormat="false" ht="15" hidden="false" customHeight="true" outlineLevel="0" collapsed="false">
      <c r="A1089" s="115" t="n">
        <v>1376640.01</v>
      </c>
      <c r="B1089" s="115" t="n">
        <v>1377920</v>
      </c>
      <c r="C1089" s="115" t="n">
        <v>31138.0399999999</v>
      </c>
    </row>
    <row r="1090" customFormat="false" ht="15" hidden="false" customHeight="true" outlineLevel="0" collapsed="false">
      <c r="A1090" s="114" t="n">
        <v>1377920.01</v>
      </c>
      <c r="B1090" s="114" t="n">
        <v>1379200</v>
      </c>
      <c r="C1090" s="114" t="n">
        <v>31166.6999999999</v>
      </c>
    </row>
    <row r="1091" customFormat="false" ht="15" hidden="false" customHeight="true" outlineLevel="0" collapsed="false">
      <c r="A1091" s="115" t="n">
        <v>1379200.01</v>
      </c>
      <c r="B1091" s="115" t="n">
        <v>1380480</v>
      </c>
      <c r="C1091" s="115" t="n">
        <v>31195.3599999999</v>
      </c>
    </row>
    <row r="1092" customFormat="false" ht="15" hidden="false" customHeight="true" outlineLevel="0" collapsed="false">
      <c r="A1092" s="114" t="n">
        <v>1380480.01</v>
      </c>
      <c r="B1092" s="114" t="n">
        <v>1381760</v>
      </c>
      <c r="C1092" s="114" t="n">
        <v>31224.0199999999</v>
      </c>
    </row>
    <row r="1093" customFormat="false" ht="15" hidden="false" customHeight="true" outlineLevel="0" collapsed="false">
      <c r="A1093" s="115" t="n">
        <v>1381760.01</v>
      </c>
      <c r="B1093" s="115" t="n">
        <v>1383040</v>
      </c>
      <c r="C1093" s="115" t="n">
        <v>31252.6799999999</v>
      </c>
    </row>
    <row r="1094" customFormat="false" ht="15" hidden="false" customHeight="true" outlineLevel="0" collapsed="false">
      <c r="A1094" s="114" t="n">
        <v>1383040.01</v>
      </c>
      <c r="B1094" s="114" t="n">
        <v>1384320</v>
      </c>
      <c r="C1094" s="114" t="n">
        <v>31281.3399999999</v>
      </c>
    </row>
    <row r="1095" customFormat="false" ht="15" hidden="false" customHeight="true" outlineLevel="0" collapsed="false">
      <c r="A1095" s="115" t="n">
        <v>1384320.01</v>
      </c>
      <c r="B1095" s="115" t="n">
        <v>1385600</v>
      </c>
      <c r="C1095" s="115" t="n">
        <v>31309.9999999999</v>
      </c>
    </row>
    <row r="1096" customFormat="false" ht="15" hidden="false" customHeight="true" outlineLevel="0" collapsed="false">
      <c r="A1096" s="114" t="n">
        <v>1385600.01</v>
      </c>
      <c r="B1096" s="114" t="n">
        <v>1386880</v>
      </c>
      <c r="C1096" s="114" t="n">
        <v>31338.6599999999</v>
      </c>
    </row>
    <row r="1097" customFormat="false" ht="15" hidden="false" customHeight="true" outlineLevel="0" collapsed="false">
      <c r="A1097" s="115" t="n">
        <v>1386880.01</v>
      </c>
      <c r="B1097" s="115" t="n">
        <v>1388160</v>
      </c>
      <c r="C1097" s="115" t="n">
        <v>31367.3199999999</v>
      </c>
    </row>
    <row r="1098" customFormat="false" ht="15" hidden="false" customHeight="true" outlineLevel="0" collapsed="false">
      <c r="A1098" s="114" t="n">
        <v>1388160.01</v>
      </c>
      <c r="B1098" s="114" t="n">
        <v>1389440</v>
      </c>
      <c r="C1098" s="114" t="n">
        <v>31395.9799999999</v>
      </c>
    </row>
    <row r="1099" customFormat="false" ht="15" hidden="false" customHeight="true" outlineLevel="0" collapsed="false">
      <c r="A1099" s="115" t="n">
        <v>1389440.01</v>
      </c>
      <c r="B1099" s="115" t="n">
        <v>1390720</v>
      </c>
      <c r="C1099" s="115" t="n">
        <v>31424.6399999999</v>
      </c>
    </row>
    <row r="1100" customFormat="false" ht="15" hidden="false" customHeight="true" outlineLevel="0" collapsed="false">
      <c r="A1100" s="114" t="n">
        <v>1390720.01</v>
      </c>
      <c r="B1100" s="114" t="n">
        <v>1392000</v>
      </c>
      <c r="C1100" s="114" t="n">
        <v>31453.2999999999</v>
      </c>
    </row>
    <row r="1101" customFormat="false" ht="15" hidden="false" customHeight="true" outlineLevel="0" collapsed="false">
      <c r="A1101" s="115" t="n">
        <v>1392000.01</v>
      </c>
      <c r="B1101" s="115" t="n">
        <v>1393280</v>
      </c>
      <c r="C1101" s="115" t="n">
        <v>31481.9599999999</v>
      </c>
    </row>
    <row r="1102" customFormat="false" ht="15" hidden="false" customHeight="true" outlineLevel="0" collapsed="false">
      <c r="A1102" s="114" t="n">
        <v>1393280.01</v>
      </c>
      <c r="B1102" s="114" t="n">
        <v>1394560</v>
      </c>
      <c r="C1102" s="114" t="n">
        <v>31510.6199999999</v>
      </c>
    </row>
    <row r="1103" customFormat="false" ht="15" hidden="false" customHeight="true" outlineLevel="0" collapsed="false">
      <c r="A1103" s="115" t="n">
        <v>1394560.01</v>
      </c>
      <c r="B1103" s="115" t="n">
        <v>1395840</v>
      </c>
      <c r="C1103" s="115" t="n">
        <v>31539.2799999999</v>
      </c>
    </row>
    <row r="1104" customFormat="false" ht="15" hidden="false" customHeight="true" outlineLevel="0" collapsed="false">
      <c r="A1104" s="114" t="n">
        <v>1395840.01</v>
      </c>
      <c r="B1104" s="114" t="n">
        <v>1397120</v>
      </c>
      <c r="C1104" s="114" t="n">
        <v>31567.9399999999</v>
      </c>
    </row>
    <row r="1105" customFormat="false" ht="15" hidden="false" customHeight="true" outlineLevel="0" collapsed="false">
      <c r="A1105" s="115" t="n">
        <v>1397120.01</v>
      </c>
      <c r="B1105" s="115" t="n">
        <v>1398400</v>
      </c>
      <c r="C1105" s="115" t="n">
        <v>31596.5999999999</v>
      </c>
    </row>
    <row r="1106" customFormat="false" ht="15" hidden="false" customHeight="true" outlineLevel="0" collapsed="false">
      <c r="A1106" s="114" t="n">
        <v>1398400.01</v>
      </c>
      <c r="B1106" s="114" t="n">
        <v>1399680</v>
      </c>
      <c r="C1106" s="114" t="n">
        <v>31625.2599999999</v>
      </c>
    </row>
    <row r="1107" customFormat="false" ht="15" hidden="false" customHeight="true" outlineLevel="0" collapsed="false">
      <c r="A1107" s="115" t="n">
        <v>1399680.01</v>
      </c>
      <c r="B1107" s="115" t="n">
        <v>1400960</v>
      </c>
      <c r="C1107" s="115" t="n">
        <v>31653.9199999999</v>
      </c>
    </row>
    <row r="1108" customFormat="false" ht="15" hidden="false" customHeight="true" outlineLevel="0" collapsed="false">
      <c r="A1108" s="114" t="n">
        <v>1400960.01</v>
      </c>
      <c r="B1108" s="114" t="n">
        <v>1402240</v>
      </c>
      <c r="C1108" s="114" t="n">
        <v>31682.5799999999</v>
      </c>
    </row>
    <row r="1109" customFormat="false" ht="15" hidden="false" customHeight="true" outlineLevel="0" collapsed="false">
      <c r="A1109" s="115" t="n">
        <v>1402240.01</v>
      </c>
      <c r="B1109" s="115" t="n">
        <v>1403520</v>
      </c>
      <c r="C1109" s="115" t="n">
        <v>31711.2399999999</v>
      </c>
    </row>
    <row r="1110" customFormat="false" ht="15" hidden="false" customHeight="true" outlineLevel="0" collapsed="false">
      <c r="A1110" s="114" t="n">
        <v>1403520.01</v>
      </c>
      <c r="B1110" s="114" t="n">
        <v>1404800</v>
      </c>
      <c r="C1110" s="114" t="n">
        <v>31739.8999999999</v>
      </c>
    </row>
    <row r="1111" customFormat="false" ht="15" hidden="false" customHeight="true" outlineLevel="0" collapsed="false">
      <c r="A1111" s="115" t="n">
        <v>1404800.01</v>
      </c>
      <c r="B1111" s="115" t="n">
        <v>1406080</v>
      </c>
      <c r="C1111" s="115" t="n">
        <v>31768.5599999999</v>
      </c>
    </row>
    <row r="1112" customFormat="false" ht="15" hidden="false" customHeight="true" outlineLevel="0" collapsed="false">
      <c r="A1112" s="114" t="n">
        <v>1406080.01</v>
      </c>
      <c r="B1112" s="114" t="n">
        <v>1407360</v>
      </c>
      <c r="C1112" s="114" t="n">
        <v>31797.2199999999</v>
      </c>
    </row>
    <row r="1113" customFormat="false" ht="15" hidden="false" customHeight="true" outlineLevel="0" collapsed="false">
      <c r="A1113" s="115" t="n">
        <v>1407360.01</v>
      </c>
      <c r="B1113" s="115" t="n">
        <v>1408640</v>
      </c>
      <c r="C1113" s="115" t="n">
        <v>31825.8799999999</v>
      </c>
    </row>
    <row r="1114" customFormat="false" ht="15" hidden="false" customHeight="true" outlineLevel="0" collapsed="false">
      <c r="A1114" s="114" t="n">
        <v>1408640.01</v>
      </c>
      <c r="B1114" s="114" t="n">
        <v>1409920</v>
      </c>
      <c r="C1114" s="114" t="n">
        <v>31854.5399999999</v>
      </c>
    </row>
    <row r="1115" customFormat="false" ht="15" hidden="false" customHeight="true" outlineLevel="0" collapsed="false">
      <c r="A1115" s="115" t="n">
        <v>1409920.01</v>
      </c>
      <c r="B1115" s="115" t="n">
        <v>1411200</v>
      </c>
      <c r="C1115" s="115" t="n">
        <v>31883.1999999999</v>
      </c>
    </row>
    <row r="1116" customFormat="false" ht="15" hidden="false" customHeight="true" outlineLevel="0" collapsed="false">
      <c r="A1116" s="114" t="n">
        <v>1411200.01</v>
      </c>
      <c r="B1116" s="114" t="n">
        <v>1412480</v>
      </c>
      <c r="C1116" s="114" t="n">
        <v>31911.8599999999</v>
      </c>
    </row>
    <row r="1117" customFormat="false" ht="15" hidden="false" customHeight="true" outlineLevel="0" collapsed="false">
      <c r="A1117" s="115" t="n">
        <v>1412480.01</v>
      </c>
      <c r="B1117" s="115" t="n">
        <v>1413760</v>
      </c>
      <c r="C1117" s="115" t="n">
        <v>31940.5199999999</v>
      </c>
    </row>
    <row r="1118" customFormat="false" ht="15" hidden="false" customHeight="true" outlineLevel="0" collapsed="false">
      <c r="A1118" s="114" t="n">
        <v>1413760.01</v>
      </c>
      <c r="B1118" s="114" t="n">
        <v>1415040</v>
      </c>
      <c r="C1118" s="114" t="n">
        <v>31969.1799999999</v>
      </c>
    </row>
    <row r="1119" customFormat="false" ht="15" hidden="false" customHeight="true" outlineLevel="0" collapsed="false">
      <c r="A1119" s="115" t="n">
        <v>1415040.01</v>
      </c>
      <c r="B1119" s="115" t="n">
        <v>1416320</v>
      </c>
      <c r="C1119" s="115" t="n">
        <v>31997.8399999999</v>
      </c>
    </row>
    <row r="1120" customFormat="false" ht="15" hidden="false" customHeight="true" outlineLevel="0" collapsed="false">
      <c r="A1120" s="114" t="n">
        <v>1416320.01</v>
      </c>
      <c r="B1120" s="114" t="n">
        <v>1417600</v>
      </c>
      <c r="C1120" s="114" t="n">
        <v>32026.4999999999</v>
      </c>
    </row>
    <row r="1121" customFormat="false" ht="15" hidden="false" customHeight="true" outlineLevel="0" collapsed="false">
      <c r="A1121" s="115" t="n">
        <v>1417600.01</v>
      </c>
      <c r="B1121" s="115" t="n">
        <v>1418880</v>
      </c>
      <c r="C1121" s="115" t="n">
        <v>32055.1599999999</v>
      </c>
    </row>
    <row r="1122" customFormat="false" ht="15" hidden="false" customHeight="true" outlineLevel="0" collapsed="false">
      <c r="A1122" s="114" t="n">
        <v>1418880.01</v>
      </c>
      <c r="B1122" s="114" t="n">
        <v>1420160</v>
      </c>
      <c r="C1122" s="114" t="n">
        <v>32083.8199999999</v>
      </c>
    </row>
    <row r="1123" customFormat="false" ht="15" hidden="false" customHeight="true" outlineLevel="0" collapsed="false">
      <c r="A1123" s="115" t="n">
        <v>1420160.01</v>
      </c>
      <c r="B1123" s="115" t="n">
        <v>1421440</v>
      </c>
      <c r="C1123" s="115" t="n">
        <v>32112.4799999999</v>
      </c>
    </row>
    <row r="1124" customFormat="false" ht="15" hidden="false" customHeight="true" outlineLevel="0" collapsed="false">
      <c r="A1124" s="114" t="n">
        <v>1421440.01</v>
      </c>
      <c r="B1124" s="114" t="n">
        <v>1422720</v>
      </c>
      <c r="C1124" s="114" t="n">
        <v>32141.1399999999</v>
      </c>
    </row>
    <row r="1125" customFormat="false" ht="15" hidden="false" customHeight="true" outlineLevel="0" collapsed="false">
      <c r="A1125" s="115" t="n">
        <v>1422720.01</v>
      </c>
      <c r="B1125" s="115" t="n">
        <v>1424000</v>
      </c>
      <c r="C1125" s="115" t="n">
        <v>32169.7999999999</v>
      </c>
    </row>
    <row r="1126" customFormat="false" ht="15" hidden="false" customHeight="true" outlineLevel="0" collapsed="false">
      <c r="A1126" s="114" t="n">
        <v>1424000.01</v>
      </c>
      <c r="B1126" s="114" t="n">
        <v>1425280</v>
      </c>
      <c r="C1126" s="114" t="n">
        <v>32198.4599999999</v>
      </c>
    </row>
    <row r="1127" customFormat="false" ht="15" hidden="false" customHeight="true" outlineLevel="0" collapsed="false">
      <c r="A1127" s="115" t="n">
        <v>1425280.01</v>
      </c>
      <c r="B1127" s="115" t="n">
        <v>1426560</v>
      </c>
      <c r="C1127" s="115" t="n">
        <v>32227.1199999999</v>
      </c>
    </row>
    <row r="1128" customFormat="false" ht="15" hidden="false" customHeight="true" outlineLevel="0" collapsed="false">
      <c r="A1128" s="114" t="n">
        <v>1426560.01</v>
      </c>
      <c r="B1128" s="114" t="n">
        <v>1427840</v>
      </c>
      <c r="C1128" s="114" t="n">
        <v>32255.7799999999</v>
      </c>
    </row>
    <row r="1129" customFormat="false" ht="15" hidden="false" customHeight="true" outlineLevel="0" collapsed="false">
      <c r="A1129" s="115" t="n">
        <v>1427840.01</v>
      </c>
      <c r="B1129" s="115" t="n">
        <v>1429120</v>
      </c>
      <c r="C1129" s="115" t="n">
        <v>32284.4399999999</v>
      </c>
    </row>
    <row r="1130" customFormat="false" ht="15" hidden="false" customHeight="true" outlineLevel="0" collapsed="false">
      <c r="A1130" s="114" t="n">
        <v>1429120.01</v>
      </c>
      <c r="B1130" s="114" t="n">
        <v>1430400</v>
      </c>
      <c r="C1130" s="114" t="n">
        <v>32313.0999999999</v>
      </c>
    </row>
    <row r="1131" customFormat="false" ht="15" hidden="false" customHeight="true" outlineLevel="0" collapsed="false">
      <c r="A1131" s="115" t="n">
        <v>1430400.01</v>
      </c>
      <c r="B1131" s="115" t="n">
        <v>1431680</v>
      </c>
      <c r="C1131" s="115" t="n">
        <v>32341.7599999999</v>
      </c>
    </row>
    <row r="1132" customFormat="false" ht="15" hidden="false" customHeight="true" outlineLevel="0" collapsed="false">
      <c r="A1132" s="114" t="n">
        <v>1431680.01</v>
      </c>
      <c r="B1132" s="114" t="n">
        <v>1432960</v>
      </c>
      <c r="C1132" s="114" t="n">
        <v>32370.4199999999</v>
      </c>
    </row>
    <row r="1133" customFormat="false" ht="15" hidden="false" customHeight="true" outlineLevel="0" collapsed="false">
      <c r="A1133" s="115" t="n">
        <v>1432960.01</v>
      </c>
      <c r="B1133" s="115" t="n">
        <v>1434240</v>
      </c>
      <c r="C1133" s="115" t="n">
        <v>32399.0799999999</v>
      </c>
    </row>
    <row r="1134" customFormat="false" ht="15" hidden="false" customHeight="true" outlineLevel="0" collapsed="false">
      <c r="A1134" s="114" t="n">
        <v>1434240.01</v>
      </c>
      <c r="B1134" s="114" t="n">
        <v>1435520</v>
      </c>
      <c r="C1134" s="114" t="n">
        <v>32427.7399999999</v>
      </c>
    </row>
    <row r="1135" customFormat="false" ht="15" hidden="false" customHeight="true" outlineLevel="0" collapsed="false">
      <c r="A1135" s="115" t="n">
        <v>1435520.01</v>
      </c>
      <c r="B1135" s="115" t="n">
        <v>1436800</v>
      </c>
      <c r="C1135" s="115" t="n">
        <v>32456.3999999999</v>
      </c>
    </row>
    <row r="1136" customFormat="false" ht="15" hidden="false" customHeight="true" outlineLevel="0" collapsed="false">
      <c r="A1136" s="114" t="n">
        <v>1436800.01</v>
      </c>
      <c r="B1136" s="114" t="n">
        <v>1438080</v>
      </c>
      <c r="C1136" s="114" t="n">
        <v>32485.0599999999</v>
      </c>
    </row>
    <row r="1137" customFormat="false" ht="15" hidden="false" customHeight="true" outlineLevel="0" collapsed="false">
      <c r="A1137" s="115" t="n">
        <v>1438080.01</v>
      </c>
      <c r="B1137" s="115" t="n">
        <v>1439360</v>
      </c>
      <c r="C1137" s="115" t="n">
        <v>32513.7199999999</v>
      </c>
    </row>
    <row r="1138" customFormat="false" ht="15" hidden="false" customHeight="true" outlineLevel="0" collapsed="false">
      <c r="A1138" s="114" t="n">
        <v>1439360.01</v>
      </c>
      <c r="B1138" s="114" t="n">
        <v>1440640</v>
      </c>
      <c r="C1138" s="114" t="n">
        <v>32542.3799999999</v>
      </c>
    </row>
    <row r="1139" customFormat="false" ht="15" hidden="false" customHeight="true" outlineLevel="0" collapsed="false">
      <c r="A1139" s="115" t="n">
        <v>1440640.01</v>
      </c>
      <c r="B1139" s="115" t="n">
        <v>1441920</v>
      </c>
      <c r="C1139" s="115" t="n">
        <v>32571.0399999999</v>
      </c>
    </row>
    <row r="1140" customFormat="false" ht="15" hidden="false" customHeight="true" outlineLevel="0" collapsed="false">
      <c r="A1140" s="114" t="n">
        <v>1441920.01</v>
      </c>
      <c r="B1140" s="114" t="n">
        <v>1443200</v>
      </c>
      <c r="C1140" s="114" t="n">
        <v>32599.6999999999</v>
      </c>
    </row>
    <row r="1141" customFormat="false" ht="15" hidden="false" customHeight="true" outlineLevel="0" collapsed="false">
      <c r="A1141" s="115" t="n">
        <v>1443200.01</v>
      </c>
      <c r="B1141" s="115" t="n">
        <v>1444480</v>
      </c>
      <c r="C1141" s="115" t="n">
        <v>32628.3599999999</v>
      </c>
    </row>
    <row r="1142" customFormat="false" ht="15" hidden="false" customHeight="true" outlineLevel="0" collapsed="false">
      <c r="A1142" s="114" t="n">
        <v>1444480.01</v>
      </c>
      <c r="B1142" s="114" t="n">
        <v>1445760</v>
      </c>
      <c r="C1142" s="114" t="n">
        <v>32657.0199999999</v>
      </c>
    </row>
    <row r="1143" customFormat="false" ht="15" hidden="false" customHeight="true" outlineLevel="0" collapsed="false">
      <c r="A1143" s="115" t="n">
        <v>1445760.01</v>
      </c>
      <c r="B1143" s="115" t="n">
        <v>1447040</v>
      </c>
      <c r="C1143" s="115" t="n">
        <v>32685.6799999999</v>
      </c>
    </row>
    <row r="1144" customFormat="false" ht="15" hidden="false" customHeight="true" outlineLevel="0" collapsed="false">
      <c r="A1144" s="114" t="n">
        <v>1447040.01</v>
      </c>
      <c r="B1144" s="114" t="n">
        <v>1448320</v>
      </c>
      <c r="C1144" s="114" t="n">
        <v>32714.3399999999</v>
      </c>
    </row>
    <row r="1145" customFormat="false" ht="15" hidden="false" customHeight="true" outlineLevel="0" collapsed="false">
      <c r="A1145" s="115" t="n">
        <v>1448320.01</v>
      </c>
      <c r="B1145" s="115" t="n">
        <v>1449600</v>
      </c>
      <c r="C1145" s="115" t="n">
        <v>32742.9999999999</v>
      </c>
    </row>
    <row r="1146" customFormat="false" ht="15" hidden="false" customHeight="true" outlineLevel="0" collapsed="false">
      <c r="A1146" s="114" t="n">
        <v>1449600.01</v>
      </c>
      <c r="B1146" s="114" t="n">
        <v>1450880</v>
      </c>
      <c r="C1146" s="114" t="n">
        <v>32771.6599999999</v>
      </c>
    </row>
    <row r="1147" customFormat="false" ht="15" hidden="false" customHeight="true" outlineLevel="0" collapsed="false">
      <c r="A1147" s="115" t="n">
        <v>1450880.01</v>
      </c>
      <c r="B1147" s="115" t="n">
        <v>1452160</v>
      </c>
      <c r="C1147" s="115" t="n">
        <v>32800.3199999999</v>
      </c>
    </row>
    <row r="1148" customFormat="false" ht="15" hidden="false" customHeight="true" outlineLevel="0" collapsed="false">
      <c r="A1148" s="114" t="n">
        <v>1452160.01</v>
      </c>
      <c r="B1148" s="114" t="n">
        <v>1453440</v>
      </c>
      <c r="C1148" s="114" t="n">
        <v>32828.9799999999</v>
      </c>
    </row>
    <row r="1149" customFormat="false" ht="15" hidden="false" customHeight="true" outlineLevel="0" collapsed="false">
      <c r="A1149" s="115" t="n">
        <v>1453440.01</v>
      </c>
      <c r="B1149" s="115" t="n">
        <v>1454720</v>
      </c>
      <c r="C1149" s="115" t="n">
        <v>32857.6399999999</v>
      </c>
    </row>
    <row r="1150" customFormat="false" ht="15" hidden="false" customHeight="true" outlineLevel="0" collapsed="false">
      <c r="A1150" s="114" t="n">
        <v>1454720.01</v>
      </c>
      <c r="B1150" s="114" t="n">
        <v>1456000</v>
      </c>
      <c r="C1150" s="114" t="n">
        <v>32886.2999999999</v>
      </c>
    </row>
    <row r="1151" customFormat="false" ht="15" hidden="false" customHeight="true" outlineLevel="0" collapsed="false">
      <c r="A1151" s="115" t="n">
        <v>1456000.01</v>
      </c>
      <c r="B1151" s="115" t="n">
        <v>1457280</v>
      </c>
      <c r="C1151" s="115" t="n">
        <v>32914.9599999999</v>
      </c>
    </row>
    <row r="1152" customFormat="false" ht="15" hidden="false" customHeight="true" outlineLevel="0" collapsed="false">
      <c r="A1152" s="114" t="n">
        <v>1457280.01</v>
      </c>
      <c r="B1152" s="114" t="n">
        <v>1458560</v>
      </c>
      <c r="C1152" s="114" t="n">
        <v>32943.6199999999</v>
      </c>
    </row>
    <row r="1153" customFormat="false" ht="15" hidden="false" customHeight="true" outlineLevel="0" collapsed="false">
      <c r="A1153" s="115" t="n">
        <v>1458560.01</v>
      </c>
      <c r="B1153" s="115" t="n">
        <v>1459840</v>
      </c>
      <c r="C1153" s="115" t="n">
        <v>32972.2799999999</v>
      </c>
    </row>
    <row r="1154" customFormat="false" ht="15" hidden="false" customHeight="true" outlineLevel="0" collapsed="false">
      <c r="A1154" s="114" t="n">
        <v>1459840.01</v>
      </c>
      <c r="B1154" s="114" t="n">
        <v>1461120</v>
      </c>
      <c r="C1154" s="114" t="n">
        <v>33000.9399999999</v>
      </c>
    </row>
    <row r="1155" customFormat="false" ht="15" hidden="false" customHeight="true" outlineLevel="0" collapsed="false">
      <c r="A1155" s="115" t="n">
        <v>1461120.01</v>
      </c>
      <c r="B1155" s="115" t="n">
        <v>1462400</v>
      </c>
      <c r="C1155" s="115" t="n">
        <v>33029.5999999999</v>
      </c>
    </row>
    <row r="1156" customFormat="false" ht="15" hidden="false" customHeight="true" outlineLevel="0" collapsed="false">
      <c r="A1156" s="114" t="n">
        <v>1462400.01</v>
      </c>
      <c r="B1156" s="114" t="n">
        <v>1463680</v>
      </c>
      <c r="C1156" s="114" t="n">
        <v>33058.2599999999</v>
      </c>
    </row>
    <row r="1157" customFormat="false" ht="15" hidden="false" customHeight="true" outlineLevel="0" collapsed="false">
      <c r="A1157" s="115" t="n">
        <v>1463680.01</v>
      </c>
      <c r="B1157" s="115" t="n">
        <v>1464960</v>
      </c>
      <c r="C1157" s="115" t="n">
        <v>33086.9199999999</v>
      </c>
    </row>
    <row r="1158" customFormat="false" ht="15" hidden="false" customHeight="true" outlineLevel="0" collapsed="false">
      <c r="A1158" s="114" t="n">
        <v>1464960.01</v>
      </c>
      <c r="B1158" s="114" t="n">
        <v>1466240</v>
      </c>
      <c r="C1158" s="114" t="n">
        <v>33115.5799999999</v>
      </c>
    </row>
    <row r="1159" customFormat="false" ht="15" hidden="false" customHeight="true" outlineLevel="0" collapsed="false">
      <c r="A1159" s="115" t="n">
        <v>1466240.01</v>
      </c>
      <c r="B1159" s="115" t="n">
        <v>1467520</v>
      </c>
      <c r="C1159" s="115" t="n">
        <v>33144.2399999999</v>
      </c>
    </row>
    <row r="1160" customFormat="false" ht="15" hidden="false" customHeight="true" outlineLevel="0" collapsed="false">
      <c r="A1160" s="114" t="n">
        <v>1467520.01</v>
      </c>
      <c r="B1160" s="114" t="n">
        <v>1468800</v>
      </c>
      <c r="C1160" s="114" t="n">
        <v>33172.8999999999</v>
      </c>
    </row>
    <row r="1161" customFormat="false" ht="15" hidden="false" customHeight="true" outlineLevel="0" collapsed="false">
      <c r="A1161" s="115" t="n">
        <v>1468800.01</v>
      </c>
      <c r="B1161" s="115" t="n">
        <v>1470080</v>
      </c>
      <c r="C1161" s="115" t="n">
        <v>33201.5599999999</v>
      </c>
    </row>
    <row r="1162" customFormat="false" ht="15" hidden="false" customHeight="true" outlineLevel="0" collapsed="false">
      <c r="A1162" s="114" t="n">
        <v>1470080.01</v>
      </c>
      <c r="B1162" s="114" t="n">
        <v>1471360</v>
      </c>
      <c r="C1162" s="114" t="n">
        <v>33230.2199999999</v>
      </c>
    </row>
    <row r="1163" customFormat="false" ht="15" hidden="false" customHeight="true" outlineLevel="0" collapsed="false">
      <c r="A1163" s="115" t="n">
        <v>1471360.01</v>
      </c>
      <c r="B1163" s="115" t="n">
        <v>1472640</v>
      </c>
      <c r="C1163" s="115" t="n">
        <v>33258.8799999999</v>
      </c>
    </row>
    <row r="1164" customFormat="false" ht="15" hidden="false" customHeight="true" outlineLevel="0" collapsed="false">
      <c r="A1164" s="114" t="n">
        <v>1472640.01</v>
      </c>
      <c r="B1164" s="114" t="n">
        <v>1473920</v>
      </c>
      <c r="C1164" s="114" t="n">
        <v>33287.5399999999</v>
      </c>
    </row>
    <row r="1165" customFormat="false" ht="15" hidden="false" customHeight="true" outlineLevel="0" collapsed="false">
      <c r="A1165" s="115" t="n">
        <v>1473920.01</v>
      </c>
      <c r="B1165" s="115" t="n">
        <v>1475200</v>
      </c>
      <c r="C1165" s="115" t="n">
        <v>33316.1999999999</v>
      </c>
    </row>
    <row r="1166" customFormat="false" ht="15" hidden="false" customHeight="true" outlineLevel="0" collapsed="false">
      <c r="A1166" s="114" t="n">
        <v>1475200.01</v>
      </c>
      <c r="B1166" s="114" t="n">
        <v>1476480</v>
      </c>
      <c r="C1166" s="114" t="n">
        <v>33344.8599999999</v>
      </c>
    </row>
    <row r="1167" customFormat="false" ht="15" hidden="false" customHeight="true" outlineLevel="0" collapsed="false">
      <c r="A1167" s="115" t="n">
        <v>1476480.01</v>
      </c>
      <c r="B1167" s="115" t="n">
        <v>1477760</v>
      </c>
      <c r="C1167" s="115" t="n">
        <v>33373.5199999999</v>
      </c>
    </row>
    <row r="1168" customFormat="false" ht="15" hidden="false" customHeight="true" outlineLevel="0" collapsed="false">
      <c r="A1168" s="114" t="n">
        <v>1477760.01</v>
      </c>
      <c r="B1168" s="114" t="n">
        <v>1479040</v>
      </c>
      <c r="C1168" s="114" t="n">
        <v>33402.1799999999</v>
      </c>
    </row>
    <row r="1169" customFormat="false" ht="15" hidden="false" customHeight="true" outlineLevel="0" collapsed="false">
      <c r="A1169" s="115" t="n">
        <v>1479040.01</v>
      </c>
      <c r="B1169" s="115" t="n">
        <v>1480320</v>
      </c>
      <c r="C1169" s="115" t="n">
        <v>33430.8399999999</v>
      </c>
    </row>
    <row r="1170" customFormat="false" ht="15" hidden="false" customHeight="true" outlineLevel="0" collapsed="false">
      <c r="A1170" s="114" t="n">
        <v>1480320.01</v>
      </c>
      <c r="B1170" s="114" t="n">
        <v>1481600</v>
      </c>
      <c r="C1170" s="114" t="n">
        <v>33459.4999999999</v>
      </c>
    </row>
    <row r="1171" customFormat="false" ht="15" hidden="false" customHeight="true" outlineLevel="0" collapsed="false">
      <c r="A1171" s="115" t="n">
        <v>1481600.01</v>
      </c>
      <c r="B1171" s="115" t="n">
        <v>1482880</v>
      </c>
      <c r="C1171" s="115" t="n">
        <v>33488.1599999999</v>
      </c>
    </row>
    <row r="1172" customFormat="false" ht="15" hidden="false" customHeight="true" outlineLevel="0" collapsed="false">
      <c r="A1172" s="114" t="n">
        <v>1482880.01</v>
      </c>
      <c r="B1172" s="114" t="n">
        <v>1484160</v>
      </c>
      <c r="C1172" s="114" t="n">
        <v>33516.8199999999</v>
      </c>
    </row>
    <row r="1173" customFormat="false" ht="15" hidden="false" customHeight="true" outlineLevel="0" collapsed="false">
      <c r="A1173" s="115" t="n">
        <v>1484160.01</v>
      </c>
      <c r="B1173" s="115" t="n">
        <v>1485440</v>
      </c>
      <c r="C1173" s="115" t="n">
        <v>33545.4799999999</v>
      </c>
    </row>
    <row r="1174" customFormat="false" ht="15" hidden="false" customHeight="true" outlineLevel="0" collapsed="false">
      <c r="A1174" s="114" t="n">
        <v>1485440.01</v>
      </c>
      <c r="B1174" s="114" t="n">
        <v>1486720</v>
      </c>
      <c r="C1174" s="114" t="n">
        <v>33574.14</v>
      </c>
    </row>
    <row r="1175" customFormat="false" ht="15" hidden="false" customHeight="true" outlineLevel="0" collapsed="false">
      <c r="A1175" s="115" t="n">
        <v>1486720.01</v>
      </c>
      <c r="B1175" s="115" t="n">
        <v>1488000</v>
      </c>
      <c r="C1175" s="115" t="n">
        <v>33602.8</v>
      </c>
    </row>
    <row r="1176" customFormat="false" ht="15" hidden="false" customHeight="true" outlineLevel="0" collapsed="false">
      <c r="A1176" s="114" t="n">
        <v>1488000.01</v>
      </c>
      <c r="B1176" s="114" t="n">
        <v>1489280</v>
      </c>
      <c r="C1176" s="114" t="n">
        <v>33631.46</v>
      </c>
    </row>
    <row r="1177" customFormat="false" ht="15" hidden="false" customHeight="true" outlineLevel="0" collapsed="false">
      <c r="A1177" s="115" t="n">
        <v>1489280.01</v>
      </c>
      <c r="B1177" s="115" t="n">
        <v>1490560</v>
      </c>
      <c r="C1177" s="115" t="n">
        <v>33660.12</v>
      </c>
    </row>
    <row r="1178" customFormat="false" ht="15" hidden="false" customHeight="true" outlineLevel="0" collapsed="false">
      <c r="A1178" s="114" t="n">
        <v>1490560.01</v>
      </c>
      <c r="B1178" s="114" t="n">
        <v>1491840</v>
      </c>
      <c r="C1178" s="114" t="n">
        <v>33688.78</v>
      </c>
    </row>
    <row r="1179" customFormat="false" ht="15" hidden="false" customHeight="true" outlineLevel="0" collapsed="false">
      <c r="A1179" s="115" t="n">
        <v>1491840.01</v>
      </c>
      <c r="B1179" s="115" t="n">
        <v>1493120</v>
      </c>
      <c r="C1179" s="115" t="n">
        <v>33717.44</v>
      </c>
    </row>
    <row r="1180" customFormat="false" ht="15" hidden="false" customHeight="true" outlineLevel="0" collapsed="false">
      <c r="A1180" s="114" t="n">
        <v>1493120.01</v>
      </c>
      <c r="B1180" s="114" t="n">
        <v>1494400</v>
      </c>
      <c r="C1180" s="114" t="n">
        <v>33746.1</v>
      </c>
    </row>
    <row r="1181" customFormat="false" ht="15" hidden="false" customHeight="true" outlineLevel="0" collapsed="false">
      <c r="A1181" s="115" t="n">
        <v>1494400.01</v>
      </c>
      <c r="B1181" s="115" t="n">
        <v>1495680</v>
      </c>
      <c r="C1181" s="115" t="n">
        <v>33774.76</v>
      </c>
    </row>
    <row r="1182" customFormat="false" ht="15" hidden="false" customHeight="true" outlineLevel="0" collapsed="false">
      <c r="A1182" s="114" t="n">
        <v>1495680.01</v>
      </c>
      <c r="B1182" s="114" t="n">
        <v>1496960</v>
      </c>
      <c r="C1182" s="114" t="n">
        <v>33803.42</v>
      </c>
    </row>
    <row r="1183" customFormat="false" ht="15" hidden="false" customHeight="true" outlineLevel="0" collapsed="false">
      <c r="A1183" s="115" t="n">
        <v>1496960.01</v>
      </c>
      <c r="B1183" s="115" t="n">
        <v>1498240</v>
      </c>
      <c r="C1183" s="115" t="n">
        <v>33832.08</v>
      </c>
    </row>
    <row r="1184" customFormat="false" ht="15" hidden="false" customHeight="true" outlineLevel="0" collapsed="false">
      <c r="A1184" s="114" t="n">
        <v>1498240.01</v>
      </c>
      <c r="B1184" s="114" t="n">
        <v>1499520</v>
      </c>
      <c r="C1184" s="114" t="n">
        <v>33860.74</v>
      </c>
    </row>
    <row r="1185" customFormat="false" ht="15" hidden="false" customHeight="true" outlineLevel="0" collapsed="false">
      <c r="A1185" s="115" t="n">
        <v>1499520.01</v>
      </c>
      <c r="B1185" s="115" t="n">
        <v>1500800</v>
      </c>
      <c r="C1185" s="115" t="n">
        <v>33889.4</v>
      </c>
    </row>
    <row r="1186" customFormat="false" ht="15" hidden="false" customHeight="true" outlineLevel="0" collapsed="false">
      <c r="A1186" s="114" t="n">
        <v>1500800.01</v>
      </c>
      <c r="B1186" s="114" t="n">
        <v>1502080</v>
      </c>
      <c r="C1186" s="114" t="n">
        <v>33918.06</v>
      </c>
    </row>
    <row r="1187" customFormat="false" ht="15" hidden="false" customHeight="true" outlineLevel="0" collapsed="false">
      <c r="A1187" s="115" t="n">
        <v>1502080.01</v>
      </c>
      <c r="B1187" s="115" t="n">
        <v>1503360</v>
      </c>
      <c r="C1187" s="115" t="n">
        <v>33946.72</v>
      </c>
    </row>
    <row r="1188" customFormat="false" ht="15" hidden="false" customHeight="true" outlineLevel="0" collapsed="false">
      <c r="A1188" s="114" t="n">
        <v>1503360.01</v>
      </c>
      <c r="B1188" s="114" t="n">
        <v>1504640</v>
      </c>
      <c r="C1188" s="114" t="n">
        <v>33975.38</v>
      </c>
    </row>
    <row r="1189" customFormat="false" ht="15" hidden="false" customHeight="true" outlineLevel="0" collapsed="false">
      <c r="A1189" s="115" t="n">
        <v>1504640.01</v>
      </c>
      <c r="B1189" s="115" t="n">
        <v>1505920</v>
      </c>
      <c r="C1189" s="115" t="n">
        <v>34004.04</v>
      </c>
    </row>
    <row r="1190" customFormat="false" ht="15" hidden="false" customHeight="true" outlineLevel="0" collapsed="false">
      <c r="A1190" s="114" t="n">
        <v>1505920.01</v>
      </c>
      <c r="B1190" s="114" t="n">
        <v>1507200</v>
      </c>
      <c r="C1190" s="114" t="n">
        <v>34032.7</v>
      </c>
    </row>
    <row r="1191" customFormat="false" ht="15" hidden="false" customHeight="true" outlineLevel="0" collapsed="false">
      <c r="A1191" s="115" t="n">
        <v>1507200.01</v>
      </c>
      <c r="B1191" s="115" t="n">
        <v>1508480</v>
      </c>
      <c r="C1191" s="115" t="n">
        <v>34061.36</v>
      </c>
    </row>
    <row r="1192" customFormat="false" ht="15" hidden="false" customHeight="true" outlineLevel="0" collapsed="false">
      <c r="A1192" s="114" t="n">
        <v>1508480.01</v>
      </c>
      <c r="B1192" s="114" t="n">
        <v>1509760</v>
      </c>
      <c r="C1192" s="114" t="n">
        <v>34090.02</v>
      </c>
    </row>
    <row r="1193" customFormat="false" ht="15" hidden="false" customHeight="true" outlineLevel="0" collapsed="false">
      <c r="A1193" s="115" t="n">
        <v>1509760.01</v>
      </c>
      <c r="B1193" s="115" t="n">
        <v>1511040</v>
      </c>
      <c r="C1193" s="115" t="n">
        <v>34118.68</v>
      </c>
    </row>
    <row r="1194" customFormat="false" ht="15" hidden="false" customHeight="true" outlineLevel="0" collapsed="false">
      <c r="A1194" s="114" t="n">
        <v>1511040.01</v>
      </c>
      <c r="B1194" s="114" t="n">
        <v>1512320</v>
      </c>
      <c r="C1194" s="114" t="n">
        <v>34147.34</v>
      </c>
    </row>
    <row r="1195" customFormat="false" ht="15" hidden="false" customHeight="true" outlineLevel="0" collapsed="false">
      <c r="A1195" s="115" t="n">
        <v>1512320.01</v>
      </c>
      <c r="B1195" s="115" t="n">
        <v>1513600</v>
      </c>
      <c r="C1195" s="115" t="n">
        <v>34176</v>
      </c>
    </row>
    <row r="1196" customFormat="false" ht="15" hidden="false" customHeight="true" outlineLevel="0" collapsed="false">
      <c r="A1196" s="114" t="n">
        <v>1513600.01</v>
      </c>
      <c r="B1196" s="114" t="n">
        <v>1514880</v>
      </c>
      <c r="C1196" s="114" t="n">
        <v>34204.66</v>
      </c>
    </row>
    <row r="1197" customFormat="false" ht="15" hidden="false" customHeight="true" outlineLevel="0" collapsed="false">
      <c r="A1197" s="115" t="n">
        <v>1514880.01</v>
      </c>
      <c r="B1197" s="115" t="n">
        <v>1516160</v>
      </c>
      <c r="C1197" s="115" t="n">
        <v>34233.32</v>
      </c>
    </row>
    <row r="1198" customFormat="false" ht="15" hidden="false" customHeight="true" outlineLevel="0" collapsed="false">
      <c r="A1198" s="114" t="n">
        <v>1516160.01</v>
      </c>
      <c r="B1198" s="114" t="n">
        <v>1517440</v>
      </c>
      <c r="C1198" s="114" t="n">
        <v>34261.98</v>
      </c>
    </row>
    <row r="1199" customFormat="false" ht="15" hidden="false" customHeight="true" outlineLevel="0" collapsed="false">
      <c r="A1199" s="115" t="n">
        <v>1517440.01</v>
      </c>
      <c r="B1199" s="115" t="n">
        <v>1518720</v>
      </c>
      <c r="C1199" s="115" t="n">
        <v>34290.64</v>
      </c>
    </row>
    <row r="1200" customFormat="false" ht="15" hidden="false" customHeight="true" outlineLevel="0" collapsed="false">
      <c r="A1200" s="114" t="n">
        <v>1518720.01</v>
      </c>
      <c r="B1200" s="114" t="n">
        <v>1520000</v>
      </c>
      <c r="C1200" s="114" t="n">
        <v>34319.3</v>
      </c>
    </row>
    <row r="1201" customFormat="false" ht="15" hidden="false" customHeight="true" outlineLevel="0" collapsed="false">
      <c r="A1201" s="115" t="n">
        <v>1520000.01</v>
      </c>
      <c r="B1201" s="115" t="n">
        <v>1521280</v>
      </c>
      <c r="C1201" s="115" t="n">
        <v>34347.96</v>
      </c>
    </row>
    <row r="1202" customFormat="false" ht="15" hidden="false" customHeight="true" outlineLevel="0" collapsed="false">
      <c r="A1202" s="114" t="n">
        <v>1521280.01</v>
      </c>
      <c r="B1202" s="114" t="n">
        <v>1522560</v>
      </c>
      <c r="C1202" s="114" t="n">
        <v>34376.6200000001</v>
      </c>
    </row>
    <row r="1203" customFormat="false" ht="15" hidden="false" customHeight="true" outlineLevel="0" collapsed="false">
      <c r="A1203" s="115" t="n">
        <v>1522560.01</v>
      </c>
      <c r="B1203" s="115" t="n">
        <v>1523840</v>
      </c>
      <c r="C1203" s="115" t="n">
        <v>34405.2800000001</v>
      </c>
    </row>
    <row r="1204" customFormat="false" ht="15" hidden="false" customHeight="true" outlineLevel="0" collapsed="false">
      <c r="A1204" s="114" t="n">
        <v>1523840.01</v>
      </c>
      <c r="B1204" s="114" t="n">
        <v>1525120</v>
      </c>
      <c r="C1204" s="114" t="n">
        <v>34433.9400000001</v>
      </c>
    </row>
    <row r="1205" customFormat="false" ht="15" hidden="false" customHeight="true" outlineLevel="0" collapsed="false">
      <c r="A1205" s="115" t="n">
        <v>1525120.01</v>
      </c>
      <c r="B1205" s="115" t="n">
        <v>1526400</v>
      </c>
      <c r="C1205" s="115" t="n">
        <v>34462.6000000001</v>
      </c>
    </row>
    <row r="1206" customFormat="false" ht="15" hidden="false" customHeight="true" outlineLevel="0" collapsed="false">
      <c r="A1206" s="114" t="n">
        <v>1526400.01</v>
      </c>
      <c r="B1206" s="114" t="n">
        <v>1527680</v>
      </c>
      <c r="C1206" s="114" t="n">
        <v>34491.2600000001</v>
      </c>
    </row>
    <row r="1207" customFormat="false" ht="15" hidden="false" customHeight="true" outlineLevel="0" collapsed="false">
      <c r="A1207" s="115" t="n">
        <v>1527680.01</v>
      </c>
      <c r="B1207" s="115" t="n">
        <v>1528960</v>
      </c>
      <c r="C1207" s="115" t="n">
        <v>34519.9200000001</v>
      </c>
    </row>
    <row r="1208" customFormat="false" ht="15" hidden="false" customHeight="true" outlineLevel="0" collapsed="false">
      <c r="A1208" s="114" t="n">
        <v>1528960.01</v>
      </c>
      <c r="B1208" s="114" t="n">
        <v>1530240</v>
      </c>
      <c r="C1208" s="114" t="n">
        <v>34548.5800000001</v>
      </c>
    </row>
    <row r="1209" customFormat="false" ht="15" hidden="false" customHeight="true" outlineLevel="0" collapsed="false">
      <c r="A1209" s="115" t="n">
        <v>1530240.01</v>
      </c>
      <c r="B1209" s="115" t="n">
        <v>1531520</v>
      </c>
      <c r="C1209" s="115" t="n">
        <v>34577.2400000001</v>
      </c>
    </row>
    <row r="1210" customFormat="false" ht="15" hidden="false" customHeight="true" outlineLevel="0" collapsed="false">
      <c r="A1210" s="114" t="n">
        <v>1531520.01</v>
      </c>
      <c r="B1210" s="114" t="n">
        <v>1532800</v>
      </c>
      <c r="C1210" s="114" t="n">
        <v>34605.9000000001</v>
      </c>
    </row>
    <row r="1211" customFormat="false" ht="15" hidden="false" customHeight="true" outlineLevel="0" collapsed="false">
      <c r="A1211" s="115" t="n">
        <v>1532800.01</v>
      </c>
      <c r="B1211" s="115" t="n">
        <v>1534080</v>
      </c>
      <c r="C1211" s="115" t="n">
        <v>34634.5600000001</v>
      </c>
    </row>
    <row r="1212" customFormat="false" ht="15" hidden="false" customHeight="true" outlineLevel="0" collapsed="false">
      <c r="A1212" s="114" t="n">
        <v>1534080.01</v>
      </c>
      <c r="B1212" s="114" t="n">
        <v>1535360</v>
      </c>
      <c r="C1212" s="114" t="n">
        <v>34663.2200000001</v>
      </c>
    </row>
    <row r="1213" customFormat="false" ht="15" hidden="false" customHeight="true" outlineLevel="0" collapsed="false">
      <c r="A1213" s="115" t="n">
        <v>1535360.01</v>
      </c>
      <c r="B1213" s="115" t="n">
        <v>1536640</v>
      </c>
      <c r="C1213" s="115" t="n">
        <v>34691.8800000001</v>
      </c>
    </row>
    <row r="1214" customFormat="false" ht="15" hidden="false" customHeight="true" outlineLevel="0" collapsed="false">
      <c r="A1214" s="114" t="n">
        <v>1536640.01</v>
      </c>
      <c r="B1214" s="114" t="n">
        <v>1537920</v>
      </c>
      <c r="C1214" s="114" t="n">
        <v>34720.5400000001</v>
      </c>
    </row>
    <row r="1215" customFormat="false" ht="15" hidden="false" customHeight="true" outlineLevel="0" collapsed="false">
      <c r="A1215" s="115" t="n">
        <v>1537920.01</v>
      </c>
      <c r="B1215" s="115" t="n">
        <v>1539200</v>
      </c>
      <c r="C1215" s="115" t="n">
        <v>34749.2000000001</v>
      </c>
    </row>
    <row r="1216" customFormat="false" ht="15" hidden="false" customHeight="true" outlineLevel="0" collapsed="false">
      <c r="A1216" s="114" t="n">
        <v>1539200.01</v>
      </c>
      <c r="B1216" s="114" t="n">
        <v>1540480</v>
      </c>
      <c r="C1216" s="114" t="n">
        <v>34777.8600000001</v>
      </c>
    </row>
    <row r="1217" customFormat="false" ht="15" hidden="false" customHeight="true" outlineLevel="0" collapsed="false">
      <c r="A1217" s="115" t="n">
        <v>1540480.01</v>
      </c>
      <c r="B1217" s="115" t="n">
        <v>1541760</v>
      </c>
      <c r="C1217" s="115" t="n">
        <v>34806.5200000001</v>
      </c>
    </row>
    <row r="1218" customFormat="false" ht="15" hidden="false" customHeight="true" outlineLevel="0" collapsed="false">
      <c r="A1218" s="114" t="n">
        <v>1541760.01</v>
      </c>
      <c r="B1218" s="114" t="n">
        <v>1543040</v>
      </c>
      <c r="C1218" s="114" t="n">
        <v>34835.1800000001</v>
      </c>
    </row>
    <row r="1219" customFormat="false" ht="15" hidden="false" customHeight="true" outlineLevel="0" collapsed="false">
      <c r="A1219" s="115" t="n">
        <v>1543040.01</v>
      </c>
      <c r="B1219" s="115" t="n">
        <v>1544320</v>
      </c>
      <c r="C1219" s="115" t="n">
        <v>34863.8400000001</v>
      </c>
    </row>
    <row r="1220" customFormat="false" ht="15" hidden="false" customHeight="true" outlineLevel="0" collapsed="false">
      <c r="A1220" s="114" t="n">
        <v>1544320.01</v>
      </c>
      <c r="B1220" s="114" t="n">
        <v>1545600</v>
      </c>
      <c r="C1220" s="114" t="n">
        <v>34892.5000000001</v>
      </c>
    </row>
    <row r="1221" customFormat="false" ht="15" hidden="false" customHeight="true" outlineLevel="0" collapsed="false">
      <c r="A1221" s="115" t="n">
        <v>1545600.01</v>
      </c>
      <c r="B1221" s="115" t="n">
        <v>1546880</v>
      </c>
      <c r="C1221" s="115" t="n">
        <v>34921.1600000001</v>
      </c>
    </row>
    <row r="1222" customFormat="false" ht="15" hidden="false" customHeight="true" outlineLevel="0" collapsed="false">
      <c r="A1222" s="114" t="n">
        <v>1546880.01</v>
      </c>
      <c r="B1222" s="114" t="n">
        <v>1548160</v>
      </c>
      <c r="C1222" s="114" t="n">
        <v>34949.8200000001</v>
      </c>
    </row>
    <row r="1223" customFormat="false" ht="15" hidden="false" customHeight="true" outlineLevel="0" collapsed="false">
      <c r="A1223" s="115" t="n">
        <v>1548160.01</v>
      </c>
      <c r="B1223" s="115" t="n">
        <v>1549440</v>
      </c>
      <c r="C1223" s="115" t="n">
        <v>34978.4800000001</v>
      </c>
    </row>
    <row r="1224" customFormat="false" ht="15" hidden="false" customHeight="true" outlineLevel="0" collapsed="false">
      <c r="A1224" s="114" t="n">
        <v>1549440.01</v>
      </c>
      <c r="B1224" s="114" t="n">
        <v>1550720</v>
      </c>
      <c r="C1224" s="114" t="n">
        <v>35007.1400000001</v>
      </c>
    </row>
    <row r="1225" customFormat="false" ht="15" hidden="false" customHeight="true" outlineLevel="0" collapsed="false">
      <c r="A1225" s="115" t="n">
        <v>1550720.01</v>
      </c>
      <c r="B1225" s="115" t="n">
        <v>1552000</v>
      </c>
      <c r="C1225" s="115" t="n">
        <v>35035.8000000001</v>
      </c>
    </row>
    <row r="1226" customFormat="false" ht="15" hidden="false" customHeight="true" outlineLevel="0" collapsed="false">
      <c r="A1226" s="114" t="n">
        <v>1552000.01</v>
      </c>
      <c r="B1226" s="114" t="n">
        <v>1553280</v>
      </c>
      <c r="C1226" s="114" t="n">
        <v>35064.4600000001</v>
      </c>
    </row>
    <row r="1227" customFormat="false" ht="15" hidden="false" customHeight="true" outlineLevel="0" collapsed="false">
      <c r="A1227" s="115" t="n">
        <v>1553280.01</v>
      </c>
      <c r="B1227" s="115" t="n">
        <v>1554560</v>
      </c>
      <c r="C1227" s="115" t="n">
        <v>35093.1200000001</v>
      </c>
    </row>
    <row r="1228" customFormat="false" ht="15" hidden="false" customHeight="true" outlineLevel="0" collapsed="false">
      <c r="A1228" s="114" t="n">
        <v>1554560.01</v>
      </c>
      <c r="B1228" s="114" t="n">
        <v>1555840</v>
      </c>
      <c r="C1228" s="114" t="n">
        <v>35121.7800000001</v>
      </c>
    </row>
    <row r="1229" customFormat="false" ht="15" hidden="false" customHeight="true" outlineLevel="0" collapsed="false">
      <c r="A1229" s="115" t="n">
        <v>1555840.01</v>
      </c>
      <c r="B1229" s="115" t="n">
        <v>1557120</v>
      </c>
      <c r="C1229" s="115" t="n">
        <v>35150.4400000001</v>
      </c>
    </row>
    <row r="1230" customFormat="false" ht="15" hidden="false" customHeight="true" outlineLevel="0" collapsed="false">
      <c r="A1230" s="114" t="n">
        <v>1557120.01</v>
      </c>
      <c r="B1230" s="114" t="n">
        <v>1558400</v>
      </c>
      <c r="C1230" s="114" t="n">
        <v>35179.1000000001</v>
      </c>
    </row>
    <row r="1231" customFormat="false" ht="15" hidden="false" customHeight="true" outlineLevel="0" collapsed="false">
      <c r="A1231" s="115" t="n">
        <v>1558400.01</v>
      </c>
      <c r="B1231" s="115" t="n">
        <v>1559680</v>
      </c>
      <c r="C1231" s="115" t="n">
        <v>35207.7600000002</v>
      </c>
    </row>
    <row r="1232" customFormat="false" ht="15" hidden="false" customHeight="true" outlineLevel="0" collapsed="false">
      <c r="A1232" s="114" t="n">
        <v>1559680.01</v>
      </c>
      <c r="B1232" s="114" t="n">
        <v>1560960</v>
      </c>
      <c r="C1232" s="114" t="n">
        <v>35236.4200000002</v>
      </c>
    </row>
    <row r="1233" customFormat="false" ht="15" hidden="false" customHeight="true" outlineLevel="0" collapsed="false">
      <c r="A1233" s="115" t="n">
        <v>1560960.01</v>
      </c>
      <c r="B1233" s="115" t="n">
        <v>1562240</v>
      </c>
      <c r="C1233" s="115" t="n">
        <v>35265.0800000002</v>
      </c>
    </row>
    <row r="1234" customFormat="false" ht="15" hidden="false" customHeight="true" outlineLevel="0" collapsed="false">
      <c r="A1234" s="114" t="n">
        <v>1562240.01</v>
      </c>
      <c r="B1234" s="114" t="n">
        <v>1563520</v>
      </c>
      <c r="C1234" s="114" t="n">
        <v>35293.7400000002</v>
      </c>
    </row>
    <row r="1235" customFormat="false" ht="15" hidden="false" customHeight="true" outlineLevel="0" collapsed="false">
      <c r="A1235" s="115" t="n">
        <v>1563520.01</v>
      </c>
      <c r="B1235" s="115" t="n">
        <v>1564800</v>
      </c>
      <c r="C1235" s="115" t="n">
        <v>35322.4000000002</v>
      </c>
    </row>
    <row r="1236" customFormat="false" ht="15" hidden="false" customHeight="true" outlineLevel="0" collapsed="false">
      <c r="A1236" s="114" t="n">
        <v>1564800.01</v>
      </c>
      <c r="B1236" s="114" t="n">
        <v>1566080</v>
      </c>
      <c r="C1236" s="114" t="n">
        <v>35351.0600000002</v>
      </c>
    </row>
    <row r="1237" customFormat="false" ht="15" hidden="false" customHeight="true" outlineLevel="0" collapsed="false">
      <c r="A1237" s="115" t="n">
        <v>1566080.01</v>
      </c>
      <c r="B1237" s="115" t="n">
        <v>1567360</v>
      </c>
      <c r="C1237" s="115" t="n">
        <v>35379.7200000002</v>
      </c>
    </row>
    <row r="1238" customFormat="false" ht="15" hidden="false" customHeight="true" outlineLevel="0" collapsed="false">
      <c r="A1238" s="114" t="n">
        <v>1567360.01</v>
      </c>
      <c r="B1238" s="114" t="n">
        <v>1568640</v>
      </c>
      <c r="C1238" s="114" t="n">
        <v>35408.3800000002</v>
      </c>
    </row>
    <row r="1239" customFormat="false" ht="15" hidden="false" customHeight="true" outlineLevel="0" collapsed="false">
      <c r="A1239" s="115" t="n">
        <v>1568640.01</v>
      </c>
      <c r="B1239" s="115" t="n">
        <v>1569920</v>
      </c>
      <c r="C1239" s="115" t="n">
        <v>35437.0400000002</v>
      </c>
    </row>
    <row r="1240" customFormat="false" ht="15" hidden="false" customHeight="true" outlineLevel="0" collapsed="false">
      <c r="A1240" s="114" t="n">
        <v>1569920.01</v>
      </c>
      <c r="B1240" s="114" t="n">
        <v>1571200</v>
      </c>
      <c r="C1240" s="114" t="n">
        <v>35465.7000000002</v>
      </c>
    </row>
    <row r="1241" customFormat="false" ht="15" hidden="false" customHeight="true" outlineLevel="0" collapsed="false">
      <c r="A1241" s="115" t="n">
        <v>1571200.01</v>
      </c>
      <c r="B1241" s="115" t="n">
        <v>1572480</v>
      </c>
      <c r="C1241" s="115" t="n">
        <v>35494.3600000002</v>
      </c>
    </row>
    <row r="1242" customFormat="false" ht="15" hidden="false" customHeight="true" outlineLevel="0" collapsed="false">
      <c r="A1242" s="114" t="n">
        <v>1572480.01</v>
      </c>
      <c r="B1242" s="114" t="n">
        <v>1573760</v>
      </c>
      <c r="C1242" s="114" t="n">
        <v>35523.0200000002</v>
      </c>
    </row>
    <row r="1243" customFormat="false" ht="15" hidden="false" customHeight="true" outlineLevel="0" collapsed="false">
      <c r="A1243" s="115" t="n">
        <v>1573760.01</v>
      </c>
      <c r="B1243" s="115" t="n">
        <v>1575040</v>
      </c>
      <c r="C1243" s="115" t="n">
        <v>35551.6800000002</v>
      </c>
    </row>
    <row r="1244" customFormat="false" ht="15" hidden="false" customHeight="true" outlineLevel="0" collapsed="false">
      <c r="A1244" s="114" t="n">
        <v>1575040.01</v>
      </c>
      <c r="B1244" s="114" t="n">
        <v>1576320</v>
      </c>
      <c r="C1244" s="114" t="n">
        <v>35580.3400000002</v>
      </c>
    </row>
    <row r="1245" customFormat="false" ht="15" hidden="false" customHeight="true" outlineLevel="0" collapsed="false">
      <c r="A1245" s="115" t="n">
        <v>1576320.01</v>
      </c>
      <c r="B1245" s="115" t="n">
        <v>1577600</v>
      </c>
      <c r="C1245" s="115" t="n">
        <v>35609.0000000002</v>
      </c>
    </row>
    <row r="1246" customFormat="false" ht="15" hidden="false" customHeight="true" outlineLevel="0" collapsed="false">
      <c r="A1246" s="114" t="n">
        <v>1577600.01</v>
      </c>
      <c r="B1246" s="114" t="n">
        <v>1578880</v>
      </c>
      <c r="C1246" s="114" t="n">
        <v>35637.6600000002</v>
      </c>
    </row>
    <row r="1247" customFormat="false" ht="15" hidden="false" customHeight="true" outlineLevel="0" collapsed="false">
      <c r="A1247" s="115" t="n">
        <v>1578880.01</v>
      </c>
      <c r="B1247" s="115" t="n">
        <v>1580160</v>
      </c>
      <c r="C1247" s="115" t="n">
        <v>35666.3200000002</v>
      </c>
    </row>
    <row r="1248" customFormat="false" ht="15" hidden="false" customHeight="true" outlineLevel="0" collapsed="false">
      <c r="A1248" s="114" t="n">
        <v>1580160.01</v>
      </c>
      <c r="B1248" s="114" t="n">
        <v>1581440</v>
      </c>
      <c r="C1248" s="114" t="n">
        <v>35694.9800000002</v>
      </c>
    </row>
    <row r="1249" customFormat="false" ht="15" hidden="false" customHeight="true" outlineLevel="0" collapsed="false">
      <c r="A1249" s="115" t="n">
        <v>1581440.01</v>
      </c>
      <c r="B1249" s="115" t="n">
        <v>1582720</v>
      </c>
      <c r="C1249" s="115" t="n">
        <v>35723.6400000002</v>
      </c>
    </row>
    <row r="1250" customFormat="false" ht="15" hidden="false" customHeight="true" outlineLevel="0" collapsed="false">
      <c r="A1250" s="114" t="n">
        <v>1582720.01</v>
      </c>
      <c r="B1250" s="114" t="n">
        <v>1584000</v>
      </c>
      <c r="C1250" s="114" t="n">
        <v>35752.3000000002</v>
      </c>
    </row>
    <row r="1251" customFormat="false" ht="15" hidden="false" customHeight="true" outlineLevel="0" collapsed="false">
      <c r="A1251" s="115" t="n">
        <v>1584000.01</v>
      </c>
      <c r="B1251" s="115" t="n">
        <v>1585280</v>
      </c>
      <c r="C1251" s="115" t="n">
        <v>35780.9600000002</v>
      </c>
    </row>
    <row r="1252" customFormat="false" ht="15" hidden="false" customHeight="true" outlineLevel="0" collapsed="false">
      <c r="A1252" s="114" t="n">
        <v>1585280.01</v>
      </c>
      <c r="B1252" s="114" t="n">
        <v>1586560</v>
      </c>
      <c r="C1252" s="114" t="n">
        <v>35809.6200000002</v>
      </c>
    </row>
    <row r="1253" customFormat="false" ht="15" hidden="false" customHeight="true" outlineLevel="0" collapsed="false">
      <c r="A1253" s="115" t="n">
        <v>1586560.01</v>
      </c>
      <c r="B1253" s="115" t="n">
        <v>1587840</v>
      </c>
      <c r="C1253" s="115" t="n">
        <v>35838.2800000002</v>
      </c>
    </row>
    <row r="1254" customFormat="false" ht="15" hidden="false" customHeight="true" outlineLevel="0" collapsed="false">
      <c r="A1254" s="114" t="n">
        <v>1587840.01</v>
      </c>
      <c r="B1254" s="114" t="n">
        <v>1589120</v>
      </c>
      <c r="C1254" s="114" t="n">
        <v>35866.9400000002</v>
      </c>
    </row>
    <row r="1255" customFormat="false" ht="15" hidden="false" customHeight="true" outlineLevel="0" collapsed="false">
      <c r="A1255" s="115" t="n">
        <v>1589120.01</v>
      </c>
      <c r="B1255" s="115" t="n">
        <v>1590400</v>
      </c>
      <c r="C1255" s="115" t="n">
        <v>35895.6000000002</v>
      </c>
    </row>
    <row r="1256" customFormat="false" ht="15" hidden="false" customHeight="true" outlineLevel="0" collapsed="false">
      <c r="A1256" s="114" t="n">
        <v>1590400.01</v>
      </c>
      <c r="B1256" s="114" t="n">
        <v>1591680</v>
      </c>
      <c r="C1256" s="114" t="n">
        <v>35924.2600000002</v>
      </c>
    </row>
    <row r="1257" customFormat="false" ht="15" hidden="false" customHeight="true" outlineLevel="0" collapsed="false">
      <c r="A1257" s="115" t="n">
        <v>1591680.01</v>
      </c>
      <c r="B1257" s="115" t="n">
        <v>1592960</v>
      </c>
      <c r="C1257" s="115" t="n">
        <v>35952.9200000002</v>
      </c>
    </row>
    <row r="1258" customFormat="false" ht="15" hidden="false" customHeight="true" outlineLevel="0" collapsed="false">
      <c r="A1258" s="114" t="n">
        <v>1592960.01</v>
      </c>
      <c r="B1258" s="114" t="n">
        <v>1594240</v>
      </c>
      <c r="C1258" s="114" t="n">
        <v>35981.5800000002</v>
      </c>
    </row>
    <row r="1259" customFormat="false" ht="15" hidden="false" customHeight="true" outlineLevel="0" collapsed="false">
      <c r="A1259" s="115" t="n">
        <v>1594240.01</v>
      </c>
      <c r="B1259" s="115" t="n">
        <v>1595520</v>
      </c>
      <c r="C1259" s="115" t="n">
        <v>36010.2400000003</v>
      </c>
    </row>
    <row r="1260" customFormat="false" ht="15" hidden="false" customHeight="true" outlineLevel="0" collapsed="false">
      <c r="A1260" s="114" t="n">
        <v>1595520.01</v>
      </c>
      <c r="B1260" s="114" t="n">
        <v>1596800</v>
      </c>
      <c r="C1260" s="114" t="n">
        <v>36038.9000000003</v>
      </c>
    </row>
    <row r="1261" customFormat="false" ht="15" hidden="false" customHeight="true" outlineLevel="0" collapsed="false">
      <c r="A1261" s="115" t="n">
        <v>1596800.01</v>
      </c>
      <c r="B1261" s="115" t="n">
        <v>1598080</v>
      </c>
      <c r="C1261" s="115" t="n">
        <v>36067.5600000003</v>
      </c>
    </row>
    <row r="1262" customFormat="false" ht="15" hidden="false" customHeight="true" outlineLevel="0" collapsed="false">
      <c r="A1262" s="114" t="n">
        <v>1598080.01</v>
      </c>
      <c r="B1262" s="114" t="n">
        <v>1599360</v>
      </c>
      <c r="C1262" s="114" t="n">
        <v>36096.2200000003</v>
      </c>
    </row>
    <row r="1263" customFormat="false" ht="15" hidden="false" customHeight="true" outlineLevel="0" collapsed="false">
      <c r="A1263" s="115" t="n">
        <v>1599360.01</v>
      </c>
      <c r="B1263" s="115" t="n">
        <v>1600640</v>
      </c>
      <c r="C1263" s="115" t="n">
        <v>36124.8800000003</v>
      </c>
    </row>
    <row r="1264" customFormat="false" ht="15" hidden="false" customHeight="true" outlineLevel="0" collapsed="false">
      <c r="A1264" s="114" t="n">
        <v>1600640.01</v>
      </c>
      <c r="B1264" s="114" t="n">
        <v>1601920</v>
      </c>
      <c r="C1264" s="114" t="n">
        <v>36153.5400000003</v>
      </c>
    </row>
    <row r="1265" customFormat="false" ht="15" hidden="false" customHeight="true" outlineLevel="0" collapsed="false">
      <c r="A1265" s="115" t="n">
        <v>1601920.01</v>
      </c>
      <c r="B1265" s="115" t="n">
        <v>1603200</v>
      </c>
      <c r="C1265" s="115" t="n">
        <v>36182.2000000003</v>
      </c>
    </row>
    <row r="1266" customFormat="false" ht="15" hidden="false" customHeight="true" outlineLevel="0" collapsed="false">
      <c r="A1266" s="114" t="n">
        <v>1603200.01</v>
      </c>
      <c r="B1266" s="114" t="n">
        <v>1604480</v>
      </c>
      <c r="C1266" s="114" t="n">
        <v>36210.8600000003</v>
      </c>
    </row>
    <row r="1267" customFormat="false" ht="15" hidden="false" customHeight="true" outlineLevel="0" collapsed="false">
      <c r="A1267" s="115" t="n">
        <v>1604480.01</v>
      </c>
      <c r="B1267" s="115" t="n">
        <v>1605760</v>
      </c>
      <c r="C1267" s="115" t="n">
        <v>36239.5200000003</v>
      </c>
    </row>
    <row r="1268" customFormat="false" ht="15" hidden="false" customHeight="true" outlineLevel="0" collapsed="false">
      <c r="A1268" s="114" t="n">
        <v>1605760.01</v>
      </c>
      <c r="B1268" s="114" t="n">
        <v>1607040</v>
      </c>
      <c r="C1268" s="114" t="n">
        <v>36268.1800000003</v>
      </c>
    </row>
    <row r="1269" customFormat="false" ht="15" hidden="false" customHeight="true" outlineLevel="0" collapsed="false">
      <c r="A1269" s="115" t="n">
        <v>1607040.01</v>
      </c>
      <c r="B1269" s="115" t="n">
        <v>1608320</v>
      </c>
      <c r="C1269" s="115" t="n">
        <v>36296.8400000003</v>
      </c>
    </row>
    <row r="1270" customFormat="false" ht="15" hidden="false" customHeight="true" outlineLevel="0" collapsed="false">
      <c r="A1270" s="114" t="n">
        <v>1608320.01</v>
      </c>
      <c r="B1270" s="114" t="n">
        <v>1609600</v>
      </c>
      <c r="C1270" s="114" t="n">
        <v>36325.5000000003</v>
      </c>
    </row>
    <row r="1271" customFormat="false" ht="15" hidden="false" customHeight="true" outlineLevel="0" collapsed="false">
      <c r="A1271" s="115" t="n">
        <v>1609600.01</v>
      </c>
      <c r="B1271" s="115" t="n">
        <v>1610880</v>
      </c>
      <c r="C1271" s="115" t="n">
        <v>36354.1600000003</v>
      </c>
    </row>
    <row r="1272" customFormat="false" ht="15" hidden="false" customHeight="true" outlineLevel="0" collapsed="false">
      <c r="A1272" s="114" t="n">
        <v>1610880.01</v>
      </c>
      <c r="B1272" s="114" t="n">
        <v>1612160</v>
      </c>
      <c r="C1272" s="114" t="n">
        <v>36382.8200000003</v>
      </c>
    </row>
    <row r="1273" customFormat="false" ht="15" hidden="false" customHeight="true" outlineLevel="0" collapsed="false">
      <c r="A1273" s="115" t="n">
        <v>1612160.01</v>
      </c>
      <c r="B1273" s="115" t="n">
        <v>1613440</v>
      </c>
      <c r="C1273" s="115" t="n">
        <v>36411.4800000003</v>
      </c>
    </row>
    <row r="1274" customFormat="false" ht="15" hidden="false" customHeight="true" outlineLevel="0" collapsed="false">
      <c r="A1274" s="114" t="n">
        <v>1613440.01</v>
      </c>
      <c r="B1274" s="114" t="n">
        <v>1614720</v>
      </c>
      <c r="C1274" s="114" t="n">
        <v>36440.1400000003</v>
      </c>
    </row>
    <row r="1275" customFormat="false" ht="15" hidden="false" customHeight="true" outlineLevel="0" collapsed="false">
      <c r="A1275" s="115" t="n">
        <v>1614720.01</v>
      </c>
      <c r="B1275" s="115" t="n">
        <v>1616000</v>
      </c>
      <c r="C1275" s="115" t="n">
        <v>36468.8000000003</v>
      </c>
    </row>
    <row r="1276" customFormat="false" ht="15" hidden="false" customHeight="true" outlineLevel="0" collapsed="false">
      <c r="A1276" s="114" t="n">
        <v>1616000.01</v>
      </c>
      <c r="B1276" s="114" t="n">
        <v>1617280</v>
      </c>
      <c r="C1276" s="114" t="n">
        <v>36497.4600000003</v>
      </c>
    </row>
    <row r="1277" customFormat="false" ht="15" hidden="false" customHeight="true" outlineLevel="0" collapsed="false">
      <c r="A1277" s="115" t="n">
        <v>1617280.01</v>
      </c>
      <c r="B1277" s="115" t="n">
        <v>1618560</v>
      </c>
      <c r="C1277" s="115" t="n">
        <v>36526.1200000003</v>
      </c>
    </row>
    <row r="1278" customFormat="false" ht="15" hidden="false" customHeight="true" outlineLevel="0" collapsed="false">
      <c r="A1278" s="114" t="n">
        <v>1618560.01</v>
      </c>
      <c r="B1278" s="114" t="n">
        <v>1619840</v>
      </c>
      <c r="C1278" s="114" t="n">
        <v>36554.7800000003</v>
      </c>
    </row>
    <row r="1279" customFormat="false" ht="15" hidden="false" customHeight="true" outlineLevel="0" collapsed="false">
      <c r="A1279" s="115" t="n">
        <v>1619840.01</v>
      </c>
      <c r="B1279" s="115" t="n">
        <v>1621120</v>
      </c>
      <c r="C1279" s="115" t="n">
        <v>36583.4400000003</v>
      </c>
    </row>
    <row r="1280" customFormat="false" ht="15" hidden="false" customHeight="true" outlineLevel="0" collapsed="false">
      <c r="A1280" s="114" t="n">
        <v>1621120.01</v>
      </c>
      <c r="B1280" s="114" t="n">
        <v>1622400</v>
      </c>
      <c r="C1280" s="114" t="n">
        <v>36612.1000000003</v>
      </c>
    </row>
    <row r="1281" customFormat="false" ht="15" hidden="false" customHeight="true" outlineLevel="0" collapsed="false">
      <c r="A1281" s="115" t="n">
        <v>1622400.01</v>
      </c>
      <c r="B1281" s="115" t="n">
        <v>1623680</v>
      </c>
      <c r="C1281" s="115" t="n">
        <v>36640.7600000003</v>
      </c>
    </row>
    <row r="1282" customFormat="false" ht="15" hidden="false" customHeight="true" outlineLevel="0" collapsed="false">
      <c r="A1282" s="114" t="n">
        <v>1623680.01</v>
      </c>
      <c r="B1282" s="114" t="n">
        <v>1624960</v>
      </c>
      <c r="C1282" s="114" t="n">
        <v>36669.4200000003</v>
      </c>
    </row>
    <row r="1283" customFormat="false" ht="15" hidden="false" customHeight="true" outlineLevel="0" collapsed="false">
      <c r="A1283" s="115" t="n">
        <v>1624960.01</v>
      </c>
      <c r="B1283" s="115" t="n">
        <v>1626240</v>
      </c>
      <c r="C1283" s="115" t="n">
        <v>36698.0800000003</v>
      </c>
    </row>
    <row r="1284" customFormat="false" ht="15" hidden="false" customHeight="true" outlineLevel="0" collapsed="false">
      <c r="A1284" s="114" t="n">
        <v>1626240.01</v>
      </c>
      <c r="B1284" s="114" t="n">
        <v>1627520</v>
      </c>
      <c r="C1284" s="114" t="n">
        <v>36726.7400000003</v>
      </c>
    </row>
    <row r="1285" customFormat="false" ht="15" hidden="false" customHeight="true" outlineLevel="0" collapsed="false">
      <c r="A1285" s="115" t="n">
        <v>1627520.01</v>
      </c>
      <c r="B1285" s="115" t="n">
        <v>1628800</v>
      </c>
      <c r="C1285" s="115" t="n">
        <v>36755.4000000003</v>
      </c>
    </row>
    <row r="1286" customFormat="false" ht="15" hidden="false" customHeight="true" outlineLevel="0" collapsed="false">
      <c r="A1286" s="114" t="n">
        <v>1628800.01</v>
      </c>
      <c r="B1286" s="114" t="n">
        <v>1630080</v>
      </c>
      <c r="C1286" s="114" t="n">
        <v>36784.0600000003</v>
      </c>
    </row>
    <row r="1287" customFormat="false" ht="15" hidden="false" customHeight="true" outlineLevel="0" collapsed="false">
      <c r="A1287" s="115" t="n">
        <v>1630080.01</v>
      </c>
      <c r="B1287" s="115" t="n">
        <v>1631360</v>
      </c>
      <c r="C1287" s="115" t="n">
        <v>36812.7200000003</v>
      </c>
    </row>
    <row r="1288" customFormat="false" ht="15" hidden="false" customHeight="true" outlineLevel="0" collapsed="false">
      <c r="A1288" s="114" t="n">
        <v>1631360.01</v>
      </c>
      <c r="B1288" s="114" t="n">
        <v>1632640</v>
      </c>
      <c r="C1288" s="114" t="n">
        <v>36841.3800000004</v>
      </c>
    </row>
    <row r="1289" customFormat="false" ht="15" hidden="false" customHeight="true" outlineLevel="0" collapsed="false">
      <c r="A1289" s="115" t="n">
        <v>1632640.01</v>
      </c>
      <c r="B1289" s="115" t="n">
        <v>1633920</v>
      </c>
      <c r="C1289" s="115" t="n">
        <v>36870.0400000004</v>
      </c>
    </row>
    <row r="1290" customFormat="false" ht="15" hidden="false" customHeight="true" outlineLevel="0" collapsed="false">
      <c r="A1290" s="114" t="n">
        <v>1633920.01</v>
      </c>
      <c r="B1290" s="114" t="n">
        <v>1635200</v>
      </c>
      <c r="C1290" s="114" t="n">
        <v>36898.7000000004</v>
      </c>
    </row>
    <row r="1291" customFormat="false" ht="15" hidden="false" customHeight="true" outlineLevel="0" collapsed="false">
      <c r="A1291" s="115" t="n">
        <v>1635200.01</v>
      </c>
      <c r="B1291" s="115" t="n">
        <v>1636480</v>
      </c>
      <c r="C1291" s="115" t="n">
        <v>36927.3600000004</v>
      </c>
    </row>
    <row r="1292" customFormat="false" ht="15" hidden="false" customHeight="true" outlineLevel="0" collapsed="false">
      <c r="A1292" s="114" t="n">
        <v>1636480.01</v>
      </c>
      <c r="B1292" s="114" t="n">
        <v>1637760</v>
      </c>
      <c r="C1292" s="114" t="n">
        <v>36956.0200000004</v>
      </c>
    </row>
    <row r="1293" customFormat="false" ht="15" hidden="false" customHeight="true" outlineLevel="0" collapsed="false">
      <c r="A1293" s="115" t="n">
        <v>1637760.01</v>
      </c>
      <c r="B1293" s="115" t="n">
        <v>1639040</v>
      </c>
      <c r="C1293" s="115" t="n">
        <v>36984.6800000004</v>
      </c>
    </row>
    <row r="1294" customFormat="false" ht="15" hidden="false" customHeight="true" outlineLevel="0" collapsed="false">
      <c r="A1294" s="114" t="n">
        <v>1639040.01</v>
      </c>
      <c r="B1294" s="114" t="n">
        <v>1640320</v>
      </c>
      <c r="C1294" s="114" t="n">
        <v>37013.3400000004</v>
      </c>
    </row>
    <row r="1295" customFormat="false" ht="15" hidden="false" customHeight="true" outlineLevel="0" collapsed="false">
      <c r="A1295" s="115" t="n">
        <v>1640320.01</v>
      </c>
      <c r="B1295" s="115" t="n">
        <v>1641600</v>
      </c>
      <c r="C1295" s="115" t="n">
        <v>37042.0000000004</v>
      </c>
    </row>
    <row r="1296" customFormat="false" ht="15" hidden="false" customHeight="true" outlineLevel="0" collapsed="false">
      <c r="A1296" s="114" t="n">
        <v>1641600.01</v>
      </c>
      <c r="B1296" s="114" t="n">
        <v>1642880</v>
      </c>
      <c r="C1296" s="114" t="n">
        <v>37070.6600000004</v>
      </c>
    </row>
    <row r="1297" customFormat="false" ht="15" hidden="false" customHeight="true" outlineLevel="0" collapsed="false">
      <c r="A1297" s="115" t="n">
        <v>1642880.01</v>
      </c>
      <c r="B1297" s="115" t="n">
        <v>1644160</v>
      </c>
      <c r="C1297" s="115" t="n">
        <v>37099.3200000004</v>
      </c>
    </row>
    <row r="1298" customFormat="false" ht="15" hidden="false" customHeight="true" outlineLevel="0" collapsed="false">
      <c r="A1298" s="114" t="n">
        <v>1644160.01</v>
      </c>
      <c r="B1298" s="114" t="n">
        <v>1645440</v>
      </c>
      <c r="C1298" s="114" t="n">
        <v>37127.9800000004</v>
      </c>
    </row>
    <row r="1299" customFormat="false" ht="15" hidden="false" customHeight="true" outlineLevel="0" collapsed="false">
      <c r="A1299" s="115" t="n">
        <v>1645440.01</v>
      </c>
      <c r="B1299" s="115" t="n">
        <v>1646720</v>
      </c>
      <c r="C1299" s="115" t="n">
        <v>37156.6400000004</v>
      </c>
    </row>
    <row r="1300" customFormat="false" ht="15" hidden="false" customHeight="true" outlineLevel="0" collapsed="false">
      <c r="A1300" s="114" t="n">
        <v>1646720.01</v>
      </c>
      <c r="B1300" s="114" t="n">
        <v>1648000</v>
      </c>
      <c r="C1300" s="114" t="n">
        <v>37185.3000000004</v>
      </c>
    </row>
    <row r="1301" customFormat="false" ht="15" hidden="false" customHeight="true" outlineLevel="0" collapsed="false">
      <c r="A1301" s="115" t="n">
        <v>1648000.01</v>
      </c>
      <c r="B1301" s="115" t="n">
        <v>1649280</v>
      </c>
      <c r="C1301" s="115" t="n">
        <v>37213.9600000004</v>
      </c>
    </row>
    <row r="1302" customFormat="false" ht="15" hidden="false" customHeight="true" outlineLevel="0" collapsed="false">
      <c r="A1302" s="114" t="n">
        <v>1649280.01</v>
      </c>
      <c r="B1302" s="114" t="n">
        <v>1650560</v>
      </c>
      <c r="C1302" s="114" t="n">
        <v>37242.6200000004</v>
      </c>
    </row>
    <row r="1303" customFormat="false" ht="15" hidden="false" customHeight="true" outlineLevel="0" collapsed="false">
      <c r="A1303" s="115" t="n">
        <v>1650560.01</v>
      </c>
      <c r="B1303" s="115" t="n">
        <v>1651840</v>
      </c>
      <c r="C1303" s="115" t="n">
        <v>37271.2800000004</v>
      </c>
    </row>
    <row r="1304" customFormat="false" ht="15" hidden="false" customHeight="true" outlineLevel="0" collapsed="false">
      <c r="A1304" s="114" t="n">
        <v>1651840.01</v>
      </c>
      <c r="B1304" s="114" t="n">
        <v>1653120</v>
      </c>
      <c r="C1304" s="114" t="n">
        <v>37299.9400000004</v>
      </c>
    </row>
    <row r="1305" customFormat="false" ht="15" hidden="false" customHeight="true" outlineLevel="0" collapsed="false">
      <c r="A1305" s="115" t="n">
        <v>1653120.01</v>
      </c>
      <c r="B1305" s="115" t="n">
        <v>1654400</v>
      </c>
      <c r="C1305" s="115" t="n">
        <v>37328.6000000004</v>
      </c>
    </row>
    <row r="1306" customFormat="false" ht="15" hidden="false" customHeight="true" outlineLevel="0" collapsed="false">
      <c r="A1306" s="114" t="n">
        <v>1654400.01</v>
      </c>
      <c r="B1306" s="114" t="n">
        <v>1655680</v>
      </c>
      <c r="C1306" s="114" t="n">
        <v>37357.2600000004</v>
      </c>
    </row>
    <row r="1307" customFormat="false" ht="15" hidden="false" customHeight="true" outlineLevel="0" collapsed="false">
      <c r="A1307" s="115" t="n">
        <v>1655680.01</v>
      </c>
      <c r="B1307" s="115" t="n">
        <v>1656960</v>
      </c>
      <c r="C1307" s="115" t="n">
        <v>37385.9200000004</v>
      </c>
    </row>
    <row r="1308" customFormat="false" ht="15" hidden="false" customHeight="true" outlineLevel="0" collapsed="false">
      <c r="A1308" s="114" t="n">
        <v>1656960.01</v>
      </c>
      <c r="B1308" s="114" t="n">
        <v>1658240</v>
      </c>
      <c r="C1308" s="114" t="n">
        <v>37414.5800000004</v>
      </c>
    </row>
    <row r="1309" customFormat="false" ht="15" hidden="false" customHeight="true" outlineLevel="0" collapsed="false">
      <c r="A1309" s="115" t="n">
        <v>1658240.01</v>
      </c>
      <c r="B1309" s="115" t="n">
        <v>1659520</v>
      </c>
      <c r="C1309" s="115" t="n">
        <v>37443.2400000004</v>
      </c>
    </row>
    <row r="1310" customFormat="false" ht="15" hidden="false" customHeight="true" outlineLevel="0" collapsed="false">
      <c r="A1310" s="114" t="n">
        <v>1659520.01</v>
      </c>
      <c r="B1310" s="114" t="n">
        <v>1660800</v>
      </c>
      <c r="C1310" s="114" t="n">
        <v>37471.9000000004</v>
      </c>
    </row>
    <row r="1311" customFormat="false" ht="15" hidden="false" customHeight="true" outlineLevel="0" collapsed="false">
      <c r="A1311" s="115" t="n">
        <v>1660800.01</v>
      </c>
      <c r="B1311" s="115" t="n">
        <v>1662080</v>
      </c>
      <c r="C1311" s="115" t="n">
        <v>37500.5600000004</v>
      </c>
    </row>
    <row r="1312" customFormat="false" ht="15" hidden="false" customHeight="true" outlineLevel="0" collapsed="false">
      <c r="A1312" s="114" t="n">
        <v>1662080.01</v>
      </c>
      <c r="B1312" s="114" t="n">
        <v>1663360</v>
      </c>
      <c r="C1312" s="114" t="n">
        <v>37529.2200000004</v>
      </c>
    </row>
    <row r="1313" customFormat="false" ht="15" hidden="false" customHeight="true" outlineLevel="0" collapsed="false">
      <c r="A1313" s="115" t="n">
        <v>1663360.01</v>
      </c>
      <c r="B1313" s="115" t="n">
        <v>1664640</v>
      </c>
      <c r="C1313" s="115" t="n">
        <v>37557.8800000004</v>
      </c>
    </row>
    <row r="1314" customFormat="false" ht="15" hidden="false" customHeight="true" outlineLevel="0" collapsed="false">
      <c r="A1314" s="114" t="n">
        <v>1664640.01</v>
      </c>
      <c r="B1314" s="114" t="n">
        <v>1665920</v>
      </c>
      <c r="C1314" s="114" t="n">
        <v>37586.5400000004</v>
      </c>
    </row>
    <row r="1315" customFormat="false" ht="15" hidden="false" customHeight="true" outlineLevel="0" collapsed="false">
      <c r="A1315" s="115" t="n">
        <v>1665920.01</v>
      </c>
      <c r="B1315" s="115" t="n">
        <v>1667200</v>
      </c>
      <c r="C1315" s="115" t="n">
        <v>37615.2000000004</v>
      </c>
    </row>
    <row r="1316" customFormat="false" ht="15" hidden="false" customHeight="true" outlineLevel="0" collapsed="false">
      <c r="A1316" s="114" t="n">
        <v>1667200.01</v>
      </c>
      <c r="B1316" s="114" t="n">
        <v>1668480</v>
      </c>
      <c r="C1316" s="114" t="n">
        <v>37643.8600000004</v>
      </c>
    </row>
    <row r="1317" customFormat="false" ht="15" hidden="false" customHeight="true" outlineLevel="0" collapsed="false">
      <c r="A1317" s="115" t="n">
        <v>1668480.01</v>
      </c>
      <c r="B1317" s="115" t="n">
        <v>1669760</v>
      </c>
      <c r="C1317" s="115" t="n">
        <v>37672.5200000005</v>
      </c>
    </row>
    <row r="1318" customFormat="false" ht="15" hidden="false" customHeight="true" outlineLevel="0" collapsed="false">
      <c r="A1318" s="114" t="n">
        <v>1669760.01</v>
      </c>
      <c r="B1318" s="114" t="n">
        <v>1671040</v>
      </c>
      <c r="C1318" s="114" t="n">
        <v>37701.1800000005</v>
      </c>
    </row>
    <row r="1319" customFormat="false" ht="15" hidden="false" customHeight="true" outlineLevel="0" collapsed="false">
      <c r="A1319" s="115" t="n">
        <v>1671040.01</v>
      </c>
      <c r="B1319" s="115" t="n">
        <v>1672320</v>
      </c>
      <c r="C1319" s="115" t="n">
        <v>37729.8400000005</v>
      </c>
    </row>
    <row r="1320" customFormat="false" ht="15" hidden="false" customHeight="true" outlineLevel="0" collapsed="false">
      <c r="A1320" s="114" t="n">
        <v>1672320.01</v>
      </c>
      <c r="B1320" s="114" t="n">
        <v>1673600</v>
      </c>
      <c r="C1320" s="114" t="n">
        <v>37758.5000000005</v>
      </c>
    </row>
    <row r="1321" customFormat="false" ht="15" hidden="false" customHeight="true" outlineLevel="0" collapsed="false">
      <c r="A1321" s="115" t="n">
        <v>1673600.01</v>
      </c>
      <c r="B1321" s="115" t="n">
        <v>1674880</v>
      </c>
      <c r="C1321" s="115" t="n">
        <v>37787.1600000005</v>
      </c>
    </row>
    <row r="1322" customFormat="false" ht="15" hidden="false" customHeight="true" outlineLevel="0" collapsed="false">
      <c r="A1322" s="114" t="n">
        <v>1674880.01</v>
      </c>
      <c r="B1322" s="114" t="n">
        <v>1676160</v>
      </c>
      <c r="C1322" s="114" t="n">
        <v>37815.8200000005</v>
      </c>
    </row>
    <row r="1323" customFormat="false" ht="15" hidden="false" customHeight="true" outlineLevel="0" collapsed="false">
      <c r="A1323" s="115" t="n">
        <v>1676160.01</v>
      </c>
      <c r="B1323" s="115" t="n">
        <v>1677440</v>
      </c>
      <c r="C1323" s="115" t="n">
        <v>37844.4800000005</v>
      </c>
    </row>
    <row r="1324" customFormat="false" ht="15" hidden="false" customHeight="true" outlineLevel="0" collapsed="false">
      <c r="A1324" s="114" t="n">
        <v>1677440.01</v>
      </c>
      <c r="B1324" s="114" t="n">
        <v>1678720</v>
      </c>
      <c r="C1324" s="114" t="n">
        <v>37873.1400000005</v>
      </c>
    </row>
    <row r="1325" customFormat="false" ht="15" hidden="false" customHeight="true" outlineLevel="0" collapsed="false">
      <c r="A1325" s="115" t="n">
        <v>1678720.01</v>
      </c>
      <c r="B1325" s="115" t="n">
        <v>1680000</v>
      </c>
      <c r="C1325" s="115" t="n">
        <v>37901.8000000005</v>
      </c>
    </row>
    <row r="1326" customFormat="false" ht="15" hidden="false" customHeight="true" outlineLevel="0" collapsed="false">
      <c r="A1326" s="114" t="n">
        <v>1680000.01</v>
      </c>
      <c r="B1326" s="114" t="n">
        <v>1681280</v>
      </c>
      <c r="C1326" s="114" t="n">
        <v>37930.4600000005</v>
      </c>
    </row>
    <row r="1327" customFormat="false" ht="15" hidden="false" customHeight="true" outlineLevel="0" collapsed="false">
      <c r="A1327" s="115" t="n">
        <v>1681280.01</v>
      </c>
      <c r="B1327" s="115" t="n">
        <v>1682560</v>
      </c>
      <c r="C1327" s="115" t="n">
        <v>37959.1200000005</v>
      </c>
    </row>
    <row r="1328" customFormat="false" ht="15" hidden="false" customHeight="true" outlineLevel="0" collapsed="false">
      <c r="A1328" s="114" t="n">
        <v>1682560.01</v>
      </c>
      <c r="B1328" s="114" t="n">
        <v>1683840</v>
      </c>
      <c r="C1328" s="114" t="n">
        <v>37987.7800000005</v>
      </c>
    </row>
    <row r="1329" customFormat="false" ht="15" hidden="false" customHeight="true" outlineLevel="0" collapsed="false">
      <c r="A1329" s="115" t="n">
        <v>1683840.01</v>
      </c>
      <c r="B1329" s="115" t="n">
        <v>1685120</v>
      </c>
      <c r="C1329" s="115" t="n">
        <v>38016.4400000005</v>
      </c>
    </row>
    <row r="1330" customFormat="false" ht="15" hidden="false" customHeight="true" outlineLevel="0" collapsed="false">
      <c r="A1330" s="114" t="n">
        <v>1685120.01</v>
      </c>
      <c r="B1330" s="114" t="n">
        <v>1686400</v>
      </c>
      <c r="C1330" s="114" t="n">
        <v>38045.1000000005</v>
      </c>
    </row>
    <row r="1331" customFormat="false" ht="15" hidden="false" customHeight="true" outlineLevel="0" collapsed="false">
      <c r="A1331" s="115" t="n">
        <v>1686400.01</v>
      </c>
      <c r="B1331" s="115" t="n">
        <v>1687680</v>
      </c>
      <c r="C1331" s="115" t="n">
        <v>38073.7600000005</v>
      </c>
    </row>
    <row r="1332" customFormat="false" ht="15" hidden="false" customHeight="true" outlineLevel="0" collapsed="false">
      <c r="A1332" s="114" t="n">
        <v>1687680.01</v>
      </c>
      <c r="B1332" s="114" t="n">
        <v>1688960</v>
      </c>
      <c r="C1332" s="114" t="n">
        <v>38102.4200000005</v>
      </c>
    </row>
    <row r="1333" customFormat="false" ht="15" hidden="false" customHeight="true" outlineLevel="0" collapsed="false">
      <c r="A1333" s="115" t="n">
        <v>1688960.01</v>
      </c>
      <c r="B1333" s="115" t="n">
        <v>1690240</v>
      </c>
      <c r="C1333" s="115" t="n">
        <v>38131.0800000005</v>
      </c>
    </row>
    <row r="1334" customFormat="false" ht="15" hidden="false" customHeight="true" outlineLevel="0" collapsed="false">
      <c r="A1334" s="114" t="n">
        <v>1690240.01</v>
      </c>
      <c r="B1334" s="114" t="n">
        <v>1691520</v>
      </c>
      <c r="C1334" s="114" t="n">
        <v>38159.7400000005</v>
      </c>
    </row>
    <row r="1335" customFormat="false" ht="15" hidden="false" customHeight="true" outlineLevel="0" collapsed="false">
      <c r="A1335" s="115" t="n">
        <v>1691520.01</v>
      </c>
      <c r="B1335" s="115" t="n">
        <v>1692800</v>
      </c>
      <c r="C1335" s="115" t="n">
        <v>38188.4000000005</v>
      </c>
    </row>
    <row r="1336" customFormat="false" ht="15" hidden="false" customHeight="true" outlineLevel="0" collapsed="false">
      <c r="A1336" s="114" t="n">
        <v>1692800.01</v>
      </c>
      <c r="B1336" s="114" t="n">
        <v>1694080</v>
      </c>
      <c r="C1336" s="114" t="n">
        <v>38217.0600000005</v>
      </c>
    </row>
    <row r="1337" customFormat="false" ht="15" hidden="false" customHeight="true" outlineLevel="0" collapsed="false">
      <c r="A1337" s="115" t="n">
        <v>1694080.01</v>
      </c>
      <c r="B1337" s="115" t="n">
        <v>1695360</v>
      </c>
      <c r="C1337" s="115" t="n">
        <v>38245.7200000005</v>
      </c>
    </row>
    <row r="1338" customFormat="false" ht="15" hidden="false" customHeight="true" outlineLevel="0" collapsed="false">
      <c r="A1338" s="114" t="n">
        <v>1695360.01</v>
      </c>
      <c r="B1338" s="114" t="n">
        <v>1696640</v>
      </c>
      <c r="C1338" s="114" t="n">
        <v>38274.3800000005</v>
      </c>
    </row>
    <row r="1339" customFormat="false" ht="15" hidden="false" customHeight="true" outlineLevel="0" collapsed="false">
      <c r="A1339" s="115" t="n">
        <v>1696640.01</v>
      </c>
      <c r="B1339" s="115" t="n">
        <v>1697920</v>
      </c>
      <c r="C1339" s="115" t="n">
        <v>38303.0400000005</v>
      </c>
    </row>
    <row r="1340" customFormat="false" ht="15" hidden="false" customHeight="true" outlineLevel="0" collapsed="false">
      <c r="A1340" s="114" t="n">
        <v>1697920.01</v>
      </c>
      <c r="B1340" s="114" t="n">
        <v>1699200</v>
      </c>
      <c r="C1340" s="114" t="n">
        <v>38331.7000000005</v>
      </c>
    </row>
    <row r="1341" customFormat="false" ht="15" hidden="false" customHeight="true" outlineLevel="0" collapsed="false">
      <c r="A1341" s="115" t="n">
        <v>1699200.01</v>
      </c>
      <c r="B1341" s="115" t="n">
        <v>1700480</v>
      </c>
      <c r="C1341" s="115" t="n">
        <v>38360.3600000005</v>
      </c>
    </row>
    <row r="1342" customFormat="false" ht="15" hidden="false" customHeight="true" outlineLevel="0" collapsed="false">
      <c r="A1342" s="114" t="n">
        <v>1700480.01</v>
      </c>
      <c r="B1342" s="114" t="n">
        <v>1701760</v>
      </c>
      <c r="C1342" s="114" t="n">
        <v>38389.0200000005</v>
      </c>
    </row>
    <row r="1343" customFormat="false" ht="15" hidden="false" customHeight="true" outlineLevel="0" collapsed="false">
      <c r="A1343" s="115" t="n">
        <v>1701760.01</v>
      </c>
      <c r="B1343" s="115" t="n">
        <v>1703040</v>
      </c>
      <c r="C1343" s="115" t="n">
        <v>38417.6800000005</v>
      </c>
    </row>
    <row r="1344" customFormat="false" ht="15" hidden="false" customHeight="true" outlineLevel="0" collapsed="false">
      <c r="A1344" s="114" t="n">
        <v>1703040.01</v>
      </c>
      <c r="B1344" s="114" t="n">
        <v>1704320</v>
      </c>
      <c r="C1344" s="114" t="n">
        <v>38446.3400000005</v>
      </c>
    </row>
    <row r="1345" customFormat="false" ht="15" hidden="false" customHeight="true" outlineLevel="0" collapsed="false">
      <c r="A1345" s="115" t="n">
        <v>1704320.01</v>
      </c>
      <c r="B1345" s="115" t="n">
        <v>1705600</v>
      </c>
      <c r="C1345" s="115" t="n">
        <v>38475.0000000006</v>
      </c>
    </row>
    <row r="1346" customFormat="false" ht="15" hidden="false" customHeight="true" outlineLevel="0" collapsed="false">
      <c r="A1346" s="114" t="n">
        <v>1705600.01</v>
      </c>
      <c r="B1346" s="114" t="n">
        <v>1706880</v>
      </c>
      <c r="C1346" s="114" t="n">
        <v>38503.6600000006</v>
      </c>
    </row>
    <row r="1347" customFormat="false" ht="15" hidden="false" customHeight="true" outlineLevel="0" collapsed="false">
      <c r="A1347" s="115" t="n">
        <v>1706880.01</v>
      </c>
      <c r="B1347" s="115" t="n">
        <v>1708160</v>
      </c>
      <c r="C1347" s="115" t="n">
        <v>38532.3200000006</v>
      </c>
    </row>
    <row r="1348" customFormat="false" ht="15" hidden="false" customHeight="true" outlineLevel="0" collapsed="false">
      <c r="A1348" s="114" t="n">
        <v>1708160.01</v>
      </c>
      <c r="B1348" s="114" t="n">
        <v>1709440</v>
      </c>
      <c r="C1348" s="114" t="n">
        <v>38560.9800000006</v>
      </c>
    </row>
    <row r="1349" customFormat="false" ht="15" hidden="false" customHeight="true" outlineLevel="0" collapsed="false">
      <c r="A1349" s="115" t="n">
        <v>1709440.01</v>
      </c>
      <c r="B1349" s="115" t="n">
        <v>1710720</v>
      </c>
      <c r="C1349" s="115" t="n">
        <v>38589.6400000006</v>
      </c>
    </row>
    <row r="1350" customFormat="false" ht="15" hidden="false" customHeight="true" outlineLevel="0" collapsed="false">
      <c r="A1350" s="114" t="n">
        <v>1710720.01</v>
      </c>
      <c r="B1350" s="114" t="n">
        <v>1712000</v>
      </c>
      <c r="C1350" s="114" t="n">
        <v>38618.3000000006</v>
      </c>
    </row>
    <row r="1351" customFormat="false" ht="15" hidden="false" customHeight="true" outlineLevel="0" collapsed="false">
      <c r="A1351" s="115" t="n">
        <v>1712000.01</v>
      </c>
      <c r="B1351" s="115" t="n">
        <v>1713280</v>
      </c>
      <c r="C1351" s="115" t="n">
        <v>38646.9600000006</v>
      </c>
    </row>
    <row r="1352" customFormat="false" ht="15" hidden="false" customHeight="true" outlineLevel="0" collapsed="false">
      <c r="A1352" s="114" t="n">
        <v>1713280.01</v>
      </c>
      <c r="B1352" s="114" t="n">
        <v>1714560</v>
      </c>
      <c r="C1352" s="114" t="n">
        <v>38675.6200000006</v>
      </c>
    </row>
    <row r="1353" customFormat="false" ht="15" hidden="false" customHeight="true" outlineLevel="0" collapsed="false">
      <c r="A1353" s="115" t="n">
        <v>1714560.01</v>
      </c>
      <c r="B1353" s="115" t="n">
        <v>1715840</v>
      </c>
      <c r="C1353" s="115" t="n">
        <v>38704.2800000006</v>
      </c>
    </row>
    <row r="1354" customFormat="false" ht="15" hidden="false" customHeight="true" outlineLevel="0" collapsed="false">
      <c r="A1354" s="114" t="n">
        <v>1715840.01</v>
      </c>
      <c r="B1354" s="114" t="n">
        <v>1717120</v>
      </c>
      <c r="C1354" s="114" t="n">
        <v>38732.9400000006</v>
      </c>
    </row>
    <row r="1355" customFormat="false" ht="15" hidden="false" customHeight="true" outlineLevel="0" collapsed="false">
      <c r="A1355" s="115" t="n">
        <v>1717120.01</v>
      </c>
      <c r="B1355" s="115" t="n">
        <v>1718400</v>
      </c>
      <c r="C1355" s="115" t="n">
        <v>38761.6000000006</v>
      </c>
    </row>
    <row r="1356" customFormat="false" ht="15" hidden="false" customHeight="true" outlineLevel="0" collapsed="false">
      <c r="A1356" s="114" t="n">
        <v>1718400.01</v>
      </c>
      <c r="B1356" s="114" t="n">
        <v>1719680</v>
      </c>
      <c r="C1356" s="114" t="n">
        <v>38790.2600000006</v>
      </c>
    </row>
    <row r="1357" customFormat="false" ht="15" hidden="false" customHeight="true" outlineLevel="0" collapsed="false">
      <c r="A1357" s="115" t="n">
        <v>1719680.01</v>
      </c>
      <c r="B1357" s="115" t="n">
        <v>1720960</v>
      </c>
      <c r="C1357" s="115" t="n">
        <v>38818.9200000006</v>
      </c>
    </row>
    <row r="1358" customFormat="false" ht="15" hidden="false" customHeight="true" outlineLevel="0" collapsed="false">
      <c r="A1358" s="114" t="n">
        <v>1720960.01</v>
      </c>
      <c r="B1358" s="114" t="n">
        <v>1722240</v>
      </c>
      <c r="C1358" s="114" t="n">
        <v>38847.5800000006</v>
      </c>
    </row>
    <row r="1359" customFormat="false" ht="15" hidden="false" customHeight="true" outlineLevel="0" collapsed="false">
      <c r="A1359" s="115" t="n">
        <v>1722240.01</v>
      </c>
      <c r="B1359" s="115" t="n">
        <v>1723520</v>
      </c>
      <c r="C1359" s="115" t="n">
        <v>38876.2400000006</v>
      </c>
    </row>
    <row r="1360" customFormat="false" ht="15" hidden="false" customHeight="true" outlineLevel="0" collapsed="false">
      <c r="A1360" s="114" t="n">
        <v>1723520.01</v>
      </c>
      <c r="B1360" s="114" t="n">
        <v>1724800</v>
      </c>
      <c r="C1360" s="114" t="n">
        <v>38904.9000000006</v>
      </c>
    </row>
    <row r="1361" customFormat="false" ht="15" hidden="false" customHeight="true" outlineLevel="0" collapsed="false">
      <c r="A1361" s="115" t="n">
        <v>1724800.01</v>
      </c>
      <c r="B1361" s="115" t="n">
        <v>1726080</v>
      </c>
      <c r="C1361" s="115" t="n">
        <v>38933.5600000006</v>
      </c>
    </row>
    <row r="1362" customFormat="false" ht="15" hidden="false" customHeight="true" outlineLevel="0" collapsed="false">
      <c r="A1362" s="114" t="n">
        <v>1726080.01</v>
      </c>
      <c r="B1362" s="114" t="n">
        <v>1727360</v>
      </c>
      <c r="C1362" s="114" t="n">
        <v>38962.2200000006</v>
      </c>
    </row>
    <row r="1363" customFormat="false" ht="15" hidden="false" customHeight="true" outlineLevel="0" collapsed="false">
      <c r="A1363" s="115" t="n">
        <v>1727360.01</v>
      </c>
      <c r="B1363" s="115" t="n">
        <v>1728640</v>
      </c>
      <c r="C1363" s="115" t="n">
        <v>38990.8800000006</v>
      </c>
    </row>
    <row r="1364" customFormat="false" ht="15" hidden="false" customHeight="true" outlineLevel="0" collapsed="false">
      <c r="A1364" s="114" t="n">
        <v>1728640.01</v>
      </c>
      <c r="B1364" s="114" t="n">
        <v>1729920</v>
      </c>
      <c r="C1364" s="114" t="n">
        <v>39019.5400000006</v>
      </c>
    </row>
    <row r="1365" customFormat="false" ht="15" hidden="false" customHeight="true" outlineLevel="0" collapsed="false">
      <c r="A1365" s="115" t="n">
        <v>1729920.01</v>
      </c>
      <c r="B1365" s="115" t="n">
        <v>1731200</v>
      </c>
      <c r="C1365" s="115" t="n">
        <v>39048.2000000006</v>
      </c>
    </row>
    <row r="1366" customFormat="false" ht="15" hidden="false" customHeight="true" outlineLevel="0" collapsed="false">
      <c r="A1366" s="114" t="n">
        <v>1731200.01</v>
      </c>
      <c r="B1366" s="114" t="n">
        <v>1732480</v>
      </c>
      <c r="C1366" s="114" t="n">
        <v>39076.8600000006</v>
      </c>
    </row>
    <row r="1367" customFormat="false" ht="15" hidden="false" customHeight="true" outlineLevel="0" collapsed="false">
      <c r="A1367" s="115" t="n">
        <v>1732480.01</v>
      </c>
      <c r="B1367" s="115" t="n">
        <v>1733760</v>
      </c>
      <c r="C1367" s="115" t="n">
        <v>39105.5200000006</v>
      </c>
    </row>
    <row r="1368" customFormat="false" ht="15" hidden="false" customHeight="true" outlineLevel="0" collapsed="false">
      <c r="A1368" s="114" t="n">
        <v>1733760.01</v>
      </c>
      <c r="B1368" s="114" t="n">
        <v>1735040</v>
      </c>
      <c r="C1368" s="114" t="n">
        <v>39134.1800000006</v>
      </c>
    </row>
    <row r="1369" customFormat="false" ht="15" hidden="false" customHeight="true" outlineLevel="0" collapsed="false">
      <c r="A1369" s="115" t="n">
        <v>1735040.01</v>
      </c>
      <c r="B1369" s="115" t="n">
        <v>1736320</v>
      </c>
      <c r="C1369" s="115" t="n">
        <v>39162.8400000006</v>
      </c>
    </row>
    <row r="1370" customFormat="false" ht="15" hidden="false" customHeight="true" outlineLevel="0" collapsed="false">
      <c r="A1370" s="114" t="n">
        <v>1736320.01</v>
      </c>
      <c r="B1370" s="114" t="n">
        <v>1737600</v>
      </c>
      <c r="C1370" s="114" t="n">
        <v>39191.5000000006</v>
      </c>
    </row>
    <row r="1371" customFormat="false" ht="15" hidden="false" customHeight="true" outlineLevel="0" collapsed="false">
      <c r="A1371" s="115" t="n">
        <v>1737600.01</v>
      </c>
      <c r="B1371" s="115" t="n">
        <v>1738880</v>
      </c>
      <c r="C1371" s="115" t="n">
        <v>39220.1600000006</v>
      </c>
    </row>
    <row r="1372" customFormat="false" ht="15" hidden="false" customHeight="true" outlineLevel="0" collapsed="false">
      <c r="A1372" s="114" t="n">
        <v>1738880.01</v>
      </c>
      <c r="B1372" s="114" t="n">
        <v>1740160</v>
      </c>
      <c r="C1372" s="114" t="n">
        <v>39248.8200000006</v>
      </c>
    </row>
    <row r="1373" customFormat="false" ht="15" hidden="false" customHeight="true" outlineLevel="0" collapsed="false">
      <c r="A1373" s="115" t="n">
        <v>1740160.01</v>
      </c>
      <c r="B1373" s="115" t="n">
        <v>1741440</v>
      </c>
      <c r="C1373" s="115" t="n">
        <v>39277.4800000006</v>
      </c>
    </row>
    <row r="1374" customFormat="false" ht="15" hidden="false" customHeight="true" outlineLevel="0" collapsed="false">
      <c r="A1374" s="114" t="n">
        <v>1741440.01</v>
      </c>
      <c r="B1374" s="114" t="n">
        <v>1742720</v>
      </c>
      <c r="C1374" s="114" t="n">
        <v>39306.1400000007</v>
      </c>
    </row>
    <row r="1375" customFormat="false" ht="15" hidden="false" customHeight="true" outlineLevel="0" collapsed="false">
      <c r="A1375" s="115" t="n">
        <v>1742720.01</v>
      </c>
      <c r="B1375" s="115" t="n">
        <v>1744000</v>
      </c>
      <c r="C1375" s="115" t="n">
        <v>39334.8000000007</v>
      </c>
    </row>
    <row r="1376" customFormat="false" ht="15" hidden="false" customHeight="true" outlineLevel="0" collapsed="false">
      <c r="A1376" s="114" t="n">
        <v>1744000.01</v>
      </c>
      <c r="B1376" s="114" t="n">
        <v>1745280</v>
      </c>
      <c r="C1376" s="114" t="n">
        <v>39363.4600000007</v>
      </c>
    </row>
    <row r="1377" customFormat="false" ht="15" hidden="false" customHeight="true" outlineLevel="0" collapsed="false">
      <c r="A1377" s="115" t="n">
        <v>1745280.01</v>
      </c>
      <c r="B1377" s="115" t="n">
        <v>1746560</v>
      </c>
      <c r="C1377" s="115" t="n">
        <v>39392.1200000007</v>
      </c>
    </row>
    <row r="1378" customFormat="false" ht="15" hidden="false" customHeight="true" outlineLevel="0" collapsed="false">
      <c r="A1378" s="114" t="n">
        <v>1746560.01</v>
      </c>
      <c r="B1378" s="114" t="n">
        <v>1747840</v>
      </c>
      <c r="C1378" s="114" t="n">
        <v>39420.7800000007</v>
      </c>
    </row>
    <row r="1379" customFormat="false" ht="15" hidden="false" customHeight="true" outlineLevel="0" collapsed="false">
      <c r="A1379" s="115" t="n">
        <v>1747840.01</v>
      </c>
      <c r="B1379" s="115" t="n">
        <v>1749120</v>
      </c>
      <c r="C1379" s="115" t="n">
        <v>39449.4400000007</v>
      </c>
    </row>
    <row r="1380" customFormat="false" ht="15" hidden="false" customHeight="true" outlineLevel="0" collapsed="false">
      <c r="A1380" s="114" t="n">
        <v>1749120.01</v>
      </c>
      <c r="B1380" s="114" t="n">
        <v>1750400</v>
      </c>
      <c r="C1380" s="114" t="n">
        <v>39478.1000000007</v>
      </c>
    </row>
    <row r="1381" customFormat="false" ht="15" hidden="false" customHeight="true" outlineLevel="0" collapsed="false">
      <c r="A1381" s="115" t="n">
        <v>1750400.01</v>
      </c>
      <c r="B1381" s="115" t="n">
        <v>1751680</v>
      </c>
      <c r="C1381" s="115" t="n">
        <v>39506.7600000007</v>
      </c>
    </row>
    <row r="1382" customFormat="false" ht="15" hidden="false" customHeight="true" outlineLevel="0" collapsed="false">
      <c r="A1382" s="114" t="n">
        <v>1751680.01</v>
      </c>
      <c r="B1382" s="114" t="n">
        <v>1752960</v>
      </c>
      <c r="C1382" s="114" t="n">
        <v>39535.4200000007</v>
      </c>
    </row>
    <row r="1383" customFormat="false" ht="15" hidden="false" customHeight="true" outlineLevel="0" collapsed="false">
      <c r="A1383" s="115" t="n">
        <v>1752960.01</v>
      </c>
      <c r="B1383" s="115" t="n">
        <v>1754240</v>
      </c>
      <c r="C1383" s="115" t="n">
        <v>39564.0800000007</v>
      </c>
    </row>
    <row r="1384" customFormat="false" ht="15" hidden="false" customHeight="true" outlineLevel="0" collapsed="false">
      <c r="A1384" s="114" t="n">
        <v>1754240.01</v>
      </c>
      <c r="B1384" s="114" t="n">
        <v>1755520</v>
      </c>
      <c r="C1384" s="114" t="n">
        <v>39592.7400000007</v>
      </c>
    </row>
    <row r="1385" customFormat="false" ht="15" hidden="false" customHeight="true" outlineLevel="0" collapsed="false">
      <c r="A1385" s="115" t="n">
        <v>1755520.01</v>
      </c>
      <c r="B1385" s="115" t="n">
        <v>1756800</v>
      </c>
      <c r="C1385" s="115" t="n">
        <v>39621.4000000007</v>
      </c>
    </row>
    <row r="1386" customFormat="false" ht="15" hidden="false" customHeight="true" outlineLevel="0" collapsed="false">
      <c r="A1386" s="114" t="n">
        <v>1756800.01</v>
      </c>
      <c r="B1386" s="114" t="n">
        <v>1758080</v>
      </c>
      <c r="C1386" s="114" t="n">
        <v>39650.0600000007</v>
      </c>
    </row>
    <row r="1387" customFormat="false" ht="15" hidden="false" customHeight="true" outlineLevel="0" collapsed="false">
      <c r="A1387" s="115" t="n">
        <v>1758080.01</v>
      </c>
      <c r="B1387" s="115" t="n">
        <v>1759360</v>
      </c>
      <c r="C1387" s="115" t="n">
        <v>39678.7200000007</v>
      </c>
    </row>
    <row r="1388" customFormat="false" ht="15" hidden="false" customHeight="true" outlineLevel="0" collapsed="false">
      <c r="A1388" s="114" t="n">
        <v>1759360.01</v>
      </c>
      <c r="B1388" s="114" t="n">
        <v>1760640</v>
      </c>
      <c r="C1388" s="114" t="n">
        <v>39707.3800000007</v>
      </c>
    </row>
    <row r="1389" customFormat="false" ht="15" hidden="false" customHeight="true" outlineLevel="0" collapsed="false">
      <c r="A1389" s="115" t="n">
        <v>1760640.01</v>
      </c>
      <c r="B1389" s="115" t="n">
        <v>1761920</v>
      </c>
      <c r="C1389" s="115" t="n">
        <v>39736.0400000007</v>
      </c>
    </row>
    <row r="1390" customFormat="false" ht="15" hidden="false" customHeight="true" outlineLevel="0" collapsed="false">
      <c r="A1390" s="114" t="n">
        <v>1761920.01</v>
      </c>
      <c r="B1390" s="114" t="n">
        <v>1763200</v>
      </c>
      <c r="C1390" s="114" t="n">
        <v>39764.7000000007</v>
      </c>
    </row>
    <row r="1391" customFormat="false" ht="15" hidden="false" customHeight="true" outlineLevel="0" collapsed="false">
      <c r="A1391" s="115" t="n">
        <v>1763200.01</v>
      </c>
      <c r="B1391" s="115" t="n">
        <v>1764480</v>
      </c>
      <c r="C1391" s="115" t="n">
        <v>39793.3600000007</v>
      </c>
    </row>
    <row r="1392" customFormat="false" ht="15" hidden="false" customHeight="true" outlineLevel="0" collapsed="false">
      <c r="A1392" s="114" t="n">
        <v>1764480.01</v>
      </c>
      <c r="B1392" s="114" t="n">
        <v>1765760</v>
      </c>
      <c r="C1392" s="114" t="n">
        <v>39822.0200000007</v>
      </c>
    </row>
    <row r="1393" customFormat="false" ht="15" hidden="false" customHeight="true" outlineLevel="0" collapsed="false">
      <c r="A1393" s="115" t="n">
        <v>1765760.01</v>
      </c>
      <c r="B1393" s="115" t="n">
        <v>1767040</v>
      </c>
      <c r="C1393" s="115" t="n">
        <v>39850.6800000007</v>
      </c>
    </row>
    <row r="1394" customFormat="false" ht="15" hidden="false" customHeight="true" outlineLevel="0" collapsed="false">
      <c r="A1394" s="114" t="n">
        <v>1767040.01</v>
      </c>
      <c r="B1394" s="114" t="n">
        <v>1768320</v>
      </c>
      <c r="C1394" s="114" t="n">
        <v>39879.3400000007</v>
      </c>
    </row>
    <row r="1395" customFormat="false" ht="15" hidden="false" customHeight="true" outlineLevel="0" collapsed="false">
      <c r="A1395" s="115" t="n">
        <v>1768320.01</v>
      </c>
      <c r="B1395" s="115" t="n">
        <v>1769600</v>
      </c>
      <c r="C1395" s="115" t="n">
        <v>39908.0000000007</v>
      </c>
    </row>
    <row r="1396" customFormat="false" ht="15" hidden="false" customHeight="true" outlineLevel="0" collapsed="false">
      <c r="A1396" s="114" t="n">
        <v>1769600.01</v>
      </c>
      <c r="B1396" s="114" t="n">
        <v>1770880</v>
      </c>
      <c r="C1396" s="114" t="n">
        <v>39936.6600000007</v>
      </c>
    </row>
    <row r="1397" customFormat="false" ht="15" hidden="false" customHeight="true" outlineLevel="0" collapsed="false">
      <c r="A1397" s="115" t="n">
        <v>1770880.01</v>
      </c>
      <c r="B1397" s="115" t="n">
        <v>1772160</v>
      </c>
      <c r="C1397" s="115" t="n">
        <v>39965.3200000007</v>
      </c>
    </row>
    <row r="1398" customFormat="false" ht="15" hidden="false" customHeight="true" outlineLevel="0" collapsed="false">
      <c r="A1398" s="114" t="n">
        <v>1772160.01</v>
      </c>
      <c r="B1398" s="114" t="n">
        <v>1773440</v>
      </c>
      <c r="C1398" s="114" t="n">
        <v>39993.9800000007</v>
      </c>
    </row>
    <row r="1399" customFormat="false" ht="15" hidden="false" customHeight="true" outlineLevel="0" collapsed="false">
      <c r="A1399" s="115" t="n">
        <v>1773440.01</v>
      </c>
      <c r="B1399" s="115" t="n">
        <v>1774720</v>
      </c>
      <c r="C1399" s="115" t="n">
        <v>40022.6400000007</v>
      </c>
    </row>
    <row r="1400" customFormat="false" ht="15" hidden="false" customHeight="true" outlineLevel="0" collapsed="false">
      <c r="A1400" s="114" t="n">
        <v>1774720.01</v>
      </c>
      <c r="B1400" s="114" t="n">
        <v>1776000</v>
      </c>
      <c r="C1400" s="114" t="n">
        <v>40051.3000000007</v>
      </c>
    </row>
    <row r="1401" customFormat="false" ht="15" hidden="false" customHeight="true" outlineLevel="0" collapsed="false">
      <c r="A1401" s="115" t="n">
        <v>1776000.01</v>
      </c>
      <c r="B1401" s="115" t="n">
        <v>1777280</v>
      </c>
      <c r="C1401" s="115" t="n">
        <v>40079.9600000007</v>
      </c>
    </row>
    <row r="1402" customFormat="false" ht="15" hidden="false" customHeight="true" outlineLevel="0" collapsed="false">
      <c r="A1402" s="114" t="n">
        <v>1777280.01</v>
      </c>
      <c r="B1402" s="114" t="n">
        <v>1778560</v>
      </c>
      <c r="C1402" s="114" t="n">
        <v>40108.6200000007</v>
      </c>
    </row>
    <row r="1403" customFormat="false" ht="15" hidden="false" customHeight="true" outlineLevel="0" collapsed="false">
      <c r="A1403" s="115" t="n">
        <v>1778560.01</v>
      </c>
      <c r="B1403" s="115" t="n">
        <v>1779840</v>
      </c>
      <c r="C1403" s="115" t="n">
        <v>40137.2800000008</v>
      </c>
    </row>
    <row r="1404" customFormat="false" ht="15" hidden="false" customHeight="true" outlineLevel="0" collapsed="false">
      <c r="A1404" s="114" t="n">
        <v>1779840.01</v>
      </c>
      <c r="B1404" s="114" t="n">
        <v>1781120</v>
      </c>
      <c r="C1404" s="114" t="n">
        <v>40165.9400000008</v>
      </c>
    </row>
    <row r="1405" customFormat="false" ht="15" hidden="false" customHeight="true" outlineLevel="0" collapsed="false">
      <c r="A1405" s="115" t="n">
        <v>1781120.01</v>
      </c>
      <c r="B1405" s="115" t="n">
        <v>1782400</v>
      </c>
      <c r="C1405" s="115" t="n">
        <v>40194.6000000008</v>
      </c>
    </row>
    <row r="1406" customFormat="false" ht="15" hidden="false" customHeight="true" outlineLevel="0" collapsed="false">
      <c r="A1406" s="114" t="n">
        <v>1782400.01</v>
      </c>
      <c r="B1406" s="114" t="n">
        <v>1783680</v>
      </c>
      <c r="C1406" s="114" t="n">
        <v>40223.2600000008</v>
      </c>
    </row>
    <row r="1407" customFormat="false" ht="15" hidden="false" customHeight="true" outlineLevel="0" collapsed="false">
      <c r="A1407" s="115" t="n">
        <v>1783680.01</v>
      </c>
      <c r="B1407" s="115" t="n">
        <v>1784960</v>
      </c>
      <c r="C1407" s="115" t="n">
        <v>40251.9200000008</v>
      </c>
    </row>
    <row r="1408" customFormat="false" ht="15" hidden="false" customHeight="true" outlineLevel="0" collapsed="false">
      <c r="A1408" s="114" t="n">
        <v>1784960.01</v>
      </c>
      <c r="B1408" s="114" t="n">
        <v>1786240</v>
      </c>
      <c r="C1408" s="114" t="n">
        <v>40280.5800000008</v>
      </c>
    </row>
    <row r="1409" customFormat="false" ht="15" hidden="false" customHeight="true" outlineLevel="0" collapsed="false">
      <c r="A1409" s="115" t="n">
        <v>1786240.01</v>
      </c>
      <c r="B1409" s="115" t="n">
        <v>1787520</v>
      </c>
      <c r="C1409" s="115" t="n">
        <v>40309.2400000008</v>
      </c>
    </row>
    <row r="1410" customFormat="false" ht="15" hidden="false" customHeight="true" outlineLevel="0" collapsed="false">
      <c r="A1410" s="114" t="n">
        <v>1787520.01</v>
      </c>
      <c r="B1410" s="114" t="n">
        <v>1788800</v>
      </c>
      <c r="C1410" s="114" t="n">
        <v>40337.9000000008</v>
      </c>
    </row>
    <row r="1411" customFormat="false" ht="15" hidden="false" customHeight="true" outlineLevel="0" collapsed="false">
      <c r="A1411" s="115" t="n">
        <v>1788800.01</v>
      </c>
      <c r="B1411" s="115" t="n">
        <v>1790080</v>
      </c>
      <c r="C1411" s="115" t="n">
        <v>40366.5600000008</v>
      </c>
    </row>
    <row r="1412" customFormat="false" ht="15" hidden="false" customHeight="true" outlineLevel="0" collapsed="false">
      <c r="A1412" s="114" t="n">
        <v>1790080.01</v>
      </c>
      <c r="B1412" s="114" t="n">
        <v>1791360</v>
      </c>
      <c r="C1412" s="114" t="n">
        <v>40395.2200000008</v>
      </c>
    </row>
    <row r="1413" customFormat="false" ht="15" hidden="false" customHeight="true" outlineLevel="0" collapsed="false">
      <c r="A1413" s="115" t="n">
        <v>1791360.01</v>
      </c>
      <c r="B1413" s="115" t="n">
        <v>1792640</v>
      </c>
      <c r="C1413" s="115" t="n">
        <v>40423.8800000008</v>
      </c>
    </row>
    <row r="1414" customFormat="false" ht="15" hidden="false" customHeight="true" outlineLevel="0" collapsed="false">
      <c r="A1414" s="114" t="n">
        <v>1792640.01</v>
      </c>
      <c r="B1414" s="114" t="n">
        <v>1793920</v>
      </c>
      <c r="C1414" s="114" t="n">
        <v>40452.5400000008</v>
      </c>
    </row>
    <row r="1415" customFormat="false" ht="15" hidden="false" customHeight="true" outlineLevel="0" collapsed="false">
      <c r="A1415" s="115" t="n">
        <v>1793920.01</v>
      </c>
      <c r="B1415" s="115" t="n">
        <v>1795200</v>
      </c>
      <c r="C1415" s="115" t="n">
        <v>40481.2000000008</v>
      </c>
    </row>
    <row r="1416" customFormat="false" ht="15" hidden="false" customHeight="true" outlineLevel="0" collapsed="false">
      <c r="A1416" s="114" t="n">
        <v>1795200.01</v>
      </c>
      <c r="B1416" s="114" t="n">
        <v>1796480</v>
      </c>
      <c r="C1416" s="114" t="n">
        <v>40509.8600000008</v>
      </c>
    </row>
    <row r="1417" customFormat="false" ht="15" hidden="false" customHeight="true" outlineLevel="0" collapsed="false">
      <c r="A1417" s="115" t="n">
        <v>1796480.01</v>
      </c>
      <c r="B1417" s="115" t="n">
        <v>1797760</v>
      </c>
      <c r="C1417" s="115" t="n">
        <v>40538.5200000008</v>
      </c>
    </row>
    <row r="1418" customFormat="false" ht="15" hidden="false" customHeight="true" outlineLevel="0" collapsed="false">
      <c r="A1418" s="114" t="n">
        <v>1797760.01</v>
      </c>
      <c r="B1418" s="114" t="n">
        <v>1799040</v>
      </c>
      <c r="C1418" s="114" t="n">
        <v>40567.1800000008</v>
      </c>
    </row>
    <row r="1419" customFormat="false" ht="15" hidden="false" customHeight="true" outlineLevel="0" collapsed="false">
      <c r="A1419" s="115" t="n">
        <v>1799040.01</v>
      </c>
      <c r="B1419" s="115" t="n">
        <v>1800320</v>
      </c>
      <c r="C1419" s="115" t="n">
        <v>40595.8400000008</v>
      </c>
    </row>
    <row r="1420" customFormat="false" ht="15" hidden="false" customHeight="true" outlineLevel="0" collapsed="false">
      <c r="A1420" s="114" t="n">
        <v>1800320.01</v>
      </c>
      <c r="B1420" s="114" t="n">
        <v>1801600</v>
      </c>
      <c r="C1420" s="114" t="n">
        <v>40624.5000000008</v>
      </c>
    </row>
    <row r="1421" customFormat="false" ht="15" hidden="false" customHeight="true" outlineLevel="0" collapsed="false">
      <c r="A1421" s="115" t="n">
        <v>1801600.01</v>
      </c>
      <c r="B1421" s="115" t="n">
        <v>1802880</v>
      </c>
      <c r="C1421" s="115" t="n">
        <v>40653.1600000008</v>
      </c>
    </row>
    <row r="1422" customFormat="false" ht="15" hidden="false" customHeight="true" outlineLevel="0" collapsed="false">
      <c r="A1422" s="114" t="n">
        <v>1802880.01</v>
      </c>
      <c r="B1422" s="114" t="n">
        <v>1804160</v>
      </c>
      <c r="C1422" s="114" t="n">
        <v>40681.8200000008</v>
      </c>
    </row>
    <row r="1423" customFormat="false" ht="15" hidden="false" customHeight="true" outlineLevel="0" collapsed="false">
      <c r="A1423" s="115" t="n">
        <v>1804160.01</v>
      </c>
      <c r="B1423" s="115" t="n">
        <v>1805440</v>
      </c>
      <c r="C1423" s="115" t="n">
        <v>40710.4800000008</v>
      </c>
    </row>
    <row r="1424" customFormat="false" ht="15" hidden="false" customHeight="true" outlineLevel="0" collapsed="false">
      <c r="A1424" s="114" t="n">
        <v>1805440.01</v>
      </c>
      <c r="B1424" s="114" t="n">
        <v>1806720</v>
      </c>
      <c r="C1424" s="114" t="n">
        <v>40739.1400000008</v>
      </c>
    </row>
    <row r="1425" customFormat="false" ht="15" hidden="false" customHeight="true" outlineLevel="0" collapsed="false">
      <c r="A1425" s="115" t="n">
        <v>1806720.01</v>
      </c>
      <c r="B1425" s="115" t="n">
        <v>1808000</v>
      </c>
      <c r="C1425" s="115" t="n">
        <v>40767.8000000008</v>
      </c>
    </row>
    <row r="1426" customFormat="false" ht="15" hidden="false" customHeight="true" outlineLevel="0" collapsed="false">
      <c r="A1426" s="114" t="n">
        <v>1808000.01</v>
      </c>
      <c r="B1426" s="114" t="n">
        <v>1809280</v>
      </c>
      <c r="C1426" s="114" t="n">
        <v>40796.4600000008</v>
      </c>
    </row>
    <row r="1427" customFormat="false" ht="15" hidden="false" customHeight="true" outlineLevel="0" collapsed="false">
      <c r="A1427" s="115" t="n">
        <v>1809280.01</v>
      </c>
      <c r="B1427" s="115" t="n">
        <v>1810560</v>
      </c>
      <c r="C1427" s="115" t="n">
        <v>40825.1200000008</v>
      </c>
    </row>
    <row r="1428" customFormat="false" ht="15" hidden="false" customHeight="true" outlineLevel="0" collapsed="false">
      <c r="A1428" s="114" t="n">
        <v>1810560.01</v>
      </c>
      <c r="B1428" s="114" t="n">
        <v>1811840</v>
      </c>
      <c r="C1428" s="114" t="n">
        <v>40853.7800000008</v>
      </c>
    </row>
    <row r="1429" customFormat="false" ht="15" hidden="false" customHeight="true" outlineLevel="0" collapsed="false">
      <c r="A1429" s="115" t="n">
        <v>1811840.01</v>
      </c>
      <c r="B1429" s="115" t="n">
        <v>1813120</v>
      </c>
      <c r="C1429" s="115" t="n">
        <v>40882.4400000008</v>
      </c>
    </row>
    <row r="1430" customFormat="false" ht="15" hidden="false" customHeight="true" outlineLevel="0" collapsed="false">
      <c r="A1430" s="114" t="n">
        <v>1813120.01</v>
      </c>
      <c r="B1430" s="114" t="n">
        <v>1814400</v>
      </c>
      <c r="C1430" s="114" t="n">
        <v>40911.1000000008</v>
      </c>
    </row>
    <row r="1431" customFormat="false" ht="15" hidden="false" customHeight="true" outlineLevel="0" collapsed="false">
      <c r="A1431" s="115" t="n">
        <v>1814400.01</v>
      </c>
      <c r="B1431" s="115" t="n">
        <v>1815680</v>
      </c>
      <c r="C1431" s="115" t="n">
        <v>40939.7600000009</v>
      </c>
    </row>
    <row r="1432" customFormat="false" ht="15" hidden="false" customHeight="true" outlineLevel="0" collapsed="false">
      <c r="A1432" s="114" t="n">
        <v>1815680.01</v>
      </c>
      <c r="B1432" s="114" t="n">
        <v>1816960</v>
      </c>
      <c r="C1432" s="114" t="n">
        <v>40968.4200000009</v>
      </c>
    </row>
    <row r="1433" customFormat="false" ht="15" hidden="false" customHeight="true" outlineLevel="0" collapsed="false">
      <c r="A1433" s="115" t="n">
        <v>1816960.01</v>
      </c>
      <c r="B1433" s="115" t="n">
        <v>1818240</v>
      </c>
      <c r="C1433" s="115" t="n">
        <v>40997.0800000009</v>
      </c>
    </row>
    <row r="1434" customFormat="false" ht="15" hidden="false" customHeight="true" outlineLevel="0" collapsed="false">
      <c r="A1434" s="114" t="n">
        <v>1818240.01</v>
      </c>
      <c r="B1434" s="114" t="n">
        <v>1819520</v>
      </c>
      <c r="C1434" s="114" t="n">
        <v>41025.7400000009</v>
      </c>
    </row>
    <row r="1435" customFormat="false" ht="15" hidden="false" customHeight="true" outlineLevel="0" collapsed="false">
      <c r="A1435" s="115" t="n">
        <v>1819520.01</v>
      </c>
      <c r="B1435" s="115" t="n">
        <v>1820800</v>
      </c>
      <c r="C1435" s="115" t="n">
        <v>41054.4000000009</v>
      </c>
    </row>
    <row r="1436" customFormat="false" ht="15" hidden="false" customHeight="true" outlineLevel="0" collapsed="false">
      <c r="A1436" s="114" t="n">
        <v>1820800.01</v>
      </c>
      <c r="B1436" s="114" t="n">
        <v>1822080</v>
      </c>
      <c r="C1436" s="114" t="n">
        <v>41083.0600000009</v>
      </c>
    </row>
    <row r="1437" customFormat="false" ht="15" hidden="false" customHeight="true" outlineLevel="0" collapsed="false">
      <c r="A1437" s="115" t="n">
        <v>1822080.01</v>
      </c>
      <c r="B1437" s="115" t="n">
        <v>1823360</v>
      </c>
      <c r="C1437" s="115" t="n">
        <v>41111.7200000009</v>
      </c>
    </row>
    <row r="1438" customFormat="false" ht="15" hidden="false" customHeight="true" outlineLevel="0" collapsed="false">
      <c r="A1438" s="114" t="n">
        <v>1823360.01</v>
      </c>
      <c r="B1438" s="114" t="n">
        <v>1824640</v>
      </c>
      <c r="C1438" s="114" t="n">
        <v>41140.3800000009</v>
      </c>
    </row>
    <row r="1439" customFormat="false" ht="15" hidden="false" customHeight="true" outlineLevel="0" collapsed="false">
      <c r="A1439" s="115" t="n">
        <v>1824640.01</v>
      </c>
      <c r="B1439" s="115" t="n">
        <v>1825920</v>
      </c>
      <c r="C1439" s="115" t="n">
        <v>41169.0400000009</v>
      </c>
    </row>
    <row r="1440" customFormat="false" ht="15" hidden="false" customHeight="true" outlineLevel="0" collapsed="false">
      <c r="A1440" s="114" t="n">
        <v>1825920.01</v>
      </c>
      <c r="B1440" s="114" t="n">
        <v>1827200</v>
      </c>
      <c r="C1440" s="114" t="n">
        <v>41197.7000000009</v>
      </c>
    </row>
    <row r="1441" customFormat="false" ht="15" hidden="false" customHeight="true" outlineLevel="0" collapsed="false">
      <c r="A1441" s="115" t="n">
        <v>1827200.01</v>
      </c>
      <c r="B1441" s="115" t="n">
        <v>1828480</v>
      </c>
      <c r="C1441" s="115" t="n">
        <v>41226.3600000009</v>
      </c>
    </row>
    <row r="1442" customFormat="false" ht="15" hidden="false" customHeight="true" outlineLevel="0" collapsed="false">
      <c r="A1442" s="114" t="n">
        <v>1828480.01</v>
      </c>
      <c r="B1442" s="114" t="n">
        <v>1829760</v>
      </c>
      <c r="C1442" s="114" t="n">
        <v>41255.0200000009</v>
      </c>
    </row>
    <row r="1443" customFormat="false" ht="15" hidden="false" customHeight="true" outlineLevel="0" collapsed="false">
      <c r="A1443" s="115" t="n">
        <v>1829760.01</v>
      </c>
      <c r="B1443" s="115" t="n">
        <v>1831040</v>
      </c>
      <c r="C1443" s="115" t="n">
        <v>41283.6800000009</v>
      </c>
    </row>
    <row r="1444" customFormat="false" ht="15" hidden="false" customHeight="true" outlineLevel="0" collapsed="false">
      <c r="A1444" s="114" t="n">
        <v>1831040.01</v>
      </c>
      <c r="B1444" s="114" t="n">
        <v>1832320</v>
      </c>
      <c r="C1444" s="114" t="n">
        <v>41312.3400000009</v>
      </c>
    </row>
    <row r="1445" customFormat="false" ht="15" hidden="false" customHeight="true" outlineLevel="0" collapsed="false">
      <c r="A1445" s="115" t="n">
        <v>1832320.01</v>
      </c>
      <c r="B1445" s="115" t="n">
        <v>1833600</v>
      </c>
      <c r="C1445" s="115" t="n">
        <v>41341.0000000009</v>
      </c>
    </row>
    <row r="1446" customFormat="false" ht="15" hidden="false" customHeight="true" outlineLevel="0" collapsed="false">
      <c r="A1446" s="114" t="n">
        <v>1833600.01</v>
      </c>
      <c r="B1446" s="114" t="n">
        <v>1834880</v>
      </c>
      <c r="C1446" s="114" t="n">
        <v>41369.6600000009</v>
      </c>
    </row>
    <row r="1447" customFormat="false" ht="15" hidden="false" customHeight="true" outlineLevel="0" collapsed="false">
      <c r="A1447" s="115" t="n">
        <v>1834880.01</v>
      </c>
      <c r="B1447" s="115" t="n">
        <v>1836160</v>
      </c>
      <c r="C1447" s="115" t="n">
        <v>41398.3200000009</v>
      </c>
    </row>
    <row r="1448" customFormat="false" ht="15" hidden="false" customHeight="true" outlineLevel="0" collapsed="false">
      <c r="A1448" s="114" t="n">
        <v>1836160.01</v>
      </c>
      <c r="B1448" s="114" t="n">
        <v>1837440</v>
      </c>
      <c r="C1448" s="114" t="n">
        <v>41426.9800000009</v>
      </c>
    </row>
    <row r="1449" customFormat="false" ht="15" hidden="false" customHeight="true" outlineLevel="0" collapsed="false">
      <c r="A1449" s="115" t="n">
        <v>1837440.01</v>
      </c>
      <c r="B1449" s="115" t="n">
        <v>1838720</v>
      </c>
      <c r="C1449" s="115" t="n">
        <v>41455.6400000009</v>
      </c>
    </row>
    <row r="1450" customFormat="false" ht="15" hidden="false" customHeight="true" outlineLevel="0" collapsed="false">
      <c r="A1450" s="114" t="n">
        <v>1838720.01</v>
      </c>
      <c r="B1450" s="114" t="n">
        <v>1840000</v>
      </c>
      <c r="C1450" s="114" t="n">
        <v>41484.3000000009</v>
      </c>
    </row>
    <row r="1451" customFormat="false" ht="15" hidden="false" customHeight="true" outlineLevel="0" collapsed="false">
      <c r="A1451" s="115" t="n">
        <v>1840000.01</v>
      </c>
      <c r="B1451" s="115" t="n">
        <v>1841280</v>
      </c>
      <c r="C1451" s="115" t="n">
        <v>41512.9600000009</v>
      </c>
    </row>
    <row r="1452" customFormat="false" ht="15" hidden="false" customHeight="true" outlineLevel="0" collapsed="false">
      <c r="A1452" s="114" t="n">
        <v>1841280.01</v>
      </c>
      <c r="B1452" s="114" t="n">
        <v>1842560</v>
      </c>
      <c r="C1452" s="114" t="n">
        <v>41541.6200000009</v>
      </c>
    </row>
    <row r="1453" customFormat="false" ht="15" hidden="false" customHeight="true" outlineLevel="0" collapsed="false">
      <c r="A1453" s="115" t="n">
        <v>1842560.01</v>
      </c>
      <c r="B1453" s="115" t="n">
        <v>1843840</v>
      </c>
      <c r="C1453" s="115" t="n">
        <v>41570.2800000009</v>
      </c>
    </row>
    <row r="1454" customFormat="false" ht="15" hidden="false" customHeight="true" outlineLevel="0" collapsed="false">
      <c r="A1454" s="114" t="n">
        <v>1843840.01</v>
      </c>
      <c r="B1454" s="114" t="n">
        <v>1845120</v>
      </c>
      <c r="C1454" s="114" t="n">
        <v>41598.9400000009</v>
      </c>
    </row>
    <row r="1455" customFormat="false" ht="15" hidden="false" customHeight="true" outlineLevel="0" collapsed="false">
      <c r="A1455" s="115" t="n">
        <v>1845120.01</v>
      </c>
      <c r="B1455" s="115" t="n">
        <v>1846400</v>
      </c>
      <c r="C1455" s="115" t="n">
        <v>41627.6000000009</v>
      </c>
    </row>
    <row r="1456" customFormat="false" ht="15" hidden="false" customHeight="true" outlineLevel="0" collapsed="false">
      <c r="A1456" s="114" t="n">
        <v>1846400.01</v>
      </c>
      <c r="B1456" s="114" t="n">
        <v>1847680</v>
      </c>
      <c r="C1456" s="114" t="n">
        <v>41656.2600000009</v>
      </c>
    </row>
    <row r="1457" customFormat="false" ht="15" hidden="false" customHeight="true" outlineLevel="0" collapsed="false">
      <c r="A1457" s="115" t="n">
        <v>1847680.01</v>
      </c>
      <c r="B1457" s="115" t="n">
        <v>1848960</v>
      </c>
      <c r="C1457" s="115" t="n">
        <v>41684.9200000009</v>
      </c>
    </row>
    <row r="1458" customFormat="false" ht="15" hidden="false" customHeight="true" outlineLevel="0" collapsed="false">
      <c r="A1458" s="114" t="n">
        <v>1848960.01</v>
      </c>
      <c r="B1458" s="114" t="n">
        <v>1850240</v>
      </c>
      <c r="C1458" s="114" t="n">
        <v>41713.5800000009</v>
      </c>
    </row>
    <row r="1459" customFormat="false" ht="15" hidden="false" customHeight="true" outlineLevel="0" collapsed="false">
      <c r="A1459" s="115" t="n">
        <v>1850240.01</v>
      </c>
      <c r="B1459" s="115" t="n">
        <v>1851520</v>
      </c>
      <c r="C1459" s="115" t="n">
        <v>41742.2400000009</v>
      </c>
    </row>
    <row r="1460" customFormat="false" ht="15" hidden="false" customHeight="true" outlineLevel="0" collapsed="false">
      <c r="A1460" s="114" t="n">
        <v>1851520.01</v>
      </c>
      <c r="B1460" s="114" t="n">
        <v>1852800</v>
      </c>
      <c r="C1460" s="114" t="n">
        <v>41770.900000001</v>
      </c>
    </row>
    <row r="1461" customFormat="false" ht="15" hidden="false" customHeight="true" outlineLevel="0" collapsed="false">
      <c r="A1461" s="115" t="n">
        <v>1852800.01</v>
      </c>
      <c r="B1461" s="115" t="n">
        <v>1854080</v>
      </c>
      <c r="C1461" s="115" t="n">
        <v>41799.560000001</v>
      </c>
    </row>
    <row r="1462" customFormat="false" ht="15" hidden="false" customHeight="true" outlineLevel="0" collapsed="false">
      <c r="A1462" s="114" t="n">
        <v>1854080.01</v>
      </c>
      <c r="B1462" s="114" t="n">
        <v>1855360</v>
      </c>
      <c r="C1462" s="114" t="n">
        <v>41828.220000001</v>
      </c>
    </row>
    <row r="1463" customFormat="false" ht="15" hidden="false" customHeight="true" outlineLevel="0" collapsed="false">
      <c r="A1463" s="115" t="n">
        <v>1855360.01</v>
      </c>
      <c r="B1463" s="115" t="n">
        <v>1856640</v>
      </c>
      <c r="C1463" s="115" t="n">
        <v>41856.880000001</v>
      </c>
    </row>
    <row r="1464" customFormat="false" ht="15" hidden="false" customHeight="true" outlineLevel="0" collapsed="false">
      <c r="A1464" s="114" t="n">
        <v>1856640.01</v>
      </c>
      <c r="B1464" s="114" t="n">
        <v>1857920</v>
      </c>
      <c r="C1464" s="114" t="n">
        <v>41885.540000001</v>
      </c>
    </row>
    <row r="1465" customFormat="false" ht="15" hidden="false" customHeight="true" outlineLevel="0" collapsed="false">
      <c r="A1465" s="115" t="n">
        <v>1857920.01</v>
      </c>
      <c r="B1465" s="115" t="n">
        <v>1859200</v>
      </c>
      <c r="C1465" s="115" t="n">
        <v>41914.200000001</v>
      </c>
    </row>
    <row r="1466" customFormat="false" ht="15" hidden="false" customHeight="true" outlineLevel="0" collapsed="false">
      <c r="A1466" s="114" t="n">
        <v>1859200.01</v>
      </c>
      <c r="B1466" s="114" t="n">
        <v>1860480</v>
      </c>
      <c r="C1466" s="114" t="n">
        <v>41942.860000001</v>
      </c>
    </row>
    <row r="1467" customFormat="false" ht="15" hidden="false" customHeight="true" outlineLevel="0" collapsed="false">
      <c r="A1467" s="115" t="n">
        <v>1860480.01</v>
      </c>
      <c r="B1467" s="115" t="n">
        <v>1861760</v>
      </c>
      <c r="C1467" s="115" t="n">
        <v>41971.520000001</v>
      </c>
    </row>
    <row r="1468" customFormat="false" ht="15" hidden="false" customHeight="true" outlineLevel="0" collapsed="false">
      <c r="A1468" s="114" t="n">
        <v>1861760.01</v>
      </c>
      <c r="B1468" s="114" t="n">
        <v>1863040</v>
      </c>
      <c r="C1468" s="114" t="n">
        <v>42000.180000001</v>
      </c>
    </row>
    <row r="1469" customFormat="false" ht="15" hidden="false" customHeight="true" outlineLevel="0" collapsed="false">
      <c r="A1469" s="115" t="n">
        <v>1863040.01</v>
      </c>
      <c r="B1469" s="115" t="n">
        <v>1864320</v>
      </c>
      <c r="C1469" s="115" t="n">
        <v>42028.840000001</v>
      </c>
    </row>
    <row r="1470" customFormat="false" ht="15" hidden="false" customHeight="true" outlineLevel="0" collapsed="false">
      <c r="A1470" s="114" t="n">
        <v>1864320.01</v>
      </c>
      <c r="B1470" s="114" t="n">
        <v>1865600</v>
      </c>
      <c r="C1470" s="114" t="n">
        <v>42057.500000001</v>
      </c>
    </row>
    <row r="1471" customFormat="false" ht="15" hidden="false" customHeight="true" outlineLevel="0" collapsed="false">
      <c r="A1471" s="115" t="n">
        <v>1865600.01</v>
      </c>
      <c r="B1471" s="115" t="n">
        <v>1866880</v>
      </c>
      <c r="C1471" s="115" t="n">
        <v>42086.160000001</v>
      </c>
    </row>
    <row r="1472" customFormat="false" ht="15" hidden="false" customHeight="true" outlineLevel="0" collapsed="false">
      <c r="A1472" s="114" t="n">
        <v>1866880.01</v>
      </c>
      <c r="B1472" s="114" t="n">
        <v>1868160</v>
      </c>
      <c r="C1472" s="114" t="n">
        <v>42114.820000001</v>
      </c>
    </row>
    <row r="1473" customFormat="false" ht="15" hidden="false" customHeight="true" outlineLevel="0" collapsed="false">
      <c r="A1473" s="115" t="n">
        <v>1868160.01</v>
      </c>
      <c r="B1473" s="115" t="n">
        <v>1869440</v>
      </c>
      <c r="C1473" s="115" t="n">
        <v>42143.480000001</v>
      </c>
    </row>
    <row r="1474" customFormat="false" ht="15" hidden="false" customHeight="true" outlineLevel="0" collapsed="false">
      <c r="A1474" s="114" t="n">
        <v>1869440.01</v>
      </c>
      <c r="B1474" s="114" t="n">
        <v>1870720</v>
      </c>
      <c r="C1474" s="114" t="n">
        <v>42172.140000001</v>
      </c>
    </row>
    <row r="1475" customFormat="false" ht="15" hidden="false" customHeight="true" outlineLevel="0" collapsed="false">
      <c r="A1475" s="115" t="n">
        <v>1870720.01</v>
      </c>
      <c r="B1475" s="115" t="n">
        <v>1872000</v>
      </c>
      <c r="C1475" s="115" t="n">
        <v>42200.800000001</v>
      </c>
    </row>
    <row r="1476" customFormat="false" ht="15" hidden="false" customHeight="true" outlineLevel="0" collapsed="false">
      <c r="A1476" s="114" t="n">
        <v>1872000.01</v>
      </c>
      <c r="B1476" s="114" t="n">
        <v>1873280</v>
      </c>
      <c r="C1476" s="114" t="n">
        <v>42229.460000001</v>
      </c>
    </row>
    <row r="1477" customFormat="false" ht="15" hidden="false" customHeight="true" outlineLevel="0" collapsed="false">
      <c r="A1477" s="115" t="n">
        <v>1873280.01</v>
      </c>
      <c r="B1477" s="115" t="n">
        <v>1874560</v>
      </c>
      <c r="C1477" s="115" t="n">
        <v>42258.120000001</v>
      </c>
    </row>
    <row r="1478" customFormat="false" ht="15" hidden="false" customHeight="true" outlineLevel="0" collapsed="false">
      <c r="A1478" s="114" t="n">
        <v>1874560.01</v>
      </c>
      <c r="B1478" s="114" t="n">
        <v>1875840</v>
      </c>
      <c r="C1478" s="114" t="n">
        <v>42286.780000001</v>
      </c>
    </row>
    <row r="1479" customFormat="false" ht="15" hidden="false" customHeight="true" outlineLevel="0" collapsed="false">
      <c r="A1479" s="115" t="n">
        <v>1875840.01</v>
      </c>
      <c r="B1479" s="115" t="n">
        <v>1877120</v>
      </c>
      <c r="C1479" s="115" t="n">
        <v>42315.440000001</v>
      </c>
    </row>
    <row r="1480" customFormat="false" ht="15" hidden="false" customHeight="true" outlineLevel="0" collapsed="false">
      <c r="A1480" s="114" t="n">
        <v>1877120.01</v>
      </c>
      <c r="B1480" s="114" t="n">
        <v>1878400</v>
      </c>
      <c r="C1480" s="114" t="n">
        <v>42344.100000001</v>
      </c>
    </row>
    <row r="1481" customFormat="false" ht="15" hidden="false" customHeight="true" outlineLevel="0" collapsed="false">
      <c r="A1481" s="115" t="n">
        <v>1878400.01</v>
      </c>
      <c r="B1481" s="115" t="n">
        <v>1879680</v>
      </c>
      <c r="C1481" s="115" t="n">
        <v>42372.760000001</v>
      </c>
    </row>
    <row r="1482" customFormat="false" ht="15" hidden="false" customHeight="true" outlineLevel="0" collapsed="false">
      <c r="A1482" s="114" t="n">
        <v>1879680.01</v>
      </c>
      <c r="B1482" s="114" t="n">
        <v>1880960</v>
      </c>
      <c r="C1482" s="114" t="n">
        <v>42401.420000001</v>
      </c>
    </row>
    <row r="1483" customFormat="false" ht="15" hidden="false" customHeight="true" outlineLevel="0" collapsed="false">
      <c r="A1483" s="115" t="n">
        <v>1880960.01</v>
      </c>
      <c r="B1483" s="115" t="n">
        <v>1882240</v>
      </c>
      <c r="C1483" s="115" t="n">
        <v>42430.080000001</v>
      </c>
    </row>
    <row r="1484" customFormat="false" ht="15" hidden="false" customHeight="true" outlineLevel="0" collapsed="false">
      <c r="A1484" s="114" t="n">
        <v>1882240.01</v>
      </c>
      <c r="B1484" s="114" t="n">
        <v>1883520</v>
      </c>
      <c r="C1484" s="114" t="n">
        <v>42458.740000001</v>
      </c>
    </row>
    <row r="1485" customFormat="false" ht="15" hidden="false" customHeight="true" outlineLevel="0" collapsed="false">
      <c r="A1485" s="115" t="n">
        <v>1883520.01</v>
      </c>
      <c r="B1485" s="115" t="n">
        <v>1884800</v>
      </c>
      <c r="C1485" s="115" t="n">
        <v>42487.400000001</v>
      </c>
    </row>
    <row r="1486" customFormat="false" ht="15" hidden="false" customHeight="true" outlineLevel="0" collapsed="false">
      <c r="A1486" s="114" t="n">
        <v>1884800.01</v>
      </c>
      <c r="B1486" s="114" t="n">
        <v>1886080</v>
      </c>
      <c r="C1486" s="114" t="n">
        <v>42516.060000001</v>
      </c>
    </row>
    <row r="1487" customFormat="false" ht="15" hidden="false" customHeight="true" outlineLevel="0" collapsed="false">
      <c r="A1487" s="115" t="n">
        <v>1886080.01</v>
      </c>
      <c r="B1487" s="115" t="n">
        <v>1887360</v>
      </c>
      <c r="C1487" s="115" t="n">
        <v>42544.720000001</v>
      </c>
    </row>
    <row r="1488" customFormat="false" ht="15" hidden="false" customHeight="true" outlineLevel="0" collapsed="false">
      <c r="A1488" s="114" t="n">
        <v>1887360.01</v>
      </c>
      <c r="B1488" s="114" t="n">
        <v>1888640</v>
      </c>
      <c r="C1488" s="114" t="n">
        <v>42573.3800000011</v>
      </c>
    </row>
    <row r="1489" customFormat="false" ht="15" hidden="false" customHeight="true" outlineLevel="0" collapsed="false">
      <c r="A1489" s="115" t="n">
        <v>1888640.01</v>
      </c>
      <c r="B1489" s="115" t="n">
        <v>1889920</v>
      </c>
      <c r="C1489" s="115" t="n">
        <v>42602.0400000011</v>
      </c>
    </row>
    <row r="1490" customFormat="false" ht="15" hidden="false" customHeight="true" outlineLevel="0" collapsed="false">
      <c r="A1490" s="114" t="n">
        <v>1889920.01</v>
      </c>
      <c r="B1490" s="114" t="n">
        <v>1891200</v>
      </c>
      <c r="C1490" s="114" t="n">
        <v>42630.7000000011</v>
      </c>
    </row>
    <row r="1491" customFormat="false" ht="15" hidden="false" customHeight="true" outlineLevel="0" collapsed="false">
      <c r="A1491" s="115" t="n">
        <v>1891200.01</v>
      </c>
      <c r="B1491" s="115" t="n">
        <v>1892480</v>
      </c>
      <c r="C1491" s="115" t="n">
        <v>42659.3600000011</v>
      </c>
    </row>
    <row r="1492" customFormat="false" ht="15" hidden="false" customHeight="true" outlineLevel="0" collapsed="false">
      <c r="A1492" s="114" t="n">
        <v>1892480.01</v>
      </c>
      <c r="B1492" s="114" t="n">
        <v>1893760</v>
      </c>
      <c r="C1492" s="114" t="n">
        <v>42688.0200000011</v>
      </c>
    </row>
    <row r="1493" customFormat="false" ht="15" hidden="false" customHeight="true" outlineLevel="0" collapsed="false">
      <c r="A1493" s="115" t="n">
        <v>1893760.01</v>
      </c>
      <c r="B1493" s="115" t="n">
        <v>1895040</v>
      </c>
      <c r="C1493" s="115" t="n">
        <v>42716.6800000011</v>
      </c>
    </row>
    <row r="1494" customFormat="false" ht="15" hidden="false" customHeight="true" outlineLevel="0" collapsed="false">
      <c r="A1494" s="114" t="n">
        <v>1895040.01</v>
      </c>
      <c r="B1494" s="114" t="n">
        <v>1896320</v>
      </c>
      <c r="C1494" s="114" t="n">
        <v>42745.3400000011</v>
      </c>
    </row>
    <row r="1495" customFormat="false" ht="15" hidden="false" customHeight="true" outlineLevel="0" collapsed="false">
      <c r="A1495" s="115" t="n">
        <v>1896320.01</v>
      </c>
      <c r="B1495" s="115" t="n">
        <v>1897600</v>
      </c>
      <c r="C1495" s="115" t="n">
        <v>42774.0000000011</v>
      </c>
    </row>
    <row r="1496" customFormat="false" ht="15" hidden="false" customHeight="true" outlineLevel="0" collapsed="false">
      <c r="A1496" s="114" t="n">
        <v>1897600.01</v>
      </c>
      <c r="B1496" s="114" t="n">
        <v>1898880</v>
      </c>
      <c r="C1496" s="114" t="n">
        <v>42802.6600000011</v>
      </c>
    </row>
    <row r="1497" customFormat="false" ht="15" hidden="false" customHeight="true" outlineLevel="0" collapsed="false">
      <c r="A1497" s="115" t="n">
        <v>1898880.01</v>
      </c>
      <c r="B1497" s="115" t="n">
        <v>1900160</v>
      </c>
      <c r="C1497" s="115" t="n">
        <v>42831.3200000011</v>
      </c>
    </row>
    <row r="1498" customFormat="false" ht="15" hidden="false" customHeight="true" outlineLevel="0" collapsed="false">
      <c r="A1498" s="114" t="n">
        <v>1900160.01</v>
      </c>
      <c r="B1498" s="114" t="n">
        <v>1901440</v>
      </c>
      <c r="C1498" s="114" t="n">
        <v>42859.9800000011</v>
      </c>
    </row>
    <row r="1499" customFormat="false" ht="15" hidden="false" customHeight="true" outlineLevel="0" collapsed="false">
      <c r="A1499" s="115" t="n">
        <v>1901440.01</v>
      </c>
      <c r="B1499" s="115" t="n">
        <v>1902720</v>
      </c>
      <c r="C1499" s="115" t="n">
        <v>42888.6400000011</v>
      </c>
    </row>
    <row r="1500" customFormat="false" ht="15" hidden="false" customHeight="true" outlineLevel="0" collapsed="false">
      <c r="A1500" s="114" t="n">
        <v>1902720.01</v>
      </c>
      <c r="B1500" s="114" t="n">
        <v>1904000</v>
      </c>
      <c r="C1500" s="114" t="n">
        <v>42917.3000000011</v>
      </c>
    </row>
    <row r="1501" customFormat="false" ht="15" hidden="false" customHeight="true" outlineLevel="0" collapsed="false">
      <c r="A1501" s="115" t="n">
        <v>1904000.01</v>
      </c>
      <c r="B1501" s="115" t="n">
        <v>1905280</v>
      </c>
      <c r="C1501" s="115" t="n">
        <v>42945.9600000011</v>
      </c>
    </row>
    <row r="1502" customFormat="false" ht="15" hidden="false" customHeight="true" outlineLevel="0" collapsed="false">
      <c r="A1502" s="114" t="n">
        <v>1905280.01</v>
      </c>
      <c r="B1502" s="114" t="n">
        <v>1906560</v>
      </c>
      <c r="C1502" s="114" t="n">
        <v>42974.6200000011</v>
      </c>
    </row>
    <row r="1503" customFormat="false" ht="15" hidden="false" customHeight="true" outlineLevel="0" collapsed="false">
      <c r="A1503" s="115" t="n">
        <v>1906560.01</v>
      </c>
      <c r="B1503" s="115" t="n">
        <v>1907840</v>
      </c>
      <c r="C1503" s="115" t="n">
        <v>43003.2800000011</v>
      </c>
    </row>
    <row r="1504" customFormat="false" ht="15" hidden="false" customHeight="true" outlineLevel="0" collapsed="false">
      <c r="A1504" s="114" t="n">
        <v>1907840.01</v>
      </c>
      <c r="B1504" s="114" t="n">
        <v>1909120</v>
      </c>
      <c r="C1504" s="114" t="n">
        <v>43031.9400000011</v>
      </c>
    </row>
    <row r="1505" customFormat="false" ht="15" hidden="false" customHeight="true" outlineLevel="0" collapsed="false">
      <c r="A1505" s="115" t="n">
        <v>1909120.01</v>
      </c>
      <c r="B1505" s="115" t="n">
        <v>1910400</v>
      </c>
      <c r="C1505" s="115" t="n">
        <v>43060.6000000011</v>
      </c>
    </row>
    <row r="1506" customFormat="false" ht="15" hidden="false" customHeight="true" outlineLevel="0" collapsed="false">
      <c r="A1506" s="114" t="n">
        <v>1910400.01</v>
      </c>
      <c r="B1506" s="114" t="n">
        <v>1911680</v>
      </c>
      <c r="C1506" s="114" t="n">
        <v>43089.2600000011</v>
      </c>
    </row>
    <row r="1507" customFormat="false" ht="15" hidden="false" customHeight="true" outlineLevel="0" collapsed="false">
      <c r="A1507" s="115" t="n">
        <v>1911680.01</v>
      </c>
      <c r="B1507" s="115" t="n">
        <v>1912960</v>
      </c>
      <c r="C1507" s="115" t="n">
        <v>43117.9200000011</v>
      </c>
    </row>
    <row r="1508" customFormat="false" ht="15" hidden="false" customHeight="true" outlineLevel="0" collapsed="false">
      <c r="A1508" s="114" t="n">
        <v>1912960.01</v>
      </c>
      <c r="B1508" s="114" t="n">
        <v>1914240</v>
      </c>
      <c r="C1508" s="114" t="n">
        <v>43146.5800000011</v>
      </c>
    </row>
    <row r="1509" customFormat="false" ht="15" hidden="false" customHeight="true" outlineLevel="0" collapsed="false">
      <c r="A1509" s="115" t="n">
        <v>1914240.01</v>
      </c>
      <c r="B1509" s="115" t="n">
        <v>1915520</v>
      </c>
      <c r="C1509" s="115" t="n">
        <v>43175.2400000011</v>
      </c>
    </row>
    <row r="1510" customFormat="false" ht="15" hidden="false" customHeight="true" outlineLevel="0" collapsed="false">
      <c r="A1510" s="114" t="n">
        <v>1915520.01</v>
      </c>
      <c r="B1510" s="114" t="n">
        <v>1916800</v>
      </c>
      <c r="C1510" s="114" t="n">
        <v>43203.9000000011</v>
      </c>
    </row>
    <row r="1511" customFormat="false" ht="15" hidden="false" customHeight="true" outlineLevel="0" collapsed="false">
      <c r="A1511" s="115" t="n">
        <v>1916800.01</v>
      </c>
      <c r="B1511" s="115" t="n">
        <v>1918080</v>
      </c>
      <c r="C1511" s="115" t="n">
        <v>43232.5600000011</v>
      </c>
    </row>
    <row r="1512" customFormat="false" ht="15" hidden="false" customHeight="true" outlineLevel="0" collapsed="false">
      <c r="A1512" s="114" t="n">
        <v>1918080.01</v>
      </c>
      <c r="B1512" s="114" t="n">
        <v>1919360</v>
      </c>
      <c r="C1512" s="114" t="n">
        <v>43261.2200000011</v>
      </c>
    </row>
    <row r="1513" customFormat="false" ht="15" hidden="false" customHeight="true" outlineLevel="0" collapsed="false">
      <c r="A1513" s="115" t="n">
        <v>1919360.01</v>
      </c>
      <c r="B1513" s="115" t="n">
        <v>1920640</v>
      </c>
      <c r="C1513" s="115" t="n">
        <v>43289.8800000011</v>
      </c>
    </row>
    <row r="1514" customFormat="false" ht="15" hidden="false" customHeight="true" outlineLevel="0" collapsed="false">
      <c r="A1514" s="114" t="n">
        <v>1920640.01</v>
      </c>
      <c r="B1514" s="114" t="n">
        <v>1921920</v>
      </c>
      <c r="C1514" s="114" t="n">
        <v>43318.5400000011</v>
      </c>
    </row>
    <row r="1515" customFormat="false" ht="15" hidden="false" customHeight="true" outlineLevel="0" collapsed="false">
      <c r="A1515" s="115" t="n">
        <v>1921920.01</v>
      </c>
      <c r="B1515" s="115" t="n">
        <v>1923200</v>
      </c>
      <c r="C1515" s="115" t="n">
        <v>43347.2000000011</v>
      </c>
    </row>
    <row r="1516" customFormat="false" ht="15" hidden="false" customHeight="true" outlineLevel="0" collapsed="false">
      <c r="A1516" s="114" t="n">
        <v>1923200.01</v>
      </c>
      <c r="B1516" s="114" t="n">
        <v>1924480</v>
      </c>
      <c r="C1516" s="114" t="n">
        <v>43375.8600000011</v>
      </c>
    </row>
    <row r="1517" customFormat="false" ht="15" hidden="false" customHeight="true" outlineLevel="0" collapsed="false">
      <c r="A1517" s="115" t="n">
        <v>1924480.01</v>
      </c>
      <c r="B1517" s="115" t="n">
        <v>1925760</v>
      </c>
      <c r="C1517" s="115" t="n">
        <v>43404.5200000012</v>
      </c>
    </row>
    <row r="1518" customFormat="false" ht="15" hidden="false" customHeight="true" outlineLevel="0" collapsed="false">
      <c r="A1518" s="114" t="n">
        <v>1925760.01</v>
      </c>
      <c r="B1518" s="114" t="n">
        <v>1927040</v>
      </c>
      <c r="C1518" s="114" t="n">
        <v>43433.1800000012</v>
      </c>
    </row>
    <row r="1519" customFormat="false" ht="15" hidden="false" customHeight="true" outlineLevel="0" collapsed="false">
      <c r="A1519" s="115" t="n">
        <v>1927040.01</v>
      </c>
      <c r="B1519" s="115" t="n">
        <v>1928320</v>
      </c>
      <c r="C1519" s="115" t="n">
        <v>43461.8400000012</v>
      </c>
    </row>
    <row r="1520" customFormat="false" ht="15" hidden="false" customHeight="true" outlineLevel="0" collapsed="false">
      <c r="A1520" s="114" t="n">
        <v>1928320.01</v>
      </c>
      <c r="B1520" s="114" t="n">
        <v>1929600</v>
      </c>
      <c r="C1520" s="114" t="n">
        <v>43490.5000000012</v>
      </c>
    </row>
    <row r="1521" customFormat="false" ht="15" hidden="false" customHeight="true" outlineLevel="0" collapsed="false">
      <c r="A1521" s="115" t="n">
        <v>1929600.01</v>
      </c>
      <c r="B1521" s="115" t="n">
        <v>1930880</v>
      </c>
      <c r="C1521" s="115" t="n">
        <v>43519.1600000012</v>
      </c>
    </row>
    <row r="1522" customFormat="false" ht="15" hidden="false" customHeight="true" outlineLevel="0" collapsed="false">
      <c r="A1522" s="114" t="n">
        <v>1930880.01</v>
      </c>
      <c r="B1522" s="114" t="n">
        <v>1932160</v>
      </c>
      <c r="C1522" s="114" t="n">
        <v>43547.8200000012</v>
      </c>
    </row>
    <row r="1523" customFormat="false" ht="15" hidden="false" customHeight="true" outlineLevel="0" collapsed="false">
      <c r="A1523" s="115" t="n">
        <v>1932160.01</v>
      </c>
      <c r="B1523" s="115" t="n">
        <v>1933440</v>
      </c>
      <c r="C1523" s="115" t="n">
        <v>43576.4800000012</v>
      </c>
    </row>
    <row r="1524" customFormat="false" ht="15" hidden="false" customHeight="true" outlineLevel="0" collapsed="false">
      <c r="A1524" s="114" t="n">
        <v>1933440.01</v>
      </c>
      <c r="B1524" s="114" t="n">
        <v>1934720</v>
      </c>
      <c r="C1524" s="114" t="n">
        <v>43605.1400000012</v>
      </c>
    </row>
    <row r="1525" customFormat="false" ht="15" hidden="false" customHeight="true" outlineLevel="0" collapsed="false">
      <c r="A1525" s="115" t="n">
        <v>1934720.01</v>
      </c>
      <c r="B1525" s="115" t="n">
        <v>1936000</v>
      </c>
      <c r="C1525" s="115" t="n">
        <v>43633.8000000012</v>
      </c>
    </row>
    <row r="1526" customFormat="false" ht="15" hidden="false" customHeight="true" outlineLevel="0" collapsed="false">
      <c r="A1526" s="114" t="n">
        <v>1936000.01</v>
      </c>
      <c r="B1526" s="114" t="n">
        <v>1937280</v>
      </c>
      <c r="C1526" s="114" t="n">
        <v>43662.4600000012</v>
      </c>
    </row>
    <row r="1527" customFormat="false" ht="15" hidden="false" customHeight="true" outlineLevel="0" collapsed="false">
      <c r="A1527" s="115" t="n">
        <v>1937280.01</v>
      </c>
      <c r="B1527" s="115" t="n">
        <v>1938560</v>
      </c>
      <c r="C1527" s="115" t="n">
        <v>43691.1200000012</v>
      </c>
    </row>
    <row r="1528" customFormat="false" ht="15" hidden="false" customHeight="true" outlineLevel="0" collapsed="false">
      <c r="A1528" s="114" t="n">
        <v>1938560.01</v>
      </c>
      <c r="B1528" s="114" t="n">
        <v>1939840</v>
      </c>
      <c r="C1528" s="114" t="n">
        <v>43719.7800000012</v>
      </c>
    </row>
    <row r="1529" customFormat="false" ht="15" hidden="false" customHeight="true" outlineLevel="0" collapsed="false">
      <c r="A1529" s="115" t="n">
        <v>1939840.01</v>
      </c>
      <c r="B1529" s="115" t="n">
        <v>1941120</v>
      </c>
      <c r="C1529" s="115" t="n">
        <v>43748.4400000012</v>
      </c>
    </row>
    <row r="1530" customFormat="false" ht="15" hidden="false" customHeight="true" outlineLevel="0" collapsed="false">
      <c r="A1530" s="114" t="n">
        <v>1941120.01</v>
      </c>
      <c r="B1530" s="114" t="n">
        <v>1942400</v>
      </c>
      <c r="C1530" s="114" t="n">
        <v>43777.1000000012</v>
      </c>
    </row>
    <row r="1531" customFormat="false" ht="15" hidden="false" customHeight="true" outlineLevel="0" collapsed="false">
      <c r="A1531" s="115" t="n">
        <v>1942400.01</v>
      </c>
      <c r="B1531" s="115" t="n">
        <v>1943680</v>
      </c>
      <c r="C1531" s="115" t="n">
        <v>43805.7600000012</v>
      </c>
    </row>
    <row r="1532" customFormat="false" ht="15" hidden="false" customHeight="true" outlineLevel="0" collapsed="false">
      <c r="A1532" s="114" t="n">
        <v>1943680.01</v>
      </c>
      <c r="B1532" s="114" t="n">
        <v>1944960</v>
      </c>
      <c r="C1532" s="114" t="n">
        <v>43834.4200000012</v>
      </c>
    </row>
    <row r="1533" customFormat="false" ht="15" hidden="false" customHeight="true" outlineLevel="0" collapsed="false">
      <c r="A1533" s="115" t="n">
        <v>1944960.01</v>
      </c>
      <c r="B1533" s="115" t="n">
        <v>1946240</v>
      </c>
      <c r="C1533" s="115" t="n">
        <v>43863.0800000012</v>
      </c>
    </row>
    <row r="1534" customFormat="false" ht="15" hidden="false" customHeight="true" outlineLevel="0" collapsed="false">
      <c r="A1534" s="114" t="n">
        <v>1946240.01</v>
      </c>
      <c r="B1534" s="114" t="n">
        <v>1947520</v>
      </c>
      <c r="C1534" s="114" t="n">
        <v>43891.7400000012</v>
      </c>
    </row>
    <row r="1535" customFormat="false" ht="15" hidden="false" customHeight="true" outlineLevel="0" collapsed="false">
      <c r="A1535" s="115" t="n">
        <v>1947520.01</v>
      </c>
      <c r="B1535" s="115" t="n">
        <v>1948800</v>
      </c>
      <c r="C1535" s="115" t="n">
        <v>43920.4000000012</v>
      </c>
    </row>
    <row r="1536" customFormat="false" ht="15" hidden="false" customHeight="true" outlineLevel="0" collapsed="false">
      <c r="A1536" s="114" t="n">
        <v>1948800.01</v>
      </c>
      <c r="B1536" s="114" t="n">
        <v>1950080</v>
      </c>
      <c r="C1536" s="114" t="n">
        <v>43949.0600000012</v>
      </c>
    </row>
    <row r="1537" customFormat="false" ht="15" hidden="false" customHeight="true" outlineLevel="0" collapsed="false">
      <c r="A1537" s="115" t="n">
        <v>1950080.01</v>
      </c>
      <c r="B1537" s="115" t="n">
        <v>1951360</v>
      </c>
      <c r="C1537" s="115" t="n">
        <v>43977.7200000012</v>
      </c>
    </row>
    <row r="1538" customFormat="false" ht="15" hidden="false" customHeight="true" outlineLevel="0" collapsed="false">
      <c r="A1538" s="114" t="n">
        <v>1951360.01</v>
      </c>
      <c r="B1538" s="114" t="n">
        <v>1952640</v>
      </c>
      <c r="C1538" s="114" t="n">
        <v>44006.3800000012</v>
      </c>
    </row>
    <row r="1539" customFormat="false" ht="15" hidden="false" customHeight="true" outlineLevel="0" collapsed="false">
      <c r="A1539" s="115" t="n">
        <v>1952640.01</v>
      </c>
      <c r="B1539" s="115" t="n">
        <v>1953920</v>
      </c>
      <c r="C1539" s="115" t="n">
        <v>44035.0400000012</v>
      </c>
    </row>
    <row r="1540" customFormat="false" ht="15" hidden="false" customHeight="true" outlineLevel="0" collapsed="false">
      <c r="A1540" s="114" t="n">
        <v>1953920.01</v>
      </c>
      <c r="B1540" s="114" t="n">
        <v>1955200</v>
      </c>
      <c r="C1540" s="114" t="n">
        <v>44063.7000000012</v>
      </c>
    </row>
    <row r="1541" customFormat="false" ht="15" hidden="false" customHeight="true" outlineLevel="0" collapsed="false">
      <c r="A1541" s="115" t="n">
        <v>1955200.01</v>
      </c>
      <c r="B1541" s="115" t="n">
        <v>1956480</v>
      </c>
      <c r="C1541" s="115" t="n">
        <v>44092.3600000012</v>
      </c>
    </row>
    <row r="1542" customFormat="false" ht="15" hidden="false" customHeight="true" outlineLevel="0" collapsed="false">
      <c r="A1542" s="114" t="n">
        <v>1956480.01</v>
      </c>
      <c r="B1542" s="114" t="n">
        <v>1957760</v>
      </c>
      <c r="C1542" s="114" t="n">
        <v>44121.0200000012</v>
      </c>
    </row>
    <row r="1543" customFormat="false" ht="15" hidden="false" customHeight="true" outlineLevel="0" collapsed="false">
      <c r="A1543" s="115" t="n">
        <v>1957760.01</v>
      </c>
      <c r="B1543" s="115" t="n">
        <v>1959040</v>
      </c>
      <c r="C1543" s="115" t="n">
        <v>44149.6800000012</v>
      </c>
    </row>
    <row r="1544" customFormat="false" ht="15" hidden="false" customHeight="true" outlineLevel="0" collapsed="false">
      <c r="A1544" s="114" t="n">
        <v>1959040.01</v>
      </c>
      <c r="B1544" s="114" t="n">
        <v>1960320</v>
      </c>
      <c r="C1544" s="114" t="n">
        <v>44178.3400000012</v>
      </c>
    </row>
    <row r="1545" customFormat="false" ht="15" hidden="false" customHeight="true" outlineLevel="0" collapsed="false">
      <c r="A1545" s="115" t="n">
        <v>1960320.01</v>
      </c>
      <c r="B1545" s="115" t="n">
        <v>1961600</v>
      </c>
      <c r="C1545" s="115" t="n">
        <v>44207.0000000012</v>
      </c>
    </row>
    <row r="1546" customFormat="false" ht="15" hidden="false" customHeight="true" outlineLevel="0" collapsed="false">
      <c r="A1546" s="114" t="n">
        <v>1961600.01</v>
      </c>
      <c r="B1546" s="114" t="n">
        <v>1962880</v>
      </c>
      <c r="C1546" s="114" t="n">
        <v>44235.6600000013</v>
      </c>
    </row>
    <row r="1547" customFormat="false" ht="15" hidden="false" customHeight="true" outlineLevel="0" collapsed="false">
      <c r="A1547" s="115" t="n">
        <v>1962880.01</v>
      </c>
      <c r="B1547" s="115" t="n">
        <v>1964160</v>
      </c>
      <c r="C1547" s="115" t="n">
        <v>44264.3200000013</v>
      </c>
    </row>
    <row r="1548" customFormat="false" ht="15" hidden="false" customHeight="true" outlineLevel="0" collapsed="false">
      <c r="A1548" s="114" t="n">
        <v>1964160.01</v>
      </c>
      <c r="B1548" s="114" t="n">
        <v>1965440</v>
      </c>
      <c r="C1548" s="114" t="n">
        <v>44292.9800000013</v>
      </c>
    </row>
    <row r="1549" customFormat="false" ht="15" hidden="false" customHeight="true" outlineLevel="0" collapsed="false">
      <c r="A1549" s="115" t="n">
        <v>1965440.01</v>
      </c>
      <c r="B1549" s="115" t="n">
        <v>1966720</v>
      </c>
      <c r="C1549" s="115" t="n">
        <v>44321.6400000013</v>
      </c>
    </row>
    <row r="1550" customFormat="false" ht="15" hidden="false" customHeight="true" outlineLevel="0" collapsed="false">
      <c r="A1550" s="114" t="n">
        <v>1966720.01</v>
      </c>
      <c r="B1550" s="114" t="n">
        <v>1968000</v>
      </c>
      <c r="C1550" s="114" t="n">
        <v>44350.3000000013</v>
      </c>
    </row>
    <row r="1551" customFormat="false" ht="15" hidden="false" customHeight="true" outlineLevel="0" collapsed="false">
      <c r="A1551" s="115" t="n">
        <v>1968000.01</v>
      </c>
      <c r="B1551" s="115" t="n">
        <v>1969280</v>
      </c>
      <c r="C1551" s="115" t="n">
        <v>44378.9600000013</v>
      </c>
    </row>
    <row r="1552" customFormat="false" ht="15" hidden="false" customHeight="true" outlineLevel="0" collapsed="false">
      <c r="A1552" s="114" t="n">
        <v>1969280.01</v>
      </c>
      <c r="B1552" s="114" t="n">
        <v>1970560</v>
      </c>
      <c r="C1552" s="114" t="n">
        <v>44407.6200000013</v>
      </c>
    </row>
    <row r="1553" customFormat="false" ht="15" hidden="false" customHeight="true" outlineLevel="0" collapsed="false">
      <c r="A1553" s="115" t="n">
        <v>1970560.01</v>
      </c>
      <c r="B1553" s="115" t="n">
        <v>1971840</v>
      </c>
      <c r="C1553" s="115" t="n">
        <v>44436.2800000013</v>
      </c>
    </row>
    <row r="1554" customFormat="false" ht="15" hidden="false" customHeight="true" outlineLevel="0" collapsed="false">
      <c r="A1554" s="114" t="n">
        <v>1971840.01</v>
      </c>
      <c r="B1554" s="114" t="n">
        <v>1973120</v>
      </c>
      <c r="C1554" s="114" t="n">
        <v>44464.9400000013</v>
      </c>
    </row>
    <row r="1555" customFormat="false" ht="15" hidden="false" customHeight="true" outlineLevel="0" collapsed="false">
      <c r="A1555" s="115" t="n">
        <v>1973120.01</v>
      </c>
      <c r="B1555" s="115" t="n">
        <v>1974400</v>
      </c>
      <c r="C1555" s="115" t="n">
        <v>44493.6000000013</v>
      </c>
    </row>
    <row r="1556" customFormat="false" ht="15" hidden="false" customHeight="true" outlineLevel="0" collapsed="false">
      <c r="A1556" s="114" t="n">
        <v>1974400.01</v>
      </c>
      <c r="B1556" s="114" t="n">
        <v>1975680</v>
      </c>
      <c r="C1556" s="114" t="n">
        <v>44522.2600000013</v>
      </c>
    </row>
    <row r="1557" customFormat="false" ht="15" hidden="false" customHeight="true" outlineLevel="0" collapsed="false">
      <c r="A1557" s="115" t="n">
        <v>1975680.01</v>
      </c>
      <c r="B1557" s="115" t="n">
        <v>1976960</v>
      </c>
      <c r="C1557" s="115" t="n">
        <v>44550.9200000013</v>
      </c>
    </row>
    <row r="1558" customFormat="false" ht="15" hidden="false" customHeight="true" outlineLevel="0" collapsed="false">
      <c r="A1558" s="114" t="n">
        <v>1976960.01</v>
      </c>
      <c r="B1558" s="114" t="n">
        <v>1978240</v>
      </c>
      <c r="C1558" s="114" t="n">
        <v>44579.5800000013</v>
      </c>
    </row>
    <row r="1559" customFormat="false" ht="15" hidden="false" customHeight="true" outlineLevel="0" collapsed="false">
      <c r="A1559" s="115" t="n">
        <v>1978240.01</v>
      </c>
      <c r="B1559" s="115" t="n">
        <v>1979520</v>
      </c>
      <c r="C1559" s="115" t="n">
        <v>44608.2400000013</v>
      </c>
    </row>
    <row r="1560" customFormat="false" ht="15" hidden="false" customHeight="true" outlineLevel="0" collapsed="false">
      <c r="A1560" s="114" t="n">
        <v>1979520.01</v>
      </c>
      <c r="B1560" s="114" t="n">
        <v>1980800</v>
      </c>
      <c r="C1560" s="114" t="n">
        <v>44636.9000000013</v>
      </c>
    </row>
    <row r="1561" customFormat="false" ht="15" hidden="false" customHeight="true" outlineLevel="0" collapsed="false">
      <c r="A1561" s="115" t="n">
        <v>1980800.01</v>
      </c>
      <c r="B1561" s="115" t="n">
        <v>1982080</v>
      </c>
      <c r="C1561" s="115" t="n">
        <v>44665.5600000013</v>
      </c>
    </row>
    <row r="1562" customFormat="false" ht="15" hidden="false" customHeight="true" outlineLevel="0" collapsed="false">
      <c r="A1562" s="114" t="n">
        <v>1982080.01</v>
      </c>
      <c r="B1562" s="114" t="n">
        <v>1983360</v>
      </c>
      <c r="C1562" s="114" t="n">
        <v>44694.2200000013</v>
      </c>
    </row>
    <row r="1563" customFormat="false" ht="15" hidden="false" customHeight="true" outlineLevel="0" collapsed="false">
      <c r="A1563" s="115" t="n">
        <v>1983360.01</v>
      </c>
      <c r="B1563" s="115" t="n">
        <v>1984640</v>
      </c>
      <c r="C1563" s="115" t="n">
        <v>44722.8800000013</v>
      </c>
    </row>
    <row r="1564" customFormat="false" ht="15" hidden="false" customHeight="true" outlineLevel="0" collapsed="false">
      <c r="A1564" s="114" t="n">
        <v>1984640.01</v>
      </c>
      <c r="B1564" s="114" t="n">
        <v>1985920</v>
      </c>
      <c r="C1564" s="114" t="n">
        <v>44751.5400000013</v>
      </c>
    </row>
    <row r="1565" customFormat="false" ht="15" hidden="false" customHeight="true" outlineLevel="0" collapsed="false">
      <c r="A1565" s="115" t="n">
        <v>1985920.01</v>
      </c>
      <c r="B1565" s="115" t="n">
        <v>1987200</v>
      </c>
      <c r="C1565" s="115" t="n">
        <v>44780.2000000013</v>
      </c>
    </row>
    <row r="1566" customFormat="false" ht="15" hidden="false" customHeight="true" outlineLevel="0" collapsed="false">
      <c r="A1566" s="114" t="n">
        <v>1987200.01</v>
      </c>
      <c r="B1566" s="114" t="n">
        <v>1988480</v>
      </c>
      <c r="C1566" s="114" t="n">
        <v>44808.8600000013</v>
      </c>
    </row>
    <row r="1567" customFormat="false" ht="15" hidden="false" customHeight="true" outlineLevel="0" collapsed="false">
      <c r="A1567" s="115" t="n">
        <v>1988480.01</v>
      </c>
      <c r="B1567" s="115" t="n">
        <v>1989760</v>
      </c>
      <c r="C1567" s="115" t="n">
        <v>44837.5200000013</v>
      </c>
    </row>
    <row r="1568" customFormat="false" ht="15" hidden="false" customHeight="true" outlineLevel="0" collapsed="false">
      <c r="A1568" s="114" t="n">
        <v>1989760.01</v>
      </c>
      <c r="B1568" s="114" t="n">
        <v>1991040</v>
      </c>
      <c r="C1568" s="114" t="n">
        <v>44866.1800000013</v>
      </c>
    </row>
    <row r="1569" customFormat="false" ht="15" hidden="false" customHeight="true" outlineLevel="0" collapsed="false">
      <c r="A1569" s="115" t="n">
        <v>1991040.01</v>
      </c>
      <c r="B1569" s="115" t="n">
        <v>1992320</v>
      </c>
      <c r="C1569" s="115" t="n">
        <v>44894.8400000013</v>
      </c>
    </row>
    <row r="1570" customFormat="false" ht="15" hidden="false" customHeight="true" outlineLevel="0" collapsed="false">
      <c r="A1570" s="114" t="n">
        <v>1992320.01</v>
      </c>
      <c r="B1570" s="114" t="n">
        <v>1993600</v>
      </c>
      <c r="C1570" s="114" t="n">
        <v>44923.5000000013</v>
      </c>
    </row>
    <row r="1571" customFormat="false" ht="15" hidden="false" customHeight="true" outlineLevel="0" collapsed="false">
      <c r="A1571" s="115" t="n">
        <v>1993600.01</v>
      </c>
      <c r="B1571" s="115" t="n">
        <v>1994880</v>
      </c>
      <c r="C1571" s="115" t="n">
        <v>44952.1600000013</v>
      </c>
    </row>
    <row r="1572" customFormat="false" ht="15" hidden="false" customHeight="true" outlineLevel="0" collapsed="false">
      <c r="A1572" s="114" t="n">
        <v>1994880.01</v>
      </c>
      <c r="B1572" s="114" t="n">
        <v>1996160</v>
      </c>
      <c r="C1572" s="114" t="n">
        <v>44980.8200000013</v>
      </c>
    </row>
    <row r="1573" customFormat="false" ht="15" hidden="false" customHeight="true" outlineLevel="0" collapsed="false">
      <c r="A1573" s="115" t="n">
        <v>1996160.01</v>
      </c>
      <c r="B1573" s="115" t="n">
        <v>1997440</v>
      </c>
      <c r="C1573" s="115" t="n">
        <v>45009.4800000013</v>
      </c>
    </row>
    <row r="1574" customFormat="false" ht="15" hidden="false" customHeight="true" outlineLevel="0" collapsed="false">
      <c r="A1574" s="114" t="n">
        <v>1997440.01</v>
      </c>
      <c r="B1574" s="114" t="n">
        <v>1998720</v>
      </c>
      <c r="C1574" s="114" t="n">
        <v>45038.1400000014</v>
      </c>
    </row>
    <row r="1575" customFormat="false" ht="15" hidden="false" customHeight="true" outlineLevel="0" collapsed="false">
      <c r="A1575" s="115" t="n">
        <v>1998720.01</v>
      </c>
      <c r="B1575" s="115" t="n">
        <v>2000000</v>
      </c>
      <c r="C1575" s="115" t="n">
        <v>45066.8000000014</v>
      </c>
    </row>
    <row r="1576" customFormat="false" ht="15" hidden="false" customHeight="true" outlineLevel="0" collapsed="false">
      <c r="A1576" s="114" t="n">
        <v>2000000.01</v>
      </c>
      <c r="B1576" s="114" t="n">
        <v>2001280</v>
      </c>
      <c r="C1576" s="114" t="n">
        <v>45095.4600000014</v>
      </c>
    </row>
    <row r="1577" customFormat="false" ht="15" hidden="false" customHeight="true" outlineLevel="0" collapsed="false">
      <c r="A1577" s="115" t="n">
        <v>2001280.01</v>
      </c>
      <c r="B1577" s="115" t="n">
        <v>2002560</v>
      </c>
      <c r="C1577" s="115" t="n">
        <v>45124.1200000014</v>
      </c>
    </row>
    <row r="1578" customFormat="false" ht="15" hidden="false" customHeight="true" outlineLevel="0" collapsed="false">
      <c r="A1578" s="114" t="n">
        <v>2002560.01</v>
      </c>
      <c r="B1578" s="114" t="n">
        <v>2003840</v>
      </c>
      <c r="C1578" s="114" t="n">
        <v>45152.7800000014</v>
      </c>
    </row>
    <row r="1579" customFormat="false" ht="15" hidden="false" customHeight="true" outlineLevel="0" collapsed="false">
      <c r="A1579" s="115" t="n">
        <v>2003840.01</v>
      </c>
      <c r="B1579" s="115" t="n">
        <v>2005120</v>
      </c>
      <c r="C1579" s="115" t="n">
        <v>45181.4400000014</v>
      </c>
    </row>
    <row r="1580" customFormat="false" ht="15" hidden="false" customHeight="true" outlineLevel="0" collapsed="false">
      <c r="A1580" s="114" t="n">
        <v>2005120.01</v>
      </c>
      <c r="B1580" s="114" t="n">
        <v>2006400</v>
      </c>
      <c r="C1580" s="114" t="n">
        <v>45210.1000000014</v>
      </c>
    </row>
    <row r="1581" customFormat="false" ht="15" hidden="false" customHeight="true" outlineLevel="0" collapsed="false">
      <c r="A1581" s="115" t="n">
        <v>2006400.01</v>
      </c>
      <c r="B1581" s="115" t="n">
        <v>2007680</v>
      </c>
      <c r="C1581" s="115" t="n">
        <v>45238.7600000014</v>
      </c>
    </row>
    <row r="1582" customFormat="false" ht="15" hidden="false" customHeight="true" outlineLevel="0" collapsed="false">
      <c r="A1582" s="114" t="n">
        <v>2007680.01</v>
      </c>
      <c r="B1582" s="114" t="n">
        <v>2008960</v>
      </c>
      <c r="C1582" s="114" t="n">
        <v>45267.4200000014</v>
      </c>
    </row>
    <row r="1583" customFormat="false" ht="15" hidden="false" customHeight="true" outlineLevel="0" collapsed="false">
      <c r="A1583" s="115" t="n">
        <v>2008960.01</v>
      </c>
      <c r="B1583" s="115" t="n">
        <v>2010240</v>
      </c>
      <c r="C1583" s="115" t="n">
        <v>45296.0800000014</v>
      </c>
    </row>
    <row r="1584" customFormat="false" ht="15" hidden="false" customHeight="true" outlineLevel="0" collapsed="false">
      <c r="A1584" s="114" t="n">
        <v>2010240.01</v>
      </c>
      <c r="B1584" s="114" t="n">
        <v>2011520</v>
      </c>
      <c r="C1584" s="114" t="n">
        <v>45324.7400000014</v>
      </c>
    </row>
    <row r="1585" customFormat="false" ht="15" hidden="false" customHeight="true" outlineLevel="0" collapsed="false">
      <c r="A1585" s="115" t="n">
        <v>2011520.01</v>
      </c>
      <c r="B1585" s="115" t="n">
        <v>2012800</v>
      </c>
      <c r="C1585" s="115" t="n">
        <v>45353.4000000014</v>
      </c>
    </row>
    <row r="1586" customFormat="false" ht="15" hidden="false" customHeight="true" outlineLevel="0" collapsed="false">
      <c r="A1586" s="114" t="n">
        <v>2012800.01</v>
      </c>
      <c r="B1586" s="114" t="n">
        <v>2014080</v>
      </c>
      <c r="C1586" s="114" t="n">
        <v>45382.0600000014</v>
      </c>
    </row>
    <row r="1587" customFormat="false" ht="15" hidden="false" customHeight="true" outlineLevel="0" collapsed="false">
      <c r="A1587" s="115" t="n">
        <v>2014080.01</v>
      </c>
      <c r="B1587" s="115" t="n">
        <v>2015360</v>
      </c>
      <c r="C1587" s="115" t="n">
        <v>45410.7200000014</v>
      </c>
    </row>
    <row r="1588" customFormat="false" ht="15" hidden="false" customHeight="true" outlineLevel="0" collapsed="false">
      <c r="A1588" s="114" t="n">
        <v>2015360.01</v>
      </c>
      <c r="B1588" s="114" t="n">
        <v>2016640</v>
      </c>
      <c r="C1588" s="114" t="n">
        <v>45439.3800000014</v>
      </c>
    </row>
    <row r="1589" customFormat="false" ht="15" hidden="false" customHeight="true" outlineLevel="0" collapsed="false">
      <c r="A1589" s="115" t="n">
        <v>2016640.01</v>
      </c>
      <c r="B1589" s="115" t="n">
        <v>2017920</v>
      </c>
      <c r="C1589" s="115" t="n">
        <v>45468.0400000014</v>
      </c>
    </row>
    <row r="1590" customFormat="false" ht="15" hidden="false" customHeight="true" outlineLevel="0" collapsed="false">
      <c r="A1590" s="114" t="n">
        <v>2017920.01</v>
      </c>
      <c r="B1590" s="114" t="n">
        <v>2019200</v>
      </c>
      <c r="C1590" s="114" t="n">
        <v>45496.7000000014</v>
      </c>
    </row>
    <row r="1591" customFormat="false" ht="15" hidden="false" customHeight="true" outlineLevel="0" collapsed="false">
      <c r="A1591" s="115" t="n">
        <v>2019200.01</v>
      </c>
      <c r="B1591" s="115" t="n">
        <v>2020480</v>
      </c>
      <c r="C1591" s="115" t="n">
        <v>45525.3600000014</v>
      </c>
    </row>
    <row r="1592" customFormat="false" ht="15" hidden="false" customHeight="true" outlineLevel="0" collapsed="false">
      <c r="A1592" s="114" t="n">
        <v>2020480.01</v>
      </c>
      <c r="B1592" s="114" t="n">
        <v>2021760</v>
      </c>
      <c r="C1592" s="114" t="n">
        <v>45554.0200000014</v>
      </c>
    </row>
    <row r="1593" customFormat="false" ht="15" hidden="false" customHeight="true" outlineLevel="0" collapsed="false">
      <c r="A1593" s="115" t="n">
        <v>2021760.01</v>
      </c>
      <c r="B1593" s="115" t="n">
        <v>2023040</v>
      </c>
      <c r="C1593" s="115" t="n">
        <v>45582.6800000014</v>
      </c>
    </row>
    <row r="1594" customFormat="false" ht="15" hidden="false" customHeight="true" outlineLevel="0" collapsed="false">
      <c r="A1594" s="114" t="n">
        <v>2023040.01</v>
      </c>
      <c r="B1594" s="114" t="n">
        <v>2024320</v>
      </c>
      <c r="C1594" s="114" t="n">
        <v>45611.3400000014</v>
      </c>
    </row>
    <row r="1595" customFormat="false" ht="15" hidden="false" customHeight="true" outlineLevel="0" collapsed="false">
      <c r="A1595" s="115" t="n">
        <v>2024320.01</v>
      </c>
      <c r="B1595" s="115" t="n">
        <v>2025600</v>
      </c>
      <c r="C1595" s="115" t="n">
        <v>45640.0000000014</v>
      </c>
    </row>
    <row r="1596" customFormat="false" ht="15" hidden="false" customHeight="true" outlineLevel="0" collapsed="false">
      <c r="A1596" s="114" t="n">
        <v>2025600.01</v>
      </c>
      <c r="B1596" s="114" t="n">
        <v>2026880</v>
      </c>
      <c r="C1596" s="114" t="n">
        <v>45668.6600000014</v>
      </c>
    </row>
    <row r="1597" customFormat="false" ht="15" hidden="false" customHeight="true" outlineLevel="0" collapsed="false">
      <c r="A1597" s="115" t="n">
        <v>2026880.01</v>
      </c>
      <c r="B1597" s="115" t="n">
        <v>2028160</v>
      </c>
      <c r="C1597" s="115" t="n">
        <v>45697.3200000014</v>
      </c>
    </row>
    <row r="1598" customFormat="false" ht="15" hidden="false" customHeight="true" outlineLevel="0" collapsed="false">
      <c r="A1598" s="114" t="n">
        <v>2028160.01</v>
      </c>
      <c r="B1598" s="114" t="n">
        <v>2029440</v>
      </c>
      <c r="C1598" s="114" t="n">
        <v>45725.9800000014</v>
      </c>
    </row>
    <row r="1599" customFormat="false" ht="15" hidden="false" customHeight="true" outlineLevel="0" collapsed="false">
      <c r="A1599" s="115" t="n">
        <v>2029440.01</v>
      </c>
      <c r="B1599" s="115" t="n">
        <v>2030720</v>
      </c>
      <c r="C1599" s="115" t="n">
        <v>45754.6400000014</v>
      </c>
    </row>
    <row r="1600" customFormat="false" ht="15" hidden="false" customHeight="true" outlineLevel="0" collapsed="false">
      <c r="A1600" s="114" t="n">
        <v>2030720.01</v>
      </c>
      <c r="B1600" s="114" t="n">
        <v>2032000</v>
      </c>
      <c r="C1600" s="114" t="n">
        <v>45783.3000000014</v>
      </c>
    </row>
    <row r="1601" customFormat="false" ht="15" hidden="false" customHeight="true" outlineLevel="0" collapsed="false">
      <c r="A1601" s="115" t="n">
        <v>2032000.01</v>
      </c>
      <c r="B1601" s="115" t="n">
        <v>2033280</v>
      </c>
      <c r="C1601" s="115" t="n">
        <v>45811.9600000014</v>
      </c>
    </row>
    <row r="1602" customFormat="false" ht="15" hidden="false" customHeight="true" outlineLevel="0" collapsed="false">
      <c r="A1602" s="114" t="n">
        <v>2033280.01</v>
      </c>
      <c r="B1602" s="114" t="n">
        <v>2034560</v>
      </c>
      <c r="C1602" s="114" t="n">
        <v>45840.6200000014</v>
      </c>
    </row>
    <row r="1603" customFormat="false" ht="15" hidden="false" customHeight="true" outlineLevel="0" collapsed="false">
      <c r="A1603" s="115" t="n">
        <v>2034560.01</v>
      </c>
      <c r="B1603" s="115" t="n">
        <v>2035840</v>
      </c>
      <c r="C1603" s="115" t="n">
        <v>45869.2800000015</v>
      </c>
    </row>
    <row r="1604" customFormat="false" ht="15" hidden="false" customHeight="true" outlineLevel="0" collapsed="false">
      <c r="A1604" s="114" t="n">
        <v>2035840.01</v>
      </c>
      <c r="B1604" s="114" t="n">
        <v>2037120</v>
      </c>
      <c r="C1604" s="114" t="n">
        <v>45897.9400000015</v>
      </c>
    </row>
    <row r="1605" customFormat="false" ht="15" hidden="false" customHeight="true" outlineLevel="0" collapsed="false">
      <c r="A1605" s="115" t="n">
        <v>2037120.01</v>
      </c>
      <c r="B1605" s="115" t="n">
        <v>2038400</v>
      </c>
      <c r="C1605" s="115" t="n">
        <v>45926.6000000015</v>
      </c>
    </row>
    <row r="1606" customFormat="false" ht="15" hidden="false" customHeight="true" outlineLevel="0" collapsed="false">
      <c r="A1606" s="114" t="n">
        <v>2038400.01</v>
      </c>
      <c r="B1606" s="114" t="n">
        <v>2039680</v>
      </c>
      <c r="C1606" s="114" t="n">
        <v>45955.2600000015</v>
      </c>
    </row>
    <row r="1607" customFormat="false" ht="15" hidden="false" customHeight="true" outlineLevel="0" collapsed="false">
      <c r="A1607" s="115" t="n">
        <v>2039680.01</v>
      </c>
      <c r="B1607" s="115" t="n">
        <v>2040960</v>
      </c>
      <c r="C1607" s="115" t="n">
        <v>45983.9200000015</v>
      </c>
    </row>
    <row r="1608" customFormat="false" ht="15" hidden="false" customHeight="true" outlineLevel="0" collapsed="false">
      <c r="A1608" s="114" t="n">
        <v>2040960.01</v>
      </c>
      <c r="B1608" s="114" t="n">
        <v>2042240</v>
      </c>
      <c r="C1608" s="114" t="n">
        <v>46012.5800000015</v>
      </c>
    </row>
    <row r="1609" customFormat="false" ht="15" hidden="false" customHeight="true" outlineLevel="0" collapsed="false">
      <c r="A1609" s="115" t="n">
        <v>2042240.01</v>
      </c>
      <c r="B1609" s="115" t="n">
        <v>2043520</v>
      </c>
      <c r="C1609" s="115" t="n">
        <v>46041.2400000015</v>
      </c>
    </row>
    <row r="1610" customFormat="false" ht="15" hidden="false" customHeight="true" outlineLevel="0" collapsed="false">
      <c r="A1610" s="114" t="n">
        <v>2043520.01</v>
      </c>
      <c r="B1610" s="114" t="n">
        <v>2044800</v>
      </c>
      <c r="C1610" s="114" t="n">
        <v>46069.9000000015</v>
      </c>
    </row>
    <row r="1611" customFormat="false" ht="15" hidden="false" customHeight="true" outlineLevel="0" collapsed="false">
      <c r="A1611" s="115" t="n">
        <v>2044800.01</v>
      </c>
      <c r="B1611" s="115" t="n">
        <v>2046080</v>
      </c>
      <c r="C1611" s="115" t="n">
        <v>46098.5600000015</v>
      </c>
    </row>
    <row r="1612" customFormat="false" ht="15" hidden="false" customHeight="true" outlineLevel="0" collapsed="false">
      <c r="A1612" s="114" t="n">
        <v>2046080.01</v>
      </c>
      <c r="B1612" s="114" t="n">
        <v>2047360</v>
      </c>
      <c r="C1612" s="114" t="n">
        <v>46127.2200000015</v>
      </c>
    </row>
    <row r="1613" customFormat="false" ht="15" hidden="false" customHeight="true" outlineLevel="0" collapsed="false">
      <c r="A1613" s="115" t="n">
        <v>2047360.01</v>
      </c>
      <c r="B1613" s="115" t="n">
        <v>2048640</v>
      </c>
      <c r="C1613" s="115" t="n">
        <v>46155.8800000015</v>
      </c>
    </row>
    <row r="1614" customFormat="false" ht="15" hidden="false" customHeight="true" outlineLevel="0" collapsed="false">
      <c r="A1614" s="114" t="n">
        <v>2048640.01</v>
      </c>
      <c r="B1614" s="114" t="n">
        <v>2049920</v>
      </c>
      <c r="C1614" s="114" t="n">
        <v>46184.5400000015</v>
      </c>
    </row>
    <row r="1615" customFormat="false" ht="15" hidden="false" customHeight="true" outlineLevel="0" collapsed="false">
      <c r="A1615" s="115" t="n">
        <v>2049920.01</v>
      </c>
      <c r="B1615" s="115" t="n">
        <v>2051200</v>
      </c>
      <c r="C1615" s="115" t="n">
        <v>46213.2000000015</v>
      </c>
    </row>
    <row r="1616" customFormat="false" ht="15" hidden="false" customHeight="true" outlineLevel="0" collapsed="false">
      <c r="A1616" s="114" t="n">
        <v>2051200.01</v>
      </c>
      <c r="B1616" s="114" t="n">
        <v>2052480</v>
      </c>
      <c r="C1616" s="114" t="n">
        <v>46241.8600000015</v>
      </c>
    </row>
    <row r="1617" customFormat="false" ht="15" hidden="false" customHeight="true" outlineLevel="0" collapsed="false">
      <c r="A1617" s="115" t="n">
        <v>2052480.01</v>
      </c>
      <c r="B1617" s="115" t="n">
        <v>2053760</v>
      </c>
      <c r="C1617" s="115" t="n">
        <v>46270.5200000015</v>
      </c>
    </row>
    <row r="1618" customFormat="false" ht="15" hidden="false" customHeight="true" outlineLevel="0" collapsed="false">
      <c r="A1618" s="114" t="n">
        <v>2053760.01</v>
      </c>
      <c r="B1618" s="114" t="n">
        <v>2055040</v>
      </c>
      <c r="C1618" s="114" t="n">
        <v>46299.1800000015</v>
      </c>
    </row>
    <row r="1619" customFormat="false" ht="15" hidden="false" customHeight="true" outlineLevel="0" collapsed="false">
      <c r="A1619" s="115" t="n">
        <v>2055040.01</v>
      </c>
      <c r="B1619" s="115" t="n">
        <v>2056320</v>
      </c>
      <c r="C1619" s="115" t="n">
        <v>46327.8400000015</v>
      </c>
    </row>
    <row r="1620" customFormat="false" ht="15" hidden="false" customHeight="true" outlineLevel="0" collapsed="false">
      <c r="A1620" s="114" t="n">
        <v>2056320.01</v>
      </c>
      <c r="B1620" s="114" t="n">
        <v>2057600</v>
      </c>
      <c r="C1620" s="114" t="n">
        <v>46356.5000000015</v>
      </c>
    </row>
    <row r="1621" customFormat="false" ht="15" hidden="false" customHeight="true" outlineLevel="0" collapsed="false">
      <c r="A1621" s="115" t="n">
        <v>2057600.01</v>
      </c>
      <c r="B1621" s="115" t="n">
        <v>2058880</v>
      </c>
      <c r="C1621" s="115" t="n">
        <v>46385.1600000015</v>
      </c>
    </row>
    <row r="1622" customFormat="false" ht="15" hidden="false" customHeight="true" outlineLevel="0" collapsed="false">
      <c r="A1622" s="114" t="n">
        <v>2058880.01</v>
      </c>
      <c r="B1622" s="114" t="n">
        <v>2060160</v>
      </c>
      <c r="C1622" s="114" t="n">
        <v>46413.8200000015</v>
      </c>
    </row>
    <row r="1623" customFormat="false" ht="15" hidden="false" customHeight="true" outlineLevel="0" collapsed="false">
      <c r="A1623" s="115" t="n">
        <v>2060160.01</v>
      </c>
      <c r="B1623" s="115" t="n">
        <v>2061440</v>
      </c>
      <c r="C1623" s="115" t="n">
        <v>46442.4800000015</v>
      </c>
    </row>
    <row r="1624" customFormat="false" ht="15" hidden="false" customHeight="true" outlineLevel="0" collapsed="false">
      <c r="A1624" s="114" t="n">
        <v>2061440.01</v>
      </c>
      <c r="B1624" s="114" t="n">
        <v>2062720</v>
      </c>
      <c r="C1624" s="114" t="n">
        <v>46471.1400000015</v>
      </c>
    </row>
    <row r="1625" customFormat="false" ht="15" hidden="false" customHeight="true" outlineLevel="0" collapsed="false">
      <c r="A1625" s="115" t="n">
        <v>2062720.01</v>
      </c>
      <c r="B1625" s="115" t="n">
        <v>2064000</v>
      </c>
      <c r="C1625" s="115" t="n">
        <v>46499.8000000015</v>
      </c>
    </row>
    <row r="1626" customFormat="false" ht="15" hidden="false" customHeight="true" outlineLevel="0" collapsed="false">
      <c r="A1626" s="114" t="n">
        <v>2064000.01</v>
      </c>
      <c r="B1626" s="114" t="n">
        <v>2065280</v>
      </c>
      <c r="C1626" s="114" t="n">
        <v>46528.4600000015</v>
      </c>
    </row>
    <row r="1627" customFormat="false" ht="15" hidden="false" customHeight="true" outlineLevel="0" collapsed="false">
      <c r="A1627" s="115" t="n">
        <v>2065280.01</v>
      </c>
      <c r="B1627" s="115" t="n">
        <v>2066560</v>
      </c>
      <c r="C1627" s="115" t="n">
        <v>46557.1200000015</v>
      </c>
    </row>
    <row r="1628" customFormat="false" ht="15" hidden="false" customHeight="true" outlineLevel="0" collapsed="false">
      <c r="A1628" s="114" t="n">
        <v>2066560.01</v>
      </c>
      <c r="B1628" s="114" t="n">
        <v>2067840</v>
      </c>
      <c r="C1628" s="114" t="n">
        <v>46585.7800000015</v>
      </c>
    </row>
    <row r="1629" customFormat="false" ht="15" hidden="false" customHeight="true" outlineLevel="0" collapsed="false">
      <c r="A1629" s="115" t="n">
        <v>2067840.01</v>
      </c>
      <c r="B1629" s="115" t="n">
        <v>2069120</v>
      </c>
      <c r="C1629" s="115" t="n">
        <v>46614.4400000015</v>
      </c>
    </row>
    <row r="1630" customFormat="false" ht="15" hidden="false" customHeight="true" outlineLevel="0" collapsed="false">
      <c r="A1630" s="114" t="n">
        <v>2069120.01</v>
      </c>
      <c r="B1630" s="114" t="n">
        <v>2070400</v>
      </c>
      <c r="C1630" s="114" t="n">
        <v>46643.1000000015</v>
      </c>
    </row>
    <row r="1631" customFormat="false" ht="15" hidden="false" customHeight="true" outlineLevel="0" collapsed="false">
      <c r="A1631" s="115" t="n">
        <v>2070400.01</v>
      </c>
      <c r="B1631" s="115" t="n">
        <v>2071680</v>
      </c>
      <c r="C1631" s="115" t="n">
        <v>46671.7600000015</v>
      </c>
    </row>
    <row r="1632" customFormat="false" ht="15" hidden="false" customHeight="true" outlineLevel="0" collapsed="false">
      <c r="A1632" s="114" t="n">
        <v>2071680.01</v>
      </c>
      <c r="B1632" s="114" t="n">
        <v>2072960</v>
      </c>
      <c r="C1632" s="114" t="n">
        <v>46700.4200000016</v>
      </c>
    </row>
    <row r="1633" customFormat="false" ht="15" hidden="false" customHeight="true" outlineLevel="0" collapsed="false">
      <c r="A1633" s="115" t="n">
        <v>2072960.01</v>
      </c>
      <c r="B1633" s="115" t="n">
        <v>2074240</v>
      </c>
      <c r="C1633" s="115" t="n">
        <v>46729.0800000016</v>
      </c>
    </row>
    <row r="1634" customFormat="false" ht="15" hidden="false" customHeight="true" outlineLevel="0" collapsed="false">
      <c r="A1634" s="114" t="n">
        <v>2074240.01</v>
      </c>
      <c r="B1634" s="114" t="n">
        <v>2075520</v>
      </c>
      <c r="C1634" s="114" t="n">
        <v>46757.7400000016</v>
      </c>
    </row>
    <row r="1635" customFormat="false" ht="15" hidden="false" customHeight="true" outlineLevel="0" collapsed="false">
      <c r="A1635" s="115" t="n">
        <v>2075520.01</v>
      </c>
      <c r="B1635" s="115" t="n">
        <v>2076800</v>
      </c>
      <c r="C1635" s="115" t="n">
        <v>46786.4000000016</v>
      </c>
    </row>
    <row r="1636" customFormat="false" ht="15" hidden="false" customHeight="true" outlineLevel="0" collapsed="false">
      <c r="A1636" s="114" t="n">
        <v>2076800.01</v>
      </c>
      <c r="B1636" s="114" t="n">
        <v>2078080</v>
      </c>
      <c r="C1636" s="114" t="n">
        <v>46815.0600000016</v>
      </c>
    </row>
    <row r="1637" customFormat="false" ht="15" hidden="false" customHeight="true" outlineLevel="0" collapsed="false">
      <c r="A1637" s="115" t="n">
        <v>2078080.01</v>
      </c>
      <c r="B1637" s="115" t="n">
        <v>2079360</v>
      </c>
      <c r="C1637" s="115" t="n">
        <v>46843.7200000016</v>
      </c>
    </row>
    <row r="1638" customFormat="false" ht="15" hidden="false" customHeight="true" outlineLevel="0" collapsed="false">
      <c r="A1638" s="114" t="n">
        <v>2079360.01</v>
      </c>
      <c r="B1638" s="114" t="n">
        <v>2080640</v>
      </c>
      <c r="C1638" s="114" t="n">
        <v>46872.3800000016</v>
      </c>
    </row>
    <row r="1639" customFormat="false" ht="15" hidden="false" customHeight="true" outlineLevel="0" collapsed="false">
      <c r="A1639" s="115" t="n">
        <v>2080640.01</v>
      </c>
      <c r="B1639" s="115" t="n">
        <v>2081920</v>
      </c>
      <c r="C1639" s="115" t="n">
        <v>46901.0400000016</v>
      </c>
    </row>
    <row r="1640" customFormat="false" ht="15" hidden="false" customHeight="true" outlineLevel="0" collapsed="false">
      <c r="A1640" s="114" t="n">
        <v>2081920.01</v>
      </c>
      <c r="B1640" s="114" t="n">
        <v>2083200</v>
      </c>
      <c r="C1640" s="114" t="n">
        <v>46929.7000000016</v>
      </c>
    </row>
    <row r="1641" customFormat="false" ht="15" hidden="false" customHeight="true" outlineLevel="0" collapsed="false">
      <c r="A1641" s="115" t="n">
        <v>2083200.01</v>
      </c>
      <c r="B1641" s="115" t="n">
        <v>2084480</v>
      </c>
      <c r="C1641" s="115" t="n">
        <v>46958.3600000016</v>
      </c>
    </row>
    <row r="1642" customFormat="false" ht="15" hidden="false" customHeight="true" outlineLevel="0" collapsed="false">
      <c r="A1642" s="114" t="n">
        <v>2084480.01</v>
      </c>
      <c r="B1642" s="114" t="n">
        <v>2085760</v>
      </c>
      <c r="C1642" s="114" t="n">
        <v>46987.0200000016</v>
      </c>
    </row>
    <row r="1643" customFormat="false" ht="15" hidden="false" customHeight="true" outlineLevel="0" collapsed="false">
      <c r="A1643" s="115" t="n">
        <v>2085760.01</v>
      </c>
      <c r="B1643" s="115" t="n">
        <v>2087040</v>
      </c>
      <c r="C1643" s="115" t="n">
        <v>47015.6800000016</v>
      </c>
    </row>
    <row r="1644" customFormat="false" ht="15" hidden="false" customHeight="true" outlineLevel="0" collapsed="false">
      <c r="A1644" s="114" t="n">
        <v>2087040.01</v>
      </c>
      <c r="B1644" s="114" t="n">
        <v>2088320</v>
      </c>
      <c r="C1644" s="114" t="n">
        <v>47044.3400000016</v>
      </c>
    </row>
    <row r="1645" customFormat="false" ht="15" hidden="false" customHeight="true" outlineLevel="0" collapsed="false">
      <c r="A1645" s="115" t="n">
        <v>2088320.01</v>
      </c>
      <c r="B1645" s="115" t="n">
        <v>2089600</v>
      </c>
      <c r="C1645" s="115" t="n">
        <v>47073.0000000016</v>
      </c>
    </row>
    <row r="1646" customFormat="false" ht="15" hidden="false" customHeight="true" outlineLevel="0" collapsed="false">
      <c r="A1646" s="114" t="n">
        <v>2089600.01</v>
      </c>
      <c r="B1646" s="114" t="n">
        <v>2090880</v>
      </c>
      <c r="C1646" s="114" t="n">
        <v>47101.6600000016</v>
      </c>
    </row>
    <row r="1647" customFormat="false" ht="15" hidden="false" customHeight="true" outlineLevel="0" collapsed="false">
      <c r="A1647" s="115" t="n">
        <v>2090880.01</v>
      </c>
      <c r="B1647" s="115" t="n">
        <v>2092160</v>
      </c>
      <c r="C1647" s="115" t="n">
        <v>47130.3200000016</v>
      </c>
    </row>
    <row r="1648" customFormat="false" ht="15" hidden="false" customHeight="true" outlineLevel="0" collapsed="false">
      <c r="A1648" s="114" t="n">
        <v>2092160.01</v>
      </c>
      <c r="B1648" s="114" t="n">
        <v>2093440</v>
      </c>
      <c r="C1648" s="114" t="n">
        <v>47158.9800000016</v>
      </c>
    </row>
    <row r="1649" customFormat="false" ht="15" hidden="false" customHeight="true" outlineLevel="0" collapsed="false">
      <c r="A1649" s="115" t="n">
        <v>2093440.01</v>
      </c>
      <c r="B1649" s="115" t="n">
        <v>2094720</v>
      </c>
      <c r="C1649" s="115" t="n">
        <v>47187.6400000016</v>
      </c>
    </row>
    <row r="1650" customFormat="false" ht="15" hidden="false" customHeight="true" outlineLevel="0" collapsed="false">
      <c r="A1650" s="114" t="n">
        <v>2094720.01</v>
      </c>
      <c r="B1650" s="114" t="n">
        <v>2096000</v>
      </c>
      <c r="C1650" s="114" t="n">
        <v>47216.3000000016</v>
      </c>
    </row>
    <row r="1651" customFormat="false" ht="15" hidden="false" customHeight="true" outlineLevel="0" collapsed="false">
      <c r="A1651" s="115" t="n">
        <v>2096000.01</v>
      </c>
      <c r="B1651" s="115" t="n">
        <v>2097280</v>
      </c>
      <c r="C1651" s="115" t="n">
        <v>47244.9600000016</v>
      </c>
    </row>
    <row r="1652" customFormat="false" ht="15" hidden="false" customHeight="true" outlineLevel="0" collapsed="false">
      <c r="A1652" s="114" t="n">
        <v>2097280.01</v>
      </c>
      <c r="B1652" s="114" t="n">
        <v>2098560</v>
      </c>
      <c r="C1652" s="114" t="n">
        <v>47273.6200000016</v>
      </c>
    </row>
    <row r="1653" customFormat="false" ht="15" hidden="false" customHeight="true" outlineLevel="0" collapsed="false">
      <c r="A1653" s="115" t="n">
        <v>2098560.01</v>
      </c>
      <c r="B1653" s="115" t="n">
        <v>2099840</v>
      </c>
      <c r="C1653" s="115" t="n">
        <v>47302.2800000016</v>
      </c>
    </row>
    <row r="1654" customFormat="false" ht="15" hidden="false" customHeight="true" outlineLevel="0" collapsed="false">
      <c r="A1654" s="114" t="n">
        <v>2099840.01</v>
      </c>
      <c r="B1654" s="114" t="n">
        <v>2101120</v>
      </c>
      <c r="C1654" s="114" t="n">
        <v>47330.9400000016</v>
      </c>
    </row>
    <row r="1655" customFormat="false" ht="15" hidden="false" customHeight="true" outlineLevel="0" collapsed="false">
      <c r="A1655" s="115" t="n">
        <v>2101120.01</v>
      </c>
      <c r="B1655" s="115" t="n">
        <v>2102400</v>
      </c>
      <c r="C1655" s="115" t="n">
        <v>47359.6000000016</v>
      </c>
    </row>
    <row r="1656" customFormat="false" ht="15" hidden="false" customHeight="true" outlineLevel="0" collapsed="false">
      <c r="A1656" s="114" t="n">
        <v>2102400.01</v>
      </c>
      <c r="B1656" s="114" t="n">
        <v>2103680</v>
      </c>
      <c r="C1656" s="114" t="n">
        <v>47388.2600000016</v>
      </c>
    </row>
    <row r="1657" customFormat="false" ht="15" hidden="false" customHeight="true" outlineLevel="0" collapsed="false">
      <c r="A1657" s="115" t="n">
        <v>2103680.01</v>
      </c>
      <c r="B1657" s="115" t="n">
        <v>2104960</v>
      </c>
      <c r="C1657" s="115" t="n">
        <v>47416.9200000016</v>
      </c>
    </row>
    <row r="1658" customFormat="false" ht="15" hidden="false" customHeight="true" outlineLevel="0" collapsed="false">
      <c r="A1658" s="114" t="n">
        <v>2104960.01</v>
      </c>
      <c r="B1658" s="114" t="n">
        <v>2106240</v>
      </c>
      <c r="C1658" s="114" t="n">
        <v>47445.5800000016</v>
      </c>
    </row>
    <row r="1659" customFormat="false" ht="15" hidden="false" customHeight="true" outlineLevel="0" collapsed="false">
      <c r="A1659" s="115" t="n">
        <v>2106240.01</v>
      </c>
      <c r="B1659" s="115" t="n">
        <v>2107520</v>
      </c>
      <c r="C1659" s="115" t="n">
        <v>47474.2400000016</v>
      </c>
    </row>
    <row r="1660" customFormat="false" ht="15" hidden="false" customHeight="true" outlineLevel="0" collapsed="false">
      <c r="A1660" s="114" t="n">
        <v>2107520.01</v>
      </c>
      <c r="B1660" s="114" t="n">
        <v>2108800</v>
      </c>
      <c r="C1660" s="114" t="n">
        <v>47502.9000000017</v>
      </c>
    </row>
    <row r="1661" customFormat="false" ht="15" hidden="false" customHeight="true" outlineLevel="0" collapsed="false">
      <c r="A1661" s="115" t="n">
        <v>2108800.01</v>
      </c>
      <c r="B1661" s="115" t="n">
        <v>2110080</v>
      </c>
      <c r="C1661" s="115" t="n">
        <v>47531.5600000017</v>
      </c>
    </row>
    <row r="1662" customFormat="false" ht="15" hidden="false" customHeight="true" outlineLevel="0" collapsed="false">
      <c r="A1662" s="114" t="n">
        <v>2110080.01</v>
      </c>
      <c r="B1662" s="114" t="n">
        <v>2111360</v>
      </c>
      <c r="C1662" s="114" t="n">
        <v>47560.2200000017</v>
      </c>
    </row>
    <row r="1663" customFormat="false" ht="15" hidden="false" customHeight="true" outlineLevel="0" collapsed="false">
      <c r="A1663" s="115" t="n">
        <v>2111360.01</v>
      </c>
      <c r="B1663" s="115" t="n">
        <v>2112640</v>
      </c>
      <c r="C1663" s="115" t="n">
        <v>47588.8800000017</v>
      </c>
    </row>
    <row r="1664" customFormat="false" ht="15" hidden="false" customHeight="true" outlineLevel="0" collapsed="false">
      <c r="A1664" s="114" t="n">
        <v>2112640.01</v>
      </c>
      <c r="B1664" s="114" t="n">
        <v>2113920</v>
      </c>
      <c r="C1664" s="114" t="n">
        <v>47617.5400000017</v>
      </c>
    </row>
    <row r="1665" customFormat="false" ht="15" hidden="false" customHeight="true" outlineLevel="0" collapsed="false">
      <c r="A1665" s="115" t="n">
        <v>2113920.01</v>
      </c>
      <c r="B1665" s="115" t="n">
        <v>2115200</v>
      </c>
      <c r="C1665" s="115" t="n">
        <v>47646.2000000017</v>
      </c>
    </row>
    <row r="1666" customFormat="false" ht="15" hidden="false" customHeight="true" outlineLevel="0" collapsed="false">
      <c r="A1666" s="114" t="n">
        <v>2115200.01</v>
      </c>
      <c r="B1666" s="114" t="n">
        <v>2116480</v>
      </c>
      <c r="C1666" s="114" t="n">
        <v>47674.8600000017</v>
      </c>
    </row>
    <row r="1667" customFormat="false" ht="15" hidden="false" customHeight="true" outlineLevel="0" collapsed="false">
      <c r="A1667" s="115" t="n">
        <v>2116480.01</v>
      </c>
      <c r="B1667" s="115" t="n">
        <v>2117760</v>
      </c>
      <c r="C1667" s="115" t="n">
        <v>47703.5200000017</v>
      </c>
    </row>
    <row r="1668" customFormat="false" ht="15" hidden="false" customHeight="true" outlineLevel="0" collapsed="false">
      <c r="A1668" s="114" t="n">
        <v>2117760.01</v>
      </c>
      <c r="B1668" s="114" t="n">
        <v>2119040</v>
      </c>
      <c r="C1668" s="114" t="n">
        <v>47732.1800000017</v>
      </c>
    </row>
    <row r="1669" customFormat="false" ht="15" hidden="false" customHeight="true" outlineLevel="0" collapsed="false">
      <c r="A1669" s="115" t="n">
        <v>2119040.01</v>
      </c>
      <c r="B1669" s="115" t="n">
        <v>2120320</v>
      </c>
      <c r="C1669" s="115" t="n">
        <v>47760.8400000017</v>
      </c>
    </row>
    <row r="1670" customFormat="false" ht="15" hidden="false" customHeight="true" outlineLevel="0" collapsed="false">
      <c r="A1670" s="114" t="n">
        <v>2120320.01</v>
      </c>
      <c r="B1670" s="114" t="n">
        <v>2121600</v>
      </c>
      <c r="C1670" s="114" t="n">
        <v>47789.5000000017</v>
      </c>
    </row>
    <row r="1671" customFormat="false" ht="15" hidden="false" customHeight="true" outlineLevel="0" collapsed="false">
      <c r="A1671" s="115" t="n">
        <v>2121600.01</v>
      </c>
      <c r="B1671" s="115" t="n">
        <v>2122880</v>
      </c>
      <c r="C1671" s="115" t="n">
        <v>47818.1600000017</v>
      </c>
    </row>
    <row r="1672" customFormat="false" ht="15" hidden="false" customHeight="true" outlineLevel="0" collapsed="false">
      <c r="A1672" s="114" t="n">
        <v>2122880.01</v>
      </c>
      <c r="B1672" s="114" t="n">
        <v>2124160</v>
      </c>
      <c r="C1672" s="114" t="n">
        <v>47846.8200000017</v>
      </c>
    </row>
    <row r="1673" customFormat="false" ht="15" hidden="false" customHeight="true" outlineLevel="0" collapsed="false">
      <c r="A1673" s="115" t="n">
        <v>2124160.01</v>
      </c>
      <c r="B1673" s="115" t="n">
        <v>2125440</v>
      </c>
      <c r="C1673" s="115" t="n">
        <v>47875.4800000017</v>
      </c>
    </row>
    <row r="1674" customFormat="false" ht="15" hidden="false" customHeight="true" outlineLevel="0" collapsed="false">
      <c r="A1674" s="114" t="n">
        <v>2125440.01</v>
      </c>
      <c r="B1674" s="114" t="n">
        <v>2126720</v>
      </c>
      <c r="C1674" s="114" t="n">
        <v>47904.1400000017</v>
      </c>
    </row>
    <row r="1675" customFormat="false" ht="15" hidden="false" customHeight="true" outlineLevel="0" collapsed="false">
      <c r="A1675" s="115" t="n">
        <v>2126720.01</v>
      </c>
      <c r="B1675" s="115" t="n">
        <v>2128000</v>
      </c>
      <c r="C1675" s="115" t="n">
        <v>47932.8000000017</v>
      </c>
    </row>
    <row r="1676" customFormat="false" ht="15" hidden="false" customHeight="true" outlineLevel="0" collapsed="false">
      <c r="A1676" s="114" t="n">
        <v>2128000.01</v>
      </c>
      <c r="B1676" s="114" t="n">
        <v>2129280</v>
      </c>
      <c r="C1676" s="114" t="n">
        <v>47961.4600000017</v>
      </c>
    </row>
    <row r="1677" customFormat="false" ht="15" hidden="false" customHeight="true" outlineLevel="0" collapsed="false">
      <c r="A1677" s="115" t="n">
        <v>2129280.01</v>
      </c>
      <c r="B1677" s="115" t="n">
        <v>2130560</v>
      </c>
      <c r="C1677" s="115" t="n">
        <v>47990.1200000017</v>
      </c>
    </row>
    <row r="1678" customFormat="false" ht="15" hidden="false" customHeight="true" outlineLevel="0" collapsed="false">
      <c r="A1678" s="114" t="n">
        <v>2130560.01</v>
      </c>
      <c r="B1678" s="114" t="n">
        <v>2131840</v>
      </c>
      <c r="C1678" s="114" t="n">
        <v>48018.7800000017</v>
      </c>
    </row>
    <row r="1679" customFormat="false" ht="15" hidden="false" customHeight="true" outlineLevel="0" collapsed="false">
      <c r="A1679" s="115" t="n">
        <v>2131840.01</v>
      </c>
      <c r="B1679" s="115" t="n">
        <v>2133120</v>
      </c>
      <c r="C1679" s="115" t="n">
        <v>48047.4400000017</v>
      </c>
    </row>
    <row r="1680" customFormat="false" ht="15" hidden="false" customHeight="true" outlineLevel="0" collapsed="false">
      <c r="A1680" s="114" t="n">
        <v>2133120.01</v>
      </c>
      <c r="B1680" s="114" t="n">
        <v>2134400</v>
      </c>
      <c r="C1680" s="114" t="n">
        <v>48076.1000000017</v>
      </c>
    </row>
    <row r="1681" customFormat="false" ht="15" hidden="false" customHeight="true" outlineLevel="0" collapsed="false">
      <c r="A1681" s="115" t="n">
        <v>2134400.01</v>
      </c>
      <c r="B1681" s="115" t="n">
        <v>2135680</v>
      </c>
      <c r="C1681" s="115" t="n">
        <v>48104.7600000017</v>
      </c>
    </row>
    <row r="1682" customFormat="false" ht="15" hidden="false" customHeight="true" outlineLevel="0" collapsed="false">
      <c r="A1682" s="114" t="n">
        <v>2135680.01</v>
      </c>
      <c r="B1682" s="114" t="n">
        <v>2136960</v>
      </c>
      <c r="C1682" s="114" t="n">
        <v>48133.4200000017</v>
      </c>
    </row>
    <row r="1683" customFormat="false" ht="15" hidden="false" customHeight="true" outlineLevel="0" collapsed="false">
      <c r="A1683" s="115" t="n">
        <v>2136960.01</v>
      </c>
      <c r="B1683" s="115" t="n">
        <v>2138240</v>
      </c>
      <c r="C1683" s="115" t="n">
        <v>48162.0800000017</v>
      </c>
    </row>
    <row r="1684" customFormat="false" ht="15" hidden="false" customHeight="true" outlineLevel="0" collapsed="false">
      <c r="A1684" s="114" t="n">
        <v>2138240.01</v>
      </c>
      <c r="B1684" s="114" t="n">
        <v>2139520</v>
      </c>
      <c r="C1684" s="114" t="n">
        <v>48190.7400000017</v>
      </c>
    </row>
    <row r="1685" customFormat="false" ht="15" hidden="false" customHeight="true" outlineLevel="0" collapsed="false">
      <c r="A1685" s="115" t="n">
        <v>2139520.01</v>
      </c>
      <c r="B1685" s="115" t="n">
        <v>2140800</v>
      </c>
      <c r="C1685" s="115" t="n">
        <v>48219.4000000017</v>
      </c>
    </row>
    <row r="1686" customFormat="false" ht="15" hidden="false" customHeight="true" outlineLevel="0" collapsed="false">
      <c r="A1686" s="114" t="n">
        <v>2140800.01</v>
      </c>
      <c r="B1686" s="114" t="n">
        <v>2142080</v>
      </c>
      <c r="C1686" s="114" t="n">
        <v>48248.0600000017</v>
      </c>
    </row>
    <row r="1687" customFormat="false" ht="15" hidden="false" customHeight="true" outlineLevel="0" collapsed="false">
      <c r="A1687" s="115" t="n">
        <v>2142080.01</v>
      </c>
      <c r="B1687" s="115" t="n">
        <v>2143360</v>
      </c>
      <c r="C1687" s="115" t="n">
        <v>48276.7200000017</v>
      </c>
    </row>
    <row r="1688" customFormat="false" ht="15" hidden="false" customHeight="true" outlineLevel="0" collapsed="false">
      <c r="A1688" s="114" t="n">
        <v>2143360.01</v>
      </c>
      <c r="B1688" s="114" t="n">
        <v>2144640</v>
      </c>
      <c r="C1688" s="114" t="n">
        <v>48305.3800000017</v>
      </c>
    </row>
    <row r="1689" customFormat="false" ht="15" hidden="false" customHeight="true" outlineLevel="0" collapsed="false">
      <c r="A1689" s="115" t="n">
        <v>2144640.01</v>
      </c>
      <c r="B1689" s="115" t="n">
        <v>2145920</v>
      </c>
      <c r="C1689" s="115" t="n">
        <v>48334.0400000018</v>
      </c>
    </row>
    <row r="1690" customFormat="false" ht="15" hidden="false" customHeight="true" outlineLevel="0" collapsed="false">
      <c r="A1690" s="114" t="n">
        <v>2145920.01</v>
      </c>
      <c r="B1690" s="114" t="n">
        <v>2147200</v>
      </c>
      <c r="C1690" s="114" t="n">
        <v>48362.7000000018</v>
      </c>
    </row>
    <row r="1691" customFormat="false" ht="15" hidden="false" customHeight="true" outlineLevel="0" collapsed="false">
      <c r="A1691" s="115" t="n">
        <v>2147200.01</v>
      </c>
      <c r="B1691" s="115" t="n">
        <v>2148480</v>
      </c>
      <c r="C1691" s="115" t="n">
        <v>48391.3600000018</v>
      </c>
    </row>
    <row r="1692" customFormat="false" ht="15" hidden="false" customHeight="true" outlineLevel="0" collapsed="false">
      <c r="A1692" s="114" t="n">
        <v>2148480.01</v>
      </c>
      <c r="B1692" s="114" t="n">
        <v>2149760</v>
      </c>
      <c r="C1692" s="114" t="n">
        <v>48420.0200000018</v>
      </c>
    </row>
    <row r="1693" customFormat="false" ht="15" hidden="false" customHeight="true" outlineLevel="0" collapsed="false">
      <c r="A1693" s="115" t="n">
        <v>2149760.01</v>
      </c>
      <c r="B1693" s="115" t="n">
        <v>2151040</v>
      </c>
      <c r="C1693" s="115" t="n">
        <v>48448.6800000018</v>
      </c>
    </row>
    <row r="1694" customFormat="false" ht="15" hidden="false" customHeight="true" outlineLevel="0" collapsed="false">
      <c r="A1694" s="114" t="n">
        <v>2151040.01</v>
      </c>
      <c r="B1694" s="114" t="n">
        <v>2152320</v>
      </c>
      <c r="C1694" s="114" t="n">
        <v>48477.3400000018</v>
      </c>
    </row>
    <row r="1695" customFormat="false" ht="15" hidden="false" customHeight="true" outlineLevel="0" collapsed="false">
      <c r="A1695" s="115" t="n">
        <v>2152320.01</v>
      </c>
      <c r="B1695" s="115" t="n">
        <v>2153600</v>
      </c>
      <c r="C1695" s="115" t="n">
        <v>48506.0000000018</v>
      </c>
    </row>
    <row r="1696" customFormat="false" ht="15" hidden="false" customHeight="true" outlineLevel="0" collapsed="false">
      <c r="A1696" s="114" t="n">
        <v>2153600.01</v>
      </c>
      <c r="B1696" s="114" t="n">
        <v>2154880</v>
      </c>
      <c r="C1696" s="114" t="n">
        <v>48534.6600000018</v>
      </c>
    </row>
    <row r="1697" customFormat="false" ht="15" hidden="false" customHeight="true" outlineLevel="0" collapsed="false">
      <c r="A1697" s="115" t="n">
        <v>2154880.01</v>
      </c>
      <c r="B1697" s="115" t="n">
        <v>2156160</v>
      </c>
      <c r="C1697" s="115" t="n">
        <v>48563.3200000018</v>
      </c>
    </row>
    <row r="1698" customFormat="false" ht="15" hidden="false" customHeight="true" outlineLevel="0" collapsed="false">
      <c r="A1698" s="114" t="n">
        <v>2156160.01</v>
      </c>
      <c r="B1698" s="114" t="n">
        <v>2157440</v>
      </c>
      <c r="C1698" s="114" t="n">
        <v>48591.9800000018</v>
      </c>
    </row>
    <row r="1699" customFormat="false" ht="15" hidden="false" customHeight="true" outlineLevel="0" collapsed="false">
      <c r="A1699" s="115" t="n">
        <v>2157440.01</v>
      </c>
      <c r="B1699" s="115" t="n">
        <v>2158720</v>
      </c>
      <c r="C1699" s="115" t="n">
        <v>48620.6400000018</v>
      </c>
    </row>
    <row r="1700" customFormat="false" ht="15" hidden="false" customHeight="true" outlineLevel="0" collapsed="false">
      <c r="A1700" s="114" t="n">
        <v>2158720.01</v>
      </c>
      <c r="B1700" s="114" t="n">
        <v>2160000</v>
      </c>
      <c r="C1700" s="114" t="n">
        <v>48649.3000000018</v>
      </c>
    </row>
    <row r="1701" customFormat="false" ht="15" hidden="false" customHeight="true" outlineLevel="0" collapsed="false">
      <c r="A1701" s="115" t="n">
        <v>2160000.01</v>
      </c>
      <c r="B1701" s="115" t="n">
        <v>2161280</v>
      </c>
      <c r="C1701" s="115" t="n">
        <v>48677.9600000018</v>
      </c>
    </row>
    <row r="1702" customFormat="false" ht="15" hidden="false" customHeight="true" outlineLevel="0" collapsed="false">
      <c r="A1702" s="114" t="n">
        <v>2161280.01</v>
      </c>
      <c r="B1702" s="114" t="n">
        <v>2162560</v>
      </c>
      <c r="C1702" s="114" t="n">
        <v>48706.6200000018</v>
      </c>
    </row>
    <row r="1703" customFormat="false" ht="15" hidden="false" customHeight="true" outlineLevel="0" collapsed="false">
      <c r="A1703" s="115" t="n">
        <v>2162560.01</v>
      </c>
      <c r="B1703" s="115" t="n">
        <v>2163840</v>
      </c>
      <c r="C1703" s="115" t="n">
        <v>48735.2800000018</v>
      </c>
    </row>
    <row r="1704" customFormat="false" ht="15" hidden="false" customHeight="true" outlineLevel="0" collapsed="false">
      <c r="A1704" s="114" t="n">
        <v>2163840.01</v>
      </c>
      <c r="B1704" s="114" t="n">
        <v>2165120</v>
      </c>
      <c r="C1704" s="114" t="n">
        <v>48763.9400000018</v>
      </c>
    </row>
    <row r="1705" customFormat="false" ht="15" hidden="false" customHeight="true" outlineLevel="0" collapsed="false">
      <c r="A1705" s="115" t="n">
        <v>2165120.01</v>
      </c>
      <c r="B1705" s="115" t="n">
        <v>2166400</v>
      </c>
      <c r="C1705" s="115" t="n">
        <v>48792.6000000018</v>
      </c>
    </row>
    <row r="1706" customFormat="false" ht="15" hidden="false" customHeight="true" outlineLevel="0" collapsed="false">
      <c r="A1706" s="114" t="n">
        <v>2166400.01</v>
      </c>
      <c r="B1706" s="114" t="n">
        <v>2167680</v>
      </c>
      <c r="C1706" s="114" t="n">
        <v>48821.2600000018</v>
      </c>
    </row>
    <row r="1707" customFormat="false" ht="15" hidden="false" customHeight="true" outlineLevel="0" collapsed="false">
      <c r="A1707" s="115" t="n">
        <v>2167680.01</v>
      </c>
      <c r="B1707" s="115" t="n">
        <v>2168960</v>
      </c>
      <c r="C1707" s="115" t="n">
        <v>48849.9200000018</v>
      </c>
    </row>
    <row r="1708" customFormat="false" ht="15" hidden="false" customHeight="true" outlineLevel="0" collapsed="false">
      <c r="A1708" s="114" t="n">
        <v>2168960.01</v>
      </c>
      <c r="B1708" s="114" t="n">
        <v>2170240</v>
      </c>
      <c r="C1708" s="114" t="n">
        <v>48878.5800000018</v>
      </c>
    </row>
    <row r="1709" customFormat="false" ht="15" hidden="false" customHeight="true" outlineLevel="0" collapsed="false">
      <c r="A1709" s="115" t="n">
        <v>2170240.01</v>
      </c>
      <c r="B1709" s="115" t="n">
        <v>2171520</v>
      </c>
      <c r="C1709" s="115" t="n">
        <v>48907.2400000018</v>
      </c>
    </row>
    <row r="1710" customFormat="false" ht="15" hidden="false" customHeight="true" outlineLevel="0" collapsed="false">
      <c r="A1710" s="114" t="n">
        <v>2171520.01</v>
      </c>
      <c r="B1710" s="114" t="n">
        <v>2172800</v>
      </c>
      <c r="C1710" s="114" t="n">
        <v>48935.9000000018</v>
      </c>
    </row>
    <row r="1711" customFormat="false" ht="15" hidden="false" customHeight="true" outlineLevel="0" collapsed="false">
      <c r="A1711" s="115" t="n">
        <v>2172800.01</v>
      </c>
      <c r="B1711" s="115" t="n">
        <v>2174080</v>
      </c>
      <c r="C1711" s="115" t="n">
        <v>48964.5600000018</v>
      </c>
    </row>
    <row r="1712" customFormat="false" ht="15" hidden="false" customHeight="true" outlineLevel="0" collapsed="false">
      <c r="A1712" s="114" t="n">
        <v>2174080.01</v>
      </c>
      <c r="B1712" s="114" t="n">
        <v>2175360</v>
      </c>
      <c r="C1712" s="114" t="n">
        <v>48993.2200000018</v>
      </c>
    </row>
    <row r="1713" customFormat="false" ht="15" hidden="false" customHeight="true" outlineLevel="0" collapsed="false">
      <c r="A1713" s="115" t="n">
        <v>2175360.01</v>
      </c>
      <c r="B1713" s="115" t="n">
        <v>2176640</v>
      </c>
      <c r="C1713" s="115" t="n">
        <v>49021.8800000018</v>
      </c>
    </row>
    <row r="1714" customFormat="false" ht="15" hidden="false" customHeight="true" outlineLevel="0" collapsed="false">
      <c r="A1714" s="114" t="n">
        <v>2176640.01</v>
      </c>
      <c r="B1714" s="114" t="n">
        <v>2177920</v>
      </c>
      <c r="C1714" s="114" t="n">
        <v>49050.5400000018</v>
      </c>
    </row>
    <row r="1715" customFormat="false" ht="15" hidden="false" customHeight="true" outlineLevel="0" collapsed="false">
      <c r="A1715" s="115" t="n">
        <v>2177920.01</v>
      </c>
      <c r="B1715" s="115" t="n">
        <v>2179200</v>
      </c>
      <c r="C1715" s="115" t="n">
        <v>49079.2000000018</v>
      </c>
    </row>
    <row r="1716" customFormat="false" ht="15" hidden="false" customHeight="true" outlineLevel="0" collapsed="false">
      <c r="A1716" s="114" t="n">
        <v>2179200.01</v>
      </c>
      <c r="B1716" s="114" t="n">
        <v>2180480</v>
      </c>
      <c r="C1716" s="114" t="n">
        <v>49107.8600000018</v>
      </c>
    </row>
    <row r="1717" customFormat="false" ht="15" hidden="false" customHeight="true" outlineLevel="0" collapsed="false">
      <c r="A1717" s="115" t="n">
        <v>2180480.01</v>
      </c>
      <c r="B1717" s="115" t="n">
        <v>2181760</v>
      </c>
      <c r="C1717" s="115" t="n">
        <v>49136.5200000018</v>
      </c>
    </row>
    <row r="1718" customFormat="false" ht="15" hidden="false" customHeight="true" outlineLevel="0" collapsed="false">
      <c r="A1718" s="114" t="n">
        <v>2181760.01</v>
      </c>
      <c r="B1718" s="114" t="n">
        <v>2183040</v>
      </c>
      <c r="C1718" s="114" t="n">
        <v>49165.1800000019</v>
      </c>
    </row>
    <row r="1719" customFormat="false" ht="15" hidden="false" customHeight="true" outlineLevel="0" collapsed="false">
      <c r="A1719" s="115" t="n">
        <v>2183040.01</v>
      </c>
      <c r="B1719" s="115" t="n">
        <v>2184320</v>
      </c>
      <c r="C1719" s="115" t="n">
        <v>49193.8400000019</v>
      </c>
    </row>
    <row r="1720" customFormat="false" ht="15" hidden="false" customHeight="true" outlineLevel="0" collapsed="false">
      <c r="A1720" s="114" t="n">
        <v>2184320.01</v>
      </c>
      <c r="B1720" s="114" t="n">
        <v>2185600</v>
      </c>
      <c r="C1720" s="114" t="n">
        <v>49222.5000000019</v>
      </c>
    </row>
    <row r="1721" customFormat="false" ht="15" hidden="false" customHeight="true" outlineLevel="0" collapsed="false">
      <c r="A1721" s="115" t="n">
        <v>2185600.01</v>
      </c>
      <c r="B1721" s="115" t="n">
        <v>2186880</v>
      </c>
      <c r="C1721" s="115" t="n">
        <v>49251.1600000019</v>
      </c>
    </row>
    <row r="1722" customFormat="false" ht="15" hidden="false" customHeight="true" outlineLevel="0" collapsed="false">
      <c r="A1722" s="114" t="n">
        <v>2186880.01</v>
      </c>
      <c r="B1722" s="114" t="n">
        <v>2188160</v>
      </c>
      <c r="C1722" s="114" t="n">
        <v>49279.8200000019</v>
      </c>
    </row>
    <row r="1723" customFormat="false" ht="15" hidden="false" customHeight="true" outlineLevel="0" collapsed="false">
      <c r="A1723" s="115" t="n">
        <v>2188160.01</v>
      </c>
      <c r="B1723" s="115" t="n">
        <v>2189440</v>
      </c>
      <c r="C1723" s="115" t="n">
        <v>49308.4800000019</v>
      </c>
    </row>
    <row r="1724" customFormat="false" ht="15" hidden="false" customHeight="true" outlineLevel="0" collapsed="false">
      <c r="A1724" s="114" t="n">
        <v>2189440.01</v>
      </c>
      <c r="B1724" s="114" t="n">
        <v>2190720</v>
      </c>
      <c r="C1724" s="114" t="n">
        <v>49337.1400000019</v>
      </c>
    </row>
    <row r="1725" customFormat="false" ht="15" hidden="false" customHeight="true" outlineLevel="0" collapsed="false">
      <c r="A1725" s="115" t="n">
        <v>2190720.01</v>
      </c>
      <c r="B1725" s="115" t="n">
        <v>2192000</v>
      </c>
      <c r="C1725" s="115" t="n">
        <v>49365.8000000019</v>
      </c>
    </row>
    <row r="1726" customFormat="false" ht="15" hidden="false" customHeight="true" outlineLevel="0" collapsed="false">
      <c r="A1726" s="114" t="n">
        <v>2192000.01</v>
      </c>
      <c r="B1726" s="114" t="n">
        <v>2193280</v>
      </c>
      <c r="C1726" s="114" t="n">
        <v>49394.4600000019</v>
      </c>
    </row>
    <row r="1727" customFormat="false" ht="15" hidden="false" customHeight="true" outlineLevel="0" collapsed="false">
      <c r="A1727" s="115" t="n">
        <v>2193280.01</v>
      </c>
      <c r="B1727" s="115" t="n">
        <v>2194560</v>
      </c>
      <c r="C1727" s="115" t="n">
        <v>49423.1200000019</v>
      </c>
    </row>
    <row r="1728" customFormat="false" ht="15" hidden="false" customHeight="true" outlineLevel="0" collapsed="false">
      <c r="A1728" s="114" t="n">
        <v>2194560.01</v>
      </c>
      <c r="B1728" s="114" t="n">
        <v>2195840</v>
      </c>
      <c r="C1728" s="114" t="n">
        <v>49451.7800000019</v>
      </c>
    </row>
    <row r="1729" customFormat="false" ht="15" hidden="false" customHeight="true" outlineLevel="0" collapsed="false">
      <c r="A1729" s="115" t="n">
        <v>2195840.01</v>
      </c>
      <c r="B1729" s="115" t="n">
        <v>2197120</v>
      </c>
      <c r="C1729" s="115" t="n">
        <v>49480.4400000019</v>
      </c>
    </row>
    <row r="1730" customFormat="false" ht="15" hidden="false" customHeight="true" outlineLevel="0" collapsed="false">
      <c r="A1730" s="114" t="n">
        <v>2197120.01</v>
      </c>
      <c r="B1730" s="114" t="n">
        <v>2198400</v>
      </c>
      <c r="C1730" s="114" t="n">
        <v>49509.1000000019</v>
      </c>
    </row>
    <row r="1731" customFormat="false" ht="15" hidden="false" customHeight="true" outlineLevel="0" collapsed="false">
      <c r="A1731" s="115" t="n">
        <v>2198400.01</v>
      </c>
      <c r="B1731" s="115" t="n">
        <v>2199680</v>
      </c>
      <c r="C1731" s="115" t="n">
        <v>49537.7600000019</v>
      </c>
    </row>
    <row r="1732" customFormat="false" ht="15" hidden="false" customHeight="true" outlineLevel="0" collapsed="false">
      <c r="A1732" s="114" t="n">
        <v>2199680.01</v>
      </c>
      <c r="B1732" s="114" t="n">
        <v>2200960</v>
      </c>
      <c r="C1732" s="114" t="n">
        <v>49566.4200000019</v>
      </c>
    </row>
    <row r="1733" customFormat="false" ht="15" hidden="false" customHeight="true" outlineLevel="0" collapsed="false">
      <c r="A1733" s="115" t="n">
        <v>2200960.01</v>
      </c>
      <c r="B1733" s="115" t="n">
        <v>2202240</v>
      </c>
      <c r="C1733" s="115" t="n">
        <v>49595.0800000019</v>
      </c>
    </row>
    <row r="1734" customFormat="false" ht="15" hidden="false" customHeight="true" outlineLevel="0" collapsed="false">
      <c r="A1734" s="114" t="n">
        <v>2202240.01</v>
      </c>
      <c r="B1734" s="114" t="n">
        <v>2203520</v>
      </c>
      <c r="C1734" s="114" t="n">
        <v>49623.7400000019</v>
      </c>
    </row>
    <row r="1735" customFormat="false" ht="15" hidden="false" customHeight="true" outlineLevel="0" collapsed="false">
      <c r="A1735" s="115" t="n">
        <v>2203520.01</v>
      </c>
      <c r="B1735" s="115" t="n">
        <v>2204800</v>
      </c>
      <c r="C1735" s="115" t="n">
        <v>49652.4000000019</v>
      </c>
    </row>
    <row r="1736" customFormat="false" ht="15" hidden="false" customHeight="true" outlineLevel="0" collapsed="false">
      <c r="A1736" s="114" t="n">
        <v>2204800.01</v>
      </c>
      <c r="B1736" s="114" t="n">
        <v>2206080</v>
      </c>
      <c r="C1736" s="114" t="n">
        <v>49681.0600000019</v>
      </c>
    </row>
    <row r="1737" customFormat="false" ht="15" hidden="false" customHeight="true" outlineLevel="0" collapsed="false">
      <c r="A1737" s="115" t="n">
        <v>2206080.01</v>
      </c>
      <c r="B1737" s="115" t="n">
        <v>2207360</v>
      </c>
      <c r="C1737" s="115" t="n">
        <v>49709.7200000019</v>
      </c>
    </row>
    <row r="1738" customFormat="false" ht="15" hidden="false" customHeight="true" outlineLevel="0" collapsed="false">
      <c r="A1738" s="114" t="n">
        <v>2207360.01</v>
      </c>
      <c r="B1738" s="114" t="n">
        <v>2208640</v>
      </c>
      <c r="C1738" s="114" t="n">
        <v>49738.3800000019</v>
      </c>
    </row>
    <row r="1739" customFormat="false" ht="15" hidden="false" customHeight="true" outlineLevel="0" collapsed="false">
      <c r="A1739" s="115" t="n">
        <v>2208640.01</v>
      </c>
      <c r="B1739" s="115" t="n">
        <v>2209920</v>
      </c>
      <c r="C1739" s="115" t="n">
        <v>49767.0400000019</v>
      </c>
    </row>
    <row r="1740" customFormat="false" ht="15" hidden="false" customHeight="true" outlineLevel="0" collapsed="false">
      <c r="A1740" s="114" t="n">
        <v>2209920.01</v>
      </c>
      <c r="B1740" s="114" t="n">
        <v>2211200</v>
      </c>
      <c r="C1740" s="114" t="n">
        <v>49795.7000000019</v>
      </c>
    </row>
    <row r="1741" customFormat="false" ht="15" hidden="false" customHeight="true" outlineLevel="0" collapsed="false">
      <c r="A1741" s="115" t="n">
        <v>2211200.01</v>
      </c>
      <c r="B1741" s="115" t="n">
        <v>2212480</v>
      </c>
      <c r="C1741" s="115" t="n">
        <v>49824.3600000019</v>
      </c>
    </row>
    <row r="1742" customFormat="false" ht="15" hidden="false" customHeight="true" outlineLevel="0" collapsed="false">
      <c r="A1742" s="114" t="n">
        <v>2212480.01</v>
      </c>
      <c r="B1742" s="114" t="n">
        <v>2213760</v>
      </c>
      <c r="C1742" s="114" t="n">
        <v>49853.0200000019</v>
      </c>
    </row>
    <row r="1743" customFormat="false" ht="15" hidden="false" customHeight="true" outlineLevel="0" collapsed="false">
      <c r="A1743" s="115" t="n">
        <v>2213760.01</v>
      </c>
      <c r="B1743" s="115" t="n">
        <v>2215040</v>
      </c>
      <c r="C1743" s="115" t="n">
        <v>49881.6800000019</v>
      </c>
    </row>
    <row r="1744" customFormat="false" ht="15" hidden="false" customHeight="true" outlineLevel="0" collapsed="false">
      <c r="A1744" s="114" t="n">
        <v>2215040.01</v>
      </c>
      <c r="B1744" s="114" t="n">
        <v>2216320</v>
      </c>
      <c r="C1744" s="114" t="n">
        <v>49910.3400000019</v>
      </c>
    </row>
    <row r="1745" customFormat="false" ht="15" hidden="false" customHeight="true" outlineLevel="0" collapsed="false">
      <c r="A1745" s="115" t="n">
        <v>2216320.01</v>
      </c>
      <c r="B1745" s="115" t="n">
        <v>2217600</v>
      </c>
      <c r="C1745" s="115" t="n">
        <v>49939.0000000019</v>
      </c>
    </row>
    <row r="1746" customFormat="false" ht="15" hidden="false" customHeight="true" outlineLevel="0" collapsed="false">
      <c r="A1746" s="114" t="n">
        <v>2217600.01</v>
      </c>
      <c r="B1746" s="114" t="n">
        <v>2218880</v>
      </c>
      <c r="C1746" s="114" t="n">
        <v>49967.660000002</v>
      </c>
    </row>
    <row r="1747" customFormat="false" ht="15" hidden="false" customHeight="true" outlineLevel="0" collapsed="false">
      <c r="A1747" s="115" t="n">
        <v>2218880.01</v>
      </c>
      <c r="B1747" s="115" t="n">
        <v>2220160</v>
      </c>
      <c r="C1747" s="115" t="n">
        <v>49996.320000002</v>
      </c>
    </row>
    <row r="1748" customFormat="false" ht="15" hidden="false" customHeight="true" outlineLevel="0" collapsed="false">
      <c r="A1748" s="114" t="n">
        <v>2220160.01</v>
      </c>
      <c r="B1748" s="114" t="n">
        <v>2221440</v>
      </c>
      <c r="C1748" s="114" t="n">
        <v>50024.980000002</v>
      </c>
    </row>
    <row r="1749" customFormat="false" ht="15" hidden="false" customHeight="true" outlineLevel="0" collapsed="false">
      <c r="A1749" s="115" t="n">
        <v>2221440.01</v>
      </c>
      <c r="B1749" s="115" t="n">
        <v>2222720</v>
      </c>
      <c r="C1749" s="115" t="n">
        <v>50053.640000002</v>
      </c>
    </row>
    <row r="1750" customFormat="false" ht="15" hidden="false" customHeight="true" outlineLevel="0" collapsed="false">
      <c r="A1750" s="114" t="n">
        <v>2222720.01</v>
      </c>
      <c r="B1750" s="114" t="n">
        <v>2224000</v>
      </c>
      <c r="C1750" s="114" t="n">
        <v>50082.300000002</v>
      </c>
    </row>
    <row r="1751" customFormat="false" ht="15" hidden="false" customHeight="true" outlineLevel="0" collapsed="false">
      <c r="A1751" s="115" t="n">
        <v>2224000.01</v>
      </c>
      <c r="B1751" s="115" t="n">
        <v>2225280</v>
      </c>
      <c r="C1751" s="115" t="n">
        <v>50110.960000002</v>
      </c>
    </row>
    <row r="1752" customFormat="false" ht="15" hidden="false" customHeight="true" outlineLevel="0" collapsed="false">
      <c r="A1752" s="114" t="n">
        <v>2225280.01</v>
      </c>
      <c r="B1752" s="114" t="n">
        <v>2226560</v>
      </c>
      <c r="C1752" s="114" t="n">
        <v>50139.620000002</v>
      </c>
    </row>
    <row r="1753" customFormat="false" ht="15" hidden="false" customHeight="true" outlineLevel="0" collapsed="false">
      <c r="A1753" s="115" t="n">
        <v>2226560.01</v>
      </c>
      <c r="B1753" s="115" t="n">
        <v>2227840</v>
      </c>
      <c r="C1753" s="115" t="n">
        <v>50168.280000002</v>
      </c>
    </row>
    <row r="1754" customFormat="false" ht="15" hidden="false" customHeight="true" outlineLevel="0" collapsed="false">
      <c r="A1754" s="114" t="n">
        <v>2227840.01</v>
      </c>
      <c r="B1754" s="114" t="n">
        <v>2229120</v>
      </c>
      <c r="C1754" s="114" t="n">
        <v>50196.940000002</v>
      </c>
    </row>
    <row r="1755" customFormat="false" ht="15" hidden="false" customHeight="true" outlineLevel="0" collapsed="false">
      <c r="A1755" s="115" t="n">
        <v>2229120.01</v>
      </c>
      <c r="B1755" s="115" t="n">
        <v>2230400</v>
      </c>
      <c r="C1755" s="115" t="n">
        <v>50225.600000002</v>
      </c>
    </row>
    <row r="1756" customFormat="false" ht="15" hidden="false" customHeight="true" outlineLevel="0" collapsed="false">
      <c r="A1756" s="114" t="n">
        <v>2230400.01</v>
      </c>
      <c r="B1756" s="114" t="n">
        <v>2231680</v>
      </c>
      <c r="C1756" s="114" t="n">
        <v>50254.260000002</v>
      </c>
    </row>
    <row r="1757" customFormat="false" ht="15" hidden="false" customHeight="true" outlineLevel="0" collapsed="false">
      <c r="A1757" s="115" t="n">
        <v>2231680.01</v>
      </c>
      <c r="B1757" s="115" t="n">
        <v>2232960</v>
      </c>
      <c r="C1757" s="115" t="n">
        <v>50282.920000002</v>
      </c>
    </row>
    <row r="1758" customFormat="false" ht="15" hidden="false" customHeight="true" outlineLevel="0" collapsed="false">
      <c r="A1758" s="114" t="n">
        <v>2232960.01</v>
      </c>
      <c r="B1758" s="114" t="n">
        <v>2234240</v>
      </c>
      <c r="C1758" s="114" t="n">
        <v>50311.580000002</v>
      </c>
    </row>
    <row r="1759" customFormat="false" ht="15" hidden="false" customHeight="true" outlineLevel="0" collapsed="false">
      <c r="A1759" s="115" t="n">
        <v>2234240.01</v>
      </c>
      <c r="B1759" s="115" t="n">
        <v>2235520</v>
      </c>
      <c r="C1759" s="115" t="n">
        <v>50340.240000002</v>
      </c>
    </row>
    <row r="1760" customFormat="false" ht="15" hidden="false" customHeight="true" outlineLevel="0" collapsed="false">
      <c r="A1760" s="114" t="n">
        <v>2235520.01</v>
      </c>
      <c r="B1760" s="114" t="n">
        <v>2236800</v>
      </c>
      <c r="C1760" s="114" t="n">
        <v>50368.900000002</v>
      </c>
    </row>
    <row r="1761" customFormat="false" ht="15" hidden="false" customHeight="true" outlineLevel="0" collapsed="false">
      <c r="A1761" s="115" t="n">
        <v>2236800.01</v>
      </c>
      <c r="B1761" s="115" t="n">
        <v>2238080</v>
      </c>
      <c r="C1761" s="115" t="n">
        <v>50397.560000002</v>
      </c>
    </row>
    <row r="1762" customFormat="false" ht="15" hidden="false" customHeight="true" outlineLevel="0" collapsed="false">
      <c r="A1762" s="114" t="n">
        <v>2238080.01</v>
      </c>
      <c r="B1762" s="114" t="n">
        <v>2239360</v>
      </c>
      <c r="C1762" s="114" t="n">
        <v>50426.220000002</v>
      </c>
    </row>
    <row r="1763" customFormat="false" ht="15" hidden="false" customHeight="true" outlineLevel="0" collapsed="false">
      <c r="A1763" s="115" t="n">
        <v>2239360.01</v>
      </c>
      <c r="B1763" s="115" t="n">
        <v>2240640</v>
      </c>
      <c r="C1763" s="115" t="n">
        <v>50454.880000002</v>
      </c>
    </row>
    <row r="1764" customFormat="false" ht="15" hidden="false" customHeight="true" outlineLevel="0" collapsed="false">
      <c r="A1764" s="114" t="n">
        <v>2240640.01</v>
      </c>
      <c r="B1764" s="114" t="n">
        <v>2241920</v>
      </c>
      <c r="C1764" s="114" t="n">
        <v>50483.540000002</v>
      </c>
    </row>
    <row r="1765" customFormat="false" ht="15" hidden="false" customHeight="true" outlineLevel="0" collapsed="false">
      <c r="A1765" s="115" t="n">
        <v>2241920.01</v>
      </c>
      <c r="B1765" s="115" t="n">
        <v>2243200</v>
      </c>
      <c r="C1765" s="115" t="n">
        <v>50512.200000002</v>
      </c>
    </row>
    <row r="1766" customFormat="false" ht="15" hidden="false" customHeight="true" outlineLevel="0" collapsed="false">
      <c r="A1766" s="114" t="n">
        <v>2243200.01</v>
      </c>
      <c r="B1766" s="114" t="n">
        <v>2244480</v>
      </c>
      <c r="C1766" s="114" t="n">
        <v>50540.860000002</v>
      </c>
    </row>
    <row r="1767" customFormat="false" ht="15" hidden="false" customHeight="true" outlineLevel="0" collapsed="false">
      <c r="A1767" s="115" t="n">
        <v>2244480.01</v>
      </c>
      <c r="B1767" s="115" t="n">
        <v>2245760</v>
      </c>
      <c r="C1767" s="115" t="n">
        <v>50569.520000002</v>
      </c>
    </row>
    <row r="1768" customFormat="false" ht="15" hidden="false" customHeight="true" outlineLevel="0" collapsed="false">
      <c r="A1768" s="114" t="n">
        <v>2245760.01</v>
      </c>
      <c r="B1768" s="114" t="n">
        <v>2247040</v>
      </c>
      <c r="C1768" s="114" t="n">
        <v>50598.180000002</v>
      </c>
    </row>
    <row r="1769" customFormat="false" ht="15" hidden="false" customHeight="true" outlineLevel="0" collapsed="false">
      <c r="A1769" s="115" t="n">
        <v>2247040.01</v>
      </c>
      <c r="B1769" s="115" t="n">
        <v>2248320</v>
      </c>
      <c r="C1769" s="115" t="n">
        <v>50626.840000002</v>
      </c>
    </row>
    <row r="1770" customFormat="false" ht="15" hidden="false" customHeight="true" outlineLevel="0" collapsed="false">
      <c r="A1770" s="114" t="n">
        <v>2248320.01</v>
      </c>
      <c r="B1770" s="114" t="n">
        <v>2249600</v>
      </c>
      <c r="C1770" s="114" t="n">
        <v>50655.500000002</v>
      </c>
    </row>
    <row r="1771" customFormat="false" ht="15" hidden="false" customHeight="true" outlineLevel="0" collapsed="false">
      <c r="A1771" s="115" t="n">
        <v>2249600.01</v>
      </c>
      <c r="B1771" s="115" t="n">
        <v>2250880</v>
      </c>
      <c r="C1771" s="115" t="n">
        <v>50684.160000002</v>
      </c>
    </row>
    <row r="1772" customFormat="false" ht="15" hidden="false" customHeight="true" outlineLevel="0" collapsed="false">
      <c r="A1772" s="114" t="n">
        <v>2250880.01</v>
      </c>
      <c r="B1772" s="114" t="n">
        <v>2252160</v>
      </c>
      <c r="C1772" s="114" t="n">
        <v>50712.820000002</v>
      </c>
    </row>
    <row r="1773" customFormat="false" ht="15" hidden="false" customHeight="true" outlineLevel="0" collapsed="false">
      <c r="A1773" s="115" t="n">
        <v>2252160.01</v>
      </c>
      <c r="B1773" s="115" t="n">
        <v>2253440</v>
      </c>
      <c r="C1773" s="115" t="n">
        <v>50741.480000002</v>
      </c>
    </row>
    <row r="1774" customFormat="false" ht="15" hidden="false" customHeight="true" outlineLevel="0" collapsed="false">
      <c r="A1774" s="114" t="n">
        <v>2253440.01</v>
      </c>
      <c r="B1774" s="114" t="n">
        <v>2254720</v>
      </c>
      <c r="C1774" s="114" t="n">
        <v>50770.140000002</v>
      </c>
    </row>
    <row r="1775" customFormat="false" ht="15" hidden="false" customHeight="true" outlineLevel="0" collapsed="false">
      <c r="A1775" s="115" t="n">
        <v>2254720.01</v>
      </c>
      <c r="B1775" s="115" t="n">
        <v>2256000</v>
      </c>
      <c r="C1775" s="115" t="n">
        <v>50798.8000000021</v>
      </c>
    </row>
    <row r="1776" customFormat="false" ht="15" hidden="false" customHeight="true" outlineLevel="0" collapsed="false">
      <c r="A1776" s="114" t="n">
        <v>2256000.01</v>
      </c>
      <c r="B1776" s="114" t="n">
        <v>2257280</v>
      </c>
      <c r="C1776" s="114" t="n">
        <v>50827.4600000021</v>
      </c>
    </row>
    <row r="1777" customFormat="false" ht="15" hidden="false" customHeight="true" outlineLevel="0" collapsed="false">
      <c r="A1777" s="115" t="n">
        <v>2257280.01</v>
      </c>
      <c r="B1777" s="115" t="n">
        <v>2258560</v>
      </c>
      <c r="C1777" s="115" t="n">
        <v>50856.1200000021</v>
      </c>
    </row>
    <row r="1778" customFormat="false" ht="15" hidden="false" customHeight="true" outlineLevel="0" collapsed="false">
      <c r="A1778" s="114" t="n">
        <v>2258560.01</v>
      </c>
      <c r="B1778" s="114" t="n">
        <v>2259840</v>
      </c>
      <c r="C1778" s="114" t="n">
        <v>50884.7800000021</v>
      </c>
    </row>
    <row r="1779" customFormat="false" ht="15" hidden="false" customHeight="true" outlineLevel="0" collapsed="false">
      <c r="A1779" s="115" t="n">
        <v>2259840.01</v>
      </c>
      <c r="B1779" s="115" t="n">
        <v>2261120</v>
      </c>
      <c r="C1779" s="115" t="n">
        <v>50913.4400000021</v>
      </c>
    </row>
    <row r="1780" customFormat="false" ht="15" hidden="false" customHeight="true" outlineLevel="0" collapsed="false">
      <c r="A1780" s="114" t="n">
        <v>2261120.01</v>
      </c>
      <c r="B1780" s="114" t="n">
        <v>2262400</v>
      </c>
      <c r="C1780" s="114" t="n">
        <v>50942.1000000021</v>
      </c>
    </row>
    <row r="1781" customFormat="false" ht="15" hidden="false" customHeight="true" outlineLevel="0" collapsed="false">
      <c r="A1781" s="115" t="n">
        <v>2262400.01</v>
      </c>
      <c r="B1781" s="115" t="n">
        <v>2263680</v>
      </c>
      <c r="C1781" s="115" t="n">
        <v>50970.7600000021</v>
      </c>
    </row>
    <row r="1782" customFormat="false" ht="15" hidden="false" customHeight="true" outlineLevel="0" collapsed="false">
      <c r="A1782" s="114" t="n">
        <v>2263680.01</v>
      </c>
      <c r="B1782" s="114" t="n">
        <v>2264960</v>
      </c>
      <c r="C1782" s="114" t="n">
        <v>50999.4200000021</v>
      </c>
    </row>
    <row r="1783" customFormat="false" ht="15" hidden="false" customHeight="true" outlineLevel="0" collapsed="false">
      <c r="A1783" s="115" t="n">
        <v>2264960.01</v>
      </c>
      <c r="B1783" s="115" t="n">
        <v>2266240</v>
      </c>
      <c r="C1783" s="115" t="n">
        <v>51028.0800000021</v>
      </c>
    </row>
    <row r="1784" customFormat="false" ht="15" hidden="false" customHeight="true" outlineLevel="0" collapsed="false">
      <c r="A1784" s="114" t="n">
        <v>2266240.01</v>
      </c>
      <c r="B1784" s="114" t="n">
        <v>2267520</v>
      </c>
      <c r="C1784" s="114" t="n">
        <v>51056.7400000021</v>
      </c>
    </row>
    <row r="1785" customFormat="false" ht="15" hidden="false" customHeight="true" outlineLevel="0" collapsed="false">
      <c r="A1785" s="115" t="n">
        <v>2267520.01</v>
      </c>
      <c r="B1785" s="115" t="n">
        <v>2268800</v>
      </c>
      <c r="C1785" s="115" t="n">
        <v>51085.4000000021</v>
      </c>
    </row>
    <row r="1786" customFormat="false" ht="15" hidden="false" customHeight="true" outlineLevel="0" collapsed="false">
      <c r="A1786" s="114" t="n">
        <v>2268800.01</v>
      </c>
      <c r="B1786" s="114" t="n">
        <v>2270080</v>
      </c>
      <c r="C1786" s="114" t="n">
        <v>51114.0600000021</v>
      </c>
    </row>
    <row r="1787" customFormat="false" ht="15" hidden="false" customHeight="true" outlineLevel="0" collapsed="false">
      <c r="A1787" s="115" t="n">
        <v>2270080.01</v>
      </c>
      <c r="B1787" s="115" t="n">
        <v>2271360</v>
      </c>
      <c r="C1787" s="115" t="n">
        <v>51142.7200000021</v>
      </c>
    </row>
    <row r="1788" customFormat="false" ht="15" hidden="false" customHeight="true" outlineLevel="0" collapsed="false">
      <c r="A1788" s="114" t="n">
        <v>2271360.01</v>
      </c>
      <c r="B1788" s="114" t="n">
        <v>2272640</v>
      </c>
      <c r="C1788" s="114" t="n">
        <v>51171.3800000021</v>
      </c>
    </row>
    <row r="1789" customFormat="false" ht="15" hidden="false" customHeight="true" outlineLevel="0" collapsed="false">
      <c r="A1789" s="115" t="n">
        <v>2272640.01</v>
      </c>
      <c r="B1789" s="115" t="n">
        <v>2273920</v>
      </c>
      <c r="C1789" s="115" t="n">
        <v>51200.0400000021</v>
      </c>
    </row>
    <row r="1790" customFormat="false" ht="15" hidden="false" customHeight="true" outlineLevel="0" collapsed="false">
      <c r="A1790" s="114" t="n">
        <v>2273920.01</v>
      </c>
      <c r="B1790" s="114" t="n">
        <v>2275200</v>
      </c>
      <c r="C1790" s="114" t="n">
        <v>51228.7000000021</v>
      </c>
    </row>
    <row r="1791" customFormat="false" ht="15" hidden="false" customHeight="true" outlineLevel="0" collapsed="false">
      <c r="A1791" s="115" t="n">
        <v>2275200.01</v>
      </c>
      <c r="B1791" s="115" t="n">
        <v>2276480</v>
      </c>
      <c r="C1791" s="115" t="n">
        <v>51257.3600000021</v>
      </c>
    </row>
    <row r="1792" customFormat="false" ht="15" hidden="false" customHeight="true" outlineLevel="0" collapsed="false">
      <c r="A1792" s="114" t="n">
        <v>2276480.01</v>
      </c>
      <c r="B1792" s="114" t="n">
        <v>2277760</v>
      </c>
      <c r="C1792" s="114" t="n">
        <v>51286.0200000021</v>
      </c>
    </row>
    <row r="1793" customFormat="false" ht="15" hidden="false" customHeight="true" outlineLevel="0" collapsed="false">
      <c r="A1793" s="115" t="n">
        <v>2277760.01</v>
      </c>
      <c r="B1793" s="115" t="n">
        <v>2279040</v>
      </c>
      <c r="C1793" s="115" t="n">
        <v>51314.6800000021</v>
      </c>
    </row>
    <row r="1794" customFormat="false" ht="15" hidden="false" customHeight="true" outlineLevel="0" collapsed="false">
      <c r="A1794" s="114" t="n">
        <v>2279040.01</v>
      </c>
      <c r="B1794" s="114" t="n">
        <v>2280320</v>
      </c>
      <c r="C1794" s="114" t="n">
        <v>51343.3400000021</v>
      </c>
    </row>
    <row r="1795" customFormat="false" ht="15" hidden="false" customHeight="true" outlineLevel="0" collapsed="false">
      <c r="A1795" s="115" t="n">
        <v>2280320.01</v>
      </c>
      <c r="B1795" s="115" t="n">
        <v>2281600</v>
      </c>
      <c r="C1795" s="115" t="n">
        <v>51372.0000000021</v>
      </c>
    </row>
    <row r="1796" customFormat="false" ht="15" hidden="false" customHeight="true" outlineLevel="0" collapsed="false">
      <c r="A1796" s="114" t="n">
        <v>2281600.01</v>
      </c>
      <c r="B1796" s="114" t="n">
        <v>2282880</v>
      </c>
      <c r="C1796" s="114" t="n">
        <v>51400.6600000021</v>
      </c>
    </row>
    <row r="1797" customFormat="false" ht="15" hidden="false" customHeight="true" outlineLevel="0" collapsed="false">
      <c r="A1797" s="115" t="n">
        <v>2282880.01</v>
      </c>
      <c r="B1797" s="115" t="n">
        <v>2284160</v>
      </c>
      <c r="C1797" s="115" t="n">
        <v>51429.3200000021</v>
      </c>
    </row>
    <row r="1798" customFormat="false" ht="15" hidden="false" customHeight="true" outlineLevel="0" collapsed="false">
      <c r="A1798" s="114" t="n">
        <v>2284160.01</v>
      </c>
      <c r="B1798" s="114" t="n">
        <v>2285440</v>
      </c>
      <c r="C1798" s="114" t="n">
        <v>51457.9800000021</v>
      </c>
    </row>
    <row r="1799" customFormat="false" ht="15" hidden="false" customHeight="true" outlineLevel="0" collapsed="false">
      <c r="A1799" s="115" t="n">
        <v>2285440.01</v>
      </c>
      <c r="B1799" s="115" t="n">
        <v>2286720</v>
      </c>
      <c r="C1799" s="115" t="n">
        <v>51486.6400000021</v>
      </c>
    </row>
    <row r="1800" customFormat="false" ht="15" hidden="false" customHeight="true" outlineLevel="0" collapsed="false">
      <c r="A1800" s="114" t="n">
        <v>2286720.01</v>
      </c>
      <c r="B1800" s="114" t="n">
        <v>2288000</v>
      </c>
      <c r="C1800" s="114" t="n">
        <v>51515.3000000021</v>
      </c>
    </row>
    <row r="1801" customFormat="false" ht="15" hidden="false" customHeight="true" outlineLevel="0" collapsed="false">
      <c r="A1801" s="115" t="n">
        <v>2288000.01</v>
      </c>
      <c r="B1801" s="115" t="n">
        <v>2289280</v>
      </c>
      <c r="C1801" s="115" t="n">
        <v>51543.9600000021</v>
      </c>
    </row>
    <row r="1802" customFormat="false" ht="15" hidden="false" customHeight="true" outlineLevel="0" collapsed="false">
      <c r="A1802" s="114" t="n">
        <v>2289280.01</v>
      </c>
      <c r="B1802" s="114" t="n">
        <v>2290560</v>
      </c>
      <c r="C1802" s="114" t="n">
        <v>51572.6200000021</v>
      </c>
    </row>
    <row r="1803" customFormat="false" ht="15" hidden="false" customHeight="true" outlineLevel="0" collapsed="false">
      <c r="A1803" s="115" t="n">
        <v>2290560.01</v>
      </c>
      <c r="B1803" s="115" t="n">
        <v>2291840</v>
      </c>
      <c r="C1803" s="115" t="n">
        <v>51601.2800000022</v>
      </c>
    </row>
    <row r="1804" customFormat="false" ht="15" hidden="false" customHeight="true" outlineLevel="0" collapsed="false">
      <c r="A1804" s="114" t="n">
        <v>2291840.01</v>
      </c>
      <c r="B1804" s="114" t="n">
        <v>2293120</v>
      </c>
      <c r="C1804" s="114" t="n">
        <v>51629.9400000022</v>
      </c>
    </row>
    <row r="1805" customFormat="false" ht="15" hidden="false" customHeight="true" outlineLevel="0" collapsed="false">
      <c r="A1805" s="115" t="n">
        <v>2293120.01</v>
      </c>
      <c r="B1805" s="115" t="n">
        <v>2294400</v>
      </c>
      <c r="C1805" s="115" t="n">
        <v>51658.6000000022</v>
      </c>
    </row>
    <row r="1806" customFormat="false" ht="15" hidden="false" customHeight="true" outlineLevel="0" collapsed="false">
      <c r="A1806" s="114" t="n">
        <v>2294400.01</v>
      </c>
      <c r="B1806" s="114" t="n">
        <v>2295680</v>
      </c>
      <c r="C1806" s="114" t="n">
        <v>51687.2600000022</v>
      </c>
    </row>
    <row r="1807" customFormat="false" ht="15" hidden="false" customHeight="true" outlineLevel="0" collapsed="false">
      <c r="A1807" s="115" t="n">
        <v>2295680.01</v>
      </c>
      <c r="B1807" s="115" t="n">
        <v>2296960</v>
      </c>
      <c r="C1807" s="115" t="n">
        <v>51715.9200000022</v>
      </c>
    </row>
    <row r="1808" customFormat="false" ht="15" hidden="false" customHeight="true" outlineLevel="0" collapsed="false">
      <c r="A1808" s="114" t="n">
        <v>2296960.01</v>
      </c>
      <c r="B1808" s="114" t="n">
        <v>2298240</v>
      </c>
      <c r="C1808" s="114" t="n">
        <v>51744.5800000022</v>
      </c>
    </row>
    <row r="1809" customFormat="false" ht="15" hidden="false" customHeight="true" outlineLevel="0" collapsed="false">
      <c r="A1809" s="115" t="n">
        <v>2298240.01</v>
      </c>
      <c r="B1809" s="115" t="n">
        <v>2299520</v>
      </c>
      <c r="C1809" s="115" t="n">
        <v>51773.2400000022</v>
      </c>
    </row>
    <row r="1810" customFormat="false" ht="15" hidden="false" customHeight="true" outlineLevel="0" collapsed="false">
      <c r="A1810" s="114" t="n">
        <v>2299520.01</v>
      </c>
      <c r="B1810" s="114" t="n">
        <v>2300800</v>
      </c>
      <c r="C1810" s="114" t="n">
        <v>51801.9000000022</v>
      </c>
    </row>
    <row r="1811" customFormat="false" ht="15" hidden="false" customHeight="true" outlineLevel="0" collapsed="false">
      <c r="A1811" s="115" t="n">
        <v>2300800.01</v>
      </c>
      <c r="B1811" s="115" t="n">
        <v>2302080</v>
      </c>
      <c r="C1811" s="115" t="n">
        <v>51830.5600000022</v>
      </c>
    </row>
    <row r="1812" customFormat="false" ht="15" hidden="false" customHeight="true" outlineLevel="0" collapsed="false">
      <c r="A1812" s="114" t="n">
        <v>2302080.01</v>
      </c>
      <c r="B1812" s="114" t="n">
        <v>2303360</v>
      </c>
      <c r="C1812" s="114" t="n">
        <v>51859.2200000022</v>
      </c>
    </row>
    <row r="1813" customFormat="false" ht="15" hidden="false" customHeight="true" outlineLevel="0" collapsed="false">
      <c r="A1813" s="115" t="n">
        <v>2303360.01</v>
      </c>
      <c r="B1813" s="115" t="n">
        <v>2304640</v>
      </c>
      <c r="C1813" s="115" t="n">
        <v>51887.8800000022</v>
      </c>
    </row>
    <row r="1814" customFormat="false" ht="15" hidden="false" customHeight="true" outlineLevel="0" collapsed="false">
      <c r="A1814" s="114" t="n">
        <v>2304640.01</v>
      </c>
      <c r="B1814" s="114" t="n">
        <v>2305920</v>
      </c>
      <c r="C1814" s="114" t="n">
        <v>51916.5400000022</v>
      </c>
    </row>
    <row r="1815" customFormat="false" ht="15" hidden="false" customHeight="true" outlineLevel="0" collapsed="false">
      <c r="A1815" s="115" t="n">
        <v>2305920.01</v>
      </c>
      <c r="B1815" s="115" t="n">
        <v>2307200</v>
      </c>
      <c r="C1815" s="115" t="n">
        <v>51945.2000000022</v>
      </c>
    </row>
    <row r="1816" customFormat="false" ht="15" hidden="false" customHeight="true" outlineLevel="0" collapsed="false">
      <c r="A1816" s="114" t="n">
        <v>2307200.01</v>
      </c>
      <c r="B1816" s="114" t="n">
        <v>2308480</v>
      </c>
      <c r="C1816" s="114" t="n">
        <v>51973.8600000022</v>
      </c>
    </row>
    <row r="1817" customFormat="false" ht="15" hidden="false" customHeight="true" outlineLevel="0" collapsed="false">
      <c r="A1817" s="115" t="n">
        <v>2308480.01</v>
      </c>
      <c r="B1817" s="115" t="n">
        <v>2309760</v>
      </c>
      <c r="C1817" s="115" t="n">
        <v>52002.5200000022</v>
      </c>
    </row>
    <row r="1818" customFormat="false" ht="15" hidden="false" customHeight="true" outlineLevel="0" collapsed="false">
      <c r="A1818" s="114" t="n">
        <v>2309760.01</v>
      </c>
      <c r="B1818" s="114" t="n">
        <v>2311040</v>
      </c>
      <c r="C1818" s="114" t="n">
        <v>52031.1800000022</v>
      </c>
    </row>
    <row r="1819" customFormat="false" ht="15" hidden="false" customHeight="true" outlineLevel="0" collapsed="false">
      <c r="A1819" s="115" t="n">
        <v>2311040.01</v>
      </c>
      <c r="B1819" s="115" t="n">
        <v>2312320</v>
      </c>
      <c r="C1819" s="115" t="n">
        <v>52059.8400000022</v>
      </c>
    </row>
    <row r="1820" customFormat="false" ht="15" hidden="false" customHeight="true" outlineLevel="0" collapsed="false">
      <c r="A1820" s="114" t="n">
        <v>2312320.01</v>
      </c>
      <c r="B1820" s="114" t="n">
        <v>2313600</v>
      </c>
      <c r="C1820" s="114" t="n">
        <v>52088.5000000022</v>
      </c>
    </row>
    <row r="1821" customFormat="false" ht="15" hidden="false" customHeight="true" outlineLevel="0" collapsed="false">
      <c r="A1821" s="115" t="n">
        <v>2313600.01</v>
      </c>
      <c r="B1821" s="115" t="n">
        <v>2314880</v>
      </c>
      <c r="C1821" s="115" t="n">
        <v>52117.1600000022</v>
      </c>
    </row>
    <row r="1822" customFormat="false" ht="15" hidden="false" customHeight="true" outlineLevel="0" collapsed="false">
      <c r="A1822" s="114" t="n">
        <v>2314880.01</v>
      </c>
      <c r="B1822" s="114" t="n">
        <v>2316160</v>
      </c>
      <c r="C1822" s="114" t="n">
        <v>52145.8200000022</v>
      </c>
    </row>
    <row r="1823" customFormat="false" ht="15" hidden="false" customHeight="true" outlineLevel="0" collapsed="false">
      <c r="A1823" s="115" t="n">
        <v>2316160.01</v>
      </c>
      <c r="B1823" s="115" t="n">
        <v>2317440</v>
      </c>
      <c r="C1823" s="115" t="n">
        <v>52174.4800000022</v>
      </c>
    </row>
    <row r="1824" customFormat="false" ht="15" hidden="false" customHeight="true" outlineLevel="0" collapsed="false">
      <c r="A1824" s="114" t="n">
        <v>2317440.01</v>
      </c>
      <c r="B1824" s="114" t="n">
        <v>2318720</v>
      </c>
      <c r="C1824" s="114" t="n">
        <v>52203.1400000022</v>
      </c>
    </row>
    <row r="1825" customFormat="false" ht="15" hidden="false" customHeight="true" outlineLevel="0" collapsed="false">
      <c r="A1825" s="115" t="n">
        <v>2318720.01</v>
      </c>
      <c r="B1825" s="115" t="n">
        <v>2320000</v>
      </c>
      <c r="C1825" s="115" t="n">
        <v>52231.8000000022</v>
      </c>
    </row>
    <row r="1826" customFormat="false" ht="15" hidden="false" customHeight="true" outlineLevel="0" collapsed="false">
      <c r="A1826" s="114" t="n">
        <v>2320000.01</v>
      </c>
      <c r="B1826" s="114" t="n">
        <v>2321280</v>
      </c>
      <c r="C1826" s="114" t="n">
        <v>52260.4600000022</v>
      </c>
    </row>
    <row r="1827" customFormat="false" ht="15" hidden="false" customHeight="true" outlineLevel="0" collapsed="false">
      <c r="A1827" s="115" t="n">
        <v>2321280.01</v>
      </c>
      <c r="B1827" s="115" t="n">
        <v>2322560</v>
      </c>
      <c r="C1827" s="115" t="n">
        <v>52289.1200000022</v>
      </c>
    </row>
    <row r="1828" customFormat="false" ht="15" hidden="false" customHeight="true" outlineLevel="0" collapsed="false">
      <c r="A1828" s="114" t="n">
        <v>2322560.01</v>
      </c>
      <c r="B1828" s="114" t="n">
        <v>2323840</v>
      </c>
      <c r="C1828" s="114" t="n">
        <v>52317.7800000022</v>
      </c>
    </row>
    <row r="1829" customFormat="false" ht="15" hidden="false" customHeight="true" outlineLevel="0" collapsed="false">
      <c r="A1829" s="115" t="n">
        <v>2323840.01</v>
      </c>
      <c r="B1829" s="115" t="n">
        <v>2325120</v>
      </c>
      <c r="C1829" s="115" t="n">
        <v>52346.4400000022</v>
      </c>
    </row>
    <row r="1830" customFormat="false" ht="15" hidden="false" customHeight="true" outlineLevel="0" collapsed="false">
      <c r="A1830" s="114" t="n">
        <v>2325120.01</v>
      </c>
      <c r="B1830" s="114" t="n">
        <v>2326400</v>
      </c>
      <c r="C1830" s="114" t="n">
        <v>52375.1000000022</v>
      </c>
    </row>
    <row r="1831" customFormat="false" ht="15" hidden="false" customHeight="true" outlineLevel="0" collapsed="false">
      <c r="A1831" s="115" t="n">
        <v>2326400.01</v>
      </c>
      <c r="B1831" s="115" t="n">
        <v>2327680</v>
      </c>
      <c r="C1831" s="115" t="n">
        <v>52403.7600000022</v>
      </c>
    </row>
    <row r="1832" customFormat="false" ht="15" hidden="false" customHeight="true" outlineLevel="0" collapsed="false">
      <c r="A1832" s="114" t="n">
        <v>2327680.01</v>
      </c>
      <c r="B1832" s="114" t="n">
        <v>2328960</v>
      </c>
      <c r="C1832" s="114" t="n">
        <v>52432.4200000023</v>
      </c>
    </row>
    <row r="1833" customFormat="false" ht="15" hidden="false" customHeight="true" outlineLevel="0" collapsed="false">
      <c r="A1833" s="115" t="n">
        <v>2328960.01</v>
      </c>
      <c r="B1833" s="115" t="n">
        <v>2330240</v>
      </c>
      <c r="C1833" s="115" t="n">
        <v>52461.0800000023</v>
      </c>
    </row>
    <row r="1834" customFormat="false" ht="15" hidden="false" customHeight="true" outlineLevel="0" collapsed="false">
      <c r="A1834" s="114" t="n">
        <v>2330240.01</v>
      </c>
      <c r="B1834" s="114" t="n">
        <v>2331520</v>
      </c>
      <c r="C1834" s="114" t="n">
        <v>52489.7400000023</v>
      </c>
    </row>
    <row r="1835" customFormat="false" ht="15" hidden="false" customHeight="true" outlineLevel="0" collapsed="false">
      <c r="A1835" s="115" t="n">
        <v>2331520.01</v>
      </c>
      <c r="B1835" s="115" t="n">
        <v>2332800</v>
      </c>
      <c r="C1835" s="115" t="n">
        <v>52518.4000000023</v>
      </c>
    </row>
    <row r="1836" customFormat="false" ht="15" hidden="false" customHeight="true" outlineLevel="0" collapsed="false">
      <c r="A1836" s="114" t="n">
        <v>2332800.01</v>
      </c>
      <c r="B1836" s="114" t="n">
        <v>2334080</v>
      </c>
      <c r="C1836" s="114" t="n">
        <v>52547.0600000023</v>
      </c>
    </row>
    <row r="1837" customFormat="false" ht="15" hidden="false" customHeight="true" outlineLevel="0" collapsed="false">
      <c r="A1837" s="115" t="n">
        <v>2334080.01</v>
      </c>
      <c r="B1837" s="115" t="n">
        <v>2335360</v>
      </c>
      <c r="C1837" s="115" t="n">
        <v>52575.7200000023</v>
      </c>
    </row>
    <row r="1838" customFormat="false" ht="15" hidden="false" customHeight="true" outlineLevel="0" collapsed="false">
      <c r="A1838" s="114" t="n">
        <v>2335360.01</v>
      </c>
      <c r="B1838" s="114" t="n">
        <v>2336640</v>
      </c>
      <c r="C1838" s="114" t="n">
        <v>52604.3800000023</v>
      </c>
    </row>
    <row r="1839" customFormat="false" ht="15" hidden="false" customHeight="true" outlineLevel="0" collapsed="false">
      <c r="A1839" s="115" t="n">
        <v>2336640.01</v>
      </c>
      <c r="B1839" s="115" t="n">
        <v>2337920</v>
      </c>
      <c r="C1839" s="115" t="n">
        <v>52633.0400000023</v>
      </c>
    </row>
    <row r="1840" customFormat="false" ht="15" hidden="false" customHeight="true" outlineLevel="0" collapsed="false">
      <c r="A1840" s="114" t="n">
        <v>2337920.01</v>
      </c>
      <c r="B1840" s="114" t="n">
        <v>2339200</v>
      </c>
      <c r="C1840" s="114" t="n">
        <v>52661.7000000023</v>
      </c>
    </row>
    <row r="1841" customFormat="false" ht="15" hidden="false" customHeight="true" outlineLevel="0" collapsed="false">
      <c r="A1841" s="115" t="n">
        <v>2339200.01</v>
      </c>
      <c r="B1841" s="115" t="n">
        <v>2340480</v>
      </c>
      <c r="C1841" s="115" t="n">
        <v>52690.3600000023</v>
      </c>
    </row>
    <row r="1842" customFormat="false" ht="15" hidden="false" customHeight="true" outlineLevel="0" collapsed="false">
      <c r="A1842" s="114" t="n">
        <v>2340480.01</v>
      </c>
      <c r="B1842" s="114" t="n">
        <v>2341760</v>
      </c>
      <c r="C1842" s="114" t="n">
        <v>52719.0200000023</v>
      </c>
    </row>
    <row r="1843" customFormat="false" ht="15" hidden="false" customHeight="true" outlineLevel="0" collapsed="false">
      <c r="A1843" s="115" t="n">
        <v>2341760.01</v>
      </c>
      <c r="B1843" s="115" t="n">
        <v>2343040</v>
      </c>
      <c r="C1843" s="115" t="n">
        <v>52747.6800000023</v>
      </c>
    </row>
    <row r="1844" customFormat="false" ht="15" hidden="false" customHeight="true" outlineLevel="0" collapsed="false">
      <c r="A1844" s="114" t="n">
        <v>2343040.01</v>
      </c>
      <c r="B1844" s="114" t="n">
        <v>2344320</v>
      </c>
      <c r="C1844" s="114" t="n">
        <v>52776.3400000023</v>
      </c>
    </row>
    <row r="1845" customFormat="false" ht="15" hidden="false" customHeight="true" outlineLevel="0" collapsed="false">
      <c r="A1845" s="115" t="n">
        <v>2344320.01</v>
      </c>
      <c r="B1845" s="115" t="n">
        <v>2345600</v>
      </c>
      <c r="C1845" s="115" t="n">
        <v>52805.0000000023</v>
      </c>
    </row>
    <row r="1846" customFormat="false" ht="15" hidden="false" customHeight="true" outlineLevel="0" collapsed="false">
      <c r="A1846" s="114" t="n">
        <v>2345600.01</v>
      </c>
      <c r="B1846" s="114" t="n">
        <v>2346880</v>
      </c>
      <c r="C1846" s="114" t="n">
        <v>52833.6600000023</v>
      </c>
    </row>
    <row r="1847" customFormat="false" ht="15" hidden="false" customHeight="true" outlineLevel="0" collapsed="false">
      <c r="A1847" s="115" t="n">
        <v>2346880.01</v>
      </c>
      <c r="B1847" s="115" t="n">
        <v>2348160</v>
      </c>
      <c r="C1847" s="115" t="n">
        <v>52862.3200000023</v>
      </c>
    </row>
    <row r="1848" customFormat="false" ht="15" hidden="false" customHeight="true" outlineLevel="0" collapsed="false">
      <c r="A1848" s="114" t="n">
        <v>2348160.01</v>
      </c>
      <c r="B1848" s="114" t="n">
        <v>2349440</v>
      </c>
      <c r="C1848" s="114" t="n">
        <v>52890.9800000023</v>
      </c>
    </row>
    <row r="1849" customFormat="false" ht="15" hidden="false" customHeight="true" outlineLevel="0" collapsed="false">
      <c r="A1849" s="115" t="n">
        <v>2349440.01</v>
      </c>
      <c r="B1849" s="115" t="n">
        <v>2350720</v>
      </c>
      <c r="C1849" s="115" t="n">
        <v>52919.6400000023</v>
      </c>
    </row>
    <row r="1850" customFormat="false" ht="15" hidden="false" customHeight="true" outlineLevel="0" collapsed="false">
      <c r="A1850" s="114" t="n">
        <v>2350720.01</v>
      </c>
      <c r="B1850" s="114" t="n">
        <v>2352000</v>
      </c>
      <c r="C1850" s="114" t="n">
        <v>52948.3000000023</v>
      </c>
    </row>
    <row r="1851" customFormat="false" ht="15" hidden="false" customHeight="true" outlineLevel="0" collapsed="false">
      <c r="A1851" s="115" t="n">
        <v>2352000.01</v>
      </c>
      <c r="B1851" s="115" t="n">
        <v>2353280</v>
      </c>
      <c r="C1851" s="115" t="n">
        <v>52976.9600000023</v>
      </c>
    </row>
    <row r="1852" customFormat="false" ht="15" hidden="false" customHeight="true" outlineLevel="0" collapsed="false">
      <c r="A1852" s="114" t="n">
        <v>2353280.01</v>
      </c>
      <c r="B1852" s="114" t="n">
        <v>2354560</v>
      </c>
      <c r="C1852" s="114" t="n">
        <v>53005.6200000023</v>
      </c>
    </row>
    <row r="1853" customFormat="false" ht="15" hidden="false" customHeight="true" outlineLevel="0" collapsed="false">
      <c r="A1853" s="115" t="n">
        <v>2354560.01</v>
      </c>
      <c r="B1853" s="115" t="n">
        <v>2355840</v>
      </c>
      <c r="C1853" s="115" t="n">
        <v>53034.2800000023</v>
      </c>
    </row>
    <row r="1854" customFormat="false" ht="15" hidden="false" customHeight="true" outlineLevel="0" collapsed="false">
      <c r="A1854" s="114" t="n">
        <v>2355840.01</v>
      </c>
      <c r="B1854" s="114" t="n">
        <v>2357120</v>
      </c>
      <c r="C1854" s="114" t="n">
        <v>53062.9400000023</v>
      </c>
    </row>
    <row r="1855" customFormat="false" ht="15" hidden="false" customHeight="true" outlineLevel="0" collapsed="false">
      <c r="A1855" s="115" t="n">
        <v>2357120.01</v>
      </c>
      <c r="B1855" s="115" t="n">
        <v>2358400</v>
      </c>
      <c r="C1855" s="115" t="n">
        <v>53091.6000000023</v>
      </c>
    </row>
    <row r="1856" customFormat="false" ht="15" hidden="false" customHeight="true" outlineLevel="0" collapsed="false">
      <c r="A1856" s="114" t="n">
        <v>2358400.01</v>
      </c>
      <c r="B1856" s="114" t="n">
        <v>2359680</v>
      </c>
      <c r="C1856" s="114" t="n">
        <v>53120.2600000023</v>
      </c>
    </row>
    <row r="1857" customFormat="false" ht="15" hidden="false" customHeight="true" outlineLevel="0" collapsed="false">
      <c r="A1857" s="115" t="n">
        <v>2359680.01</v>
      </c>
      <c r="B1857" s="115" t="n">
        <v>2360960</v>
      </c>
      <c r="C1857" s="115" t="n">
        <v>53148.9200000023</v>
      </c>
    </row>
    <row r="1858" customFormat="false" ht="15" hidden="false" customHeight="true" outlineLevel="0" collapsed="false">
      <c r="A1858" s="114" t="n">
        <v>2360960.01</v>
      </c>
      <c r="B1858" s="114" t="n">
        <v>2362240</v>
      </c>
      <c r="C1858" s="114" t="n">
        <v>53177.5800000023</v>
      </c>
    </row>
    <row r="1859" customFormat="false" ht="15" hidden="false" customHeight="true" outlineLevel="0" collapsed="false">
      <c r="A1859" s="115" t="n">
        <v>2362240.01</v>
      </c>
      <c r="B1859" s="115" t="n">
        <v>2363520</v>
      </c>
      <c r="C1859" s="115" t="n">
        <v>53206.2400000023</v>
      </c>
    </row>
    <row r="1860" customFormat="false" ht="15" hidden="false" customHeight="true" outlineLevel="0" collapsed="false">
      <c r="A1860" s="114" t="n">
        <v>2363520.01</v>
      </c>
      <c r="B1860" s="114" t="n">
        <v>2364800</v>
      </c>
      <c r="C1860" s="114" t="n">
        <v>53234.9000000023</v>
      </c>
    </row>
    <row r="1861" customFormat="false" ht="15" hidden="false" customHeight="true" outlineLevel="0" collapsed="false">
      <c r="A1861" s="115" t="n">
        <v>2364800.01</v>
      </c>
      <c r="B1861" s="115" t="n">
        <v>2366080</v>
      </c>
      <c r="C1861" s="115" t="n">
        <v>53263.5600000024</v>
      </c>
    </row>
    <row r="1862" customFormat="false" ht="15" hidden="false" customHeight="true" outlineLevel="0" collapsed="false">
      <c r="A1862" s="114" t="n">
        <v>2366080.01</v>
      </c>
      <c r="B1862" s="114" t="n">
        <v>2367360</v>
      </c>
      <c r="C1862" s="114" t="n">
        <v>53292.2200000024</v>
      </c>
    </row>
    <row r="1863" customFormat="false" ht="15" hidden="false" customHeight="true" outlineLevel="0" collapsed="false">
      <c r="A1863" s="115" t="n">
        <v>2367360.01</v>
      </c>
      <c r="B1863" s="115" t="n">
        <v>2368640</v>
      </c>
      <c r="C1863" s="115" t="n">
        <v>53320.8800000024</v>
      </c>
    </row>
    <row r="1864" customFormat="false" ht="15" hidden="false" customHeight="true" outlineLevel="0" collapsed="false">
      <c r="A1864" s="114" t="n">
        <v>2368640.01</v>
      </c>
      <c r="B1864" s="114" t="n">
        <v>2369920</v>
      </c>
      <c r="C1864" s="114" t="n">
        <v>53349.5400000024</v>
      </c>
    </row>
    <row r="1865" customFormat="false" ht="15" hidden="false" customHeight="true" outlineLevel="0" collapsed="false">
      <c r="A1865" s="115" t="n">
        <v>2369920.01</v>
      </c>
      <c r="B1865" s="115" t="n">
        <v>2371200</v>
      </c>
      <c r="C1865" s="115" t="n">
        <v>53378.2000000024</v>
      </c>
    </row>
    <row r="1866" customFormat="false" ht="15" hidden="false" customHeight="true" outlineLevel="0" collapsed="false">
      <c r="A1866" s="114" t="n">
        <v>2371200.01</v>
      </c>
      <c r="B1866" s="114" t="n">
        <v>2372480</v>
      </c>
      <c r="C1866" s="114" t="n">
        <v>53406.8600000024</v>
      </c>
    </row>
    <row r="1867" customFormat="false" ht="15" hidden="false" customHeight="true" outlineLevel="0" collapsed="false">
      <c r="A1867" s="115" t="n">
        <v>2372480.01</v>
      </c>
      <c r="B1867" s="115" t="n">
        <v>2373760</v>
      </c>
      <c r="C1867" s="115" t="n">
        <v>53435.5200000024</v>
      </c>
    </row>
    <row r="1868" customFormat="false" ht="15" hidden="false" customHeight="true" outlineLevel="0" collapsed="false">
      <c r="A1868" s="114" t="n">
        <v>2373760.01</v>
      </c>
      <c r="B1868" s="114" t="n">
        <v>2375040</v>
      </c>
      <c r="C1868" s="114" t="n">
        <v>53464.1800000024</v>
      </c>
    </row>
    <row r="1869" customFormat="false" ht="15" hidden="false" customHeight="true" outlineLevel="0" collapsed="false">
      <c r="A1869" s="115" t="n">
        <v>2375040.01</v>
      </c>
      <c r="B1869" s="115" t="n">
        <v>2376320</v>
      </c>
      <c r="C1869" s="115" t="n">
        <v>53492.8400000024</v>
      </c>
    </row>
    <row r="1870" customFormat="false" ht="15" hidden="false" customHeight="true" outlineLevel="0" collapsed="false">
      <c r="A1870" s="114" t="n">
        <v>2376320.01</v>
      </c>
      <c r="B1870" s="114" t="n">
        <v>2377600</v>
      </c>
      <c r="C1870" s="114" t="n">
        <v>53521.5000000024</v>
      </c>
    </row>
    <row r="1871" customFormat="false" ht="15" hidden="false" customHeight="true" outlineLevel="0" collapsed="false">
      <c r="A1871" s="115" t="n">
        <v>2377600.01</v>
      </c>
      <c r="B1871" s="115" t="n">
        <v>2378880</v>
      </c>
      <c r="C1871" s="115" t="n">
        <v>53550.1600000024</v>
      </c>
    </row>
    <row r="1872" customFormat="false" ht="15" hidden="false" customHeight="true" outlineLevel="0" collapsed="false">
      <c r="A1872" s="114" t="n">
        <v>2378880.01</v>
      </c>
      <c r="B1872" s="114" t="n">
        <v>2380160</v>
      </c>
      <c r="C1872" s="114" t="n">
        <v>53578.8200000024</v>
      </c>
    </row>
    <row r="1873" customFormat="false" ht="15" hidden="false" customHeight="true" outlineLevel="0" collapsed="false">
      <c r="A1873" s="115" t="n">
        <v>2380160.01</v>
      </c>
      <c r="B1873" s="115" t="n">
        <v>2381440</v>
      </c>
      <c r="C1873" s="115" t="n">
        <v>53607.4800000024</v>
      </c>
    </row>
    <row r="1874" customFormat="false" ht="15" hidden="false" customHeight="true" outlineLevel="0" collapsed="false">
      <c r="A1874" s="114" t="n">
        <v>2381440.01</v>
      </c>
      <c r="B1874" s="114" t="n">
        <v>2382720</v>
      </c>
      <c r="C1874" s="114" t="n">
        <v>53636.1400000024</v>
      </c>
    </row>
    <row r="1875" customFormat="false" ht="15" hidden="false" customHeight="true" outlineLevel="0" collapsed="false">
      <c r="A1875" s="115" t="n">
        <v>2382720.01</v>
      </c>
      <c r="B1875" s="115" t="n">
        <v>2384000</v>
      </c>
      <c r="C1875" s="115" t="n">
        <v>53664.8000000024</v>
      </c>
    </row>
    <row r="1876" customFormat="false" ht="15" hidden="false" customHeight="true" outlineLevel="0" collapsed="false">
      <c r="A1876" s="114" t="n">
        <v>2384000.01</v>
      </c>
      <c r="B1876" s="114" t="n">
        <v>2385280</v>
      </c>
      <c r="C1876" s="114" t="n">
        <v>53693.4600000024</v>
      </c>
    </row>
    <row r="1877" customFormat="false" ht="15" hidden="false" customHeight="true" outlineLevel="0" collapsed="false">
      <c r="A1877" s="115" t="n">
        <v>2385280.01</v>
      </c>
      <c r="B1877" s="115" t="n">
        <v>2386560</v>
      </c>
      <c r="C1877" s="115" t="n">
        <v>53722.1200000024</v>
      </c>
    </row>
    <row r="1878" customFormat="false" ht="15" hidden="false" customHeight="true" outlineLevel="0" collapsed="false">
      <c r="A1878" s="114" t="n">
        <v>2386560.01</v>
      </c>
      <c r="B1878" s="114" t="n">
        <v>2387840</v>
      </c>
      <c r="C1878" s="114" t="n">
        <v>53750.7800000024</v>
      </c>
    </row>
    <row r="1879" customFormat="false" ht="15" hidden="false" customHeight="true" outlineLevel="0" collapsed="false">
      <c r="A1879" s="115" t="n">
        <v>2387840.01</v>
      </c>
      <c r="B1879" s="115" t="n">
        <v>2389120</v>
      </c>
      <c r="C1879" s="115" t="n">
        <v>53779.4400000024</v>
      </c>
    </row>
    <row r="1880" customFormat="false" ht="15" hidden="false" customHeight="true" outlineLevel="0" collapsed="false">
      <c r="A1880" s="114" t="n">
        <v>2389120.01</v>
      </c>
      <c r="B1880" s="114" t="n">
        <v>2390400</v>
      </c>
      <c r="C1880" s="114" t="n">
        <v>53808.1000000024</v>
      </c>
    </row>
    <row r="1881" customFormat="false" ht="15" hidden="false" customHeight="true" outlineLevel="0" collapsed="false">
      <c r="A1881" s="115" t="n">
        <v>2390400.01</v>
      </c>
      <c r="B1881" s="115" t="n">
        <v>2391680</v>
      </c>
      <c r="C1881" s="115" t="n">
        <v>53836.7600000024</v>
      </c>
    </row>
    <row r="1882" customFormat="false" ht="15" hidden="false" customHeight="true" outlineLevel="0" collapsed="false">
      <c r="A1882" s="114" t="n">
        <v>2391680.01</v>
      </c>
      <c r="B1882" s="114" t="n">
        <v>2392960</v>
      </c>
      <c r="C1882" s="114" t="n">
        <v>53865.4200000024</v>
      </c>
    </row>
    <row r="1883" customFormat="false" ht="15" hidden="false" customHeight="true" outlineLevel="0" collapsed="false">
      <c r="A1883" s="115" t="n">
        <v>2392960.01</v>
      </c>
      <c r="B1883" s="115" t="n">
        <v>2394240</v>
      </c>
      <c r="C1883" s="115" t="n">
        <v>53894.0800000024</v>
      </c>
    </row>
    <row r="1884" customFormat="false" ht="15" hidden="false" customHeight="true" outlineLevel="0" collapsed="false">
      <c r="A1884" s="114" t="n">
        <v>2394240.01</v>
      </c>
      <c r="B1884" s="114" t="n">
        <v>2395520</v>
      </c>
      <c r="C1884" s="114" t="n">
        <v>53922.7400000024</v>
      </c>
    </row>
    <row r="1885" customFormat="false" ht="15" hidden="false" customHeight="true" outlineLevel="0" collapsed="false">
      <c r="A1885" s="115" t="n">
        <v>2395520.01</v>
      </c>
      <c r="B1885" s="115" t="n">
        <v>2396800</v>
      </c>
      <c r="C1885" s="115" t="n">
        <v>53951.4000000024</v>
      </c>
    </row>
    <row r="1886" customFormat="false" ht="15" hidden="false" customHeight="true" outlineLevel="0" collapsed="false">
      <c r="A1886" s="114" t="n">
        <v>2396800.01</v>
      </c>
      <c r="B1886" s="114" t="n">
        <v>2398080</v>
      </c>
      <c r="C1886" s="114" t="n">
        <v>53980.0600000024</v>
      </c>
    </row>
    <row r="1887" customFormat="false" ht="15" hidden="false" customHeight="true" outlineLevel="0" collapsed="false">
      <c r="A1887" s="115" t="n">
        <v>2398080.01</v>
      </c>
      <c r="B1887" s="115" t="n">
        <v>2399360</v>
      </c>
      <c r="C1887" s="115" t="n">
        <v>54008.7200000024</v>
      </c>
    </row>
    <row r="1888" customFormat="false" ht="15" hidden="false" customHeight="true" outlineLevel="0" collapsed="false">
      <c r="A1888" s="114" t="n">
        <v>2399360.01</v>
      </c>
      <c r="B1888" s="114" t="n">
        <v>2400640</v>
      </c>
      <c r="C1888" s="114" t="n">
        <v>54037.3800000024</v>
      </c>
    </row>
    <row r="1889" customFormat="false" ht="15" hidden="false" customHeight="true" outlineLevel="0" collapsed="false">
      <c r="A1889" s="115" t="n">
        <v>2400640.01</v>
      </c>
      <c r="B1889" s="115" t="n">
        <v>2401920</v>
      </c>
      <c r="C1889" s="115" t="n">
        <v>54066.0400000025</v>
      </c>
    </row>
    <row r="1890" customFormat="false" ht="15" hidden="false" customHeight="true" outlineLevel="0" collapsed="false">
      <c r="A1890" s="114" t="n">
        <v>2401920.01</v>
      </c>
      <c r="B1890" s="114" t="n">
        <v>2403200</v>
      </c>
      <c r="C1890" s="114" t="n">
        <v>54094.7000000025</v>
      </c>
    </row>
    <row r="1891" customFormat="false" ht="15" hidden="false" customHeight="true" outlineLevel="0" collapsed="false">
      <c r="A1891" s="115" t="n">
        <v>2403200.01</v>
      </c>
      <c r="B1891" s="115" t="n">
        <v>2404480</v>
      </c>
      <c r="C1891" s="115" t="n">
        <v>54123.3600000025</v>
      </c>
    </row>
    <row r="1892" customFormat="false" ht="15" hidden="false" customHeight="true" outlineLevel="0" collapsed="false">
      <c r="A1892" s="114" t="n">
        <v>2404480.01</v>
      </c>
      <c r="B1892" s="114" t="n">
        <v>2405760</v>
      </c>
      <c r="C1892" s="114" t="n">
        <v>54152.0200000025</v>
      </c>
    </row>
    <row r="1893" customFormat="false" ht="15" hidden="false" customHeight="true" outlineLevel="0" collapsed="false">
      <c r="A1893" s="115" t="n">
        <v>2405760.01</v>
      </c>
      <c r="B1893" s="115" t="n">
        <v>2407040</v>
      </c>
      <c r="C1893" s="115" t="n">
        <v>54180.6800000025</v>
      </c>
    </row>
    <row r="1894" customFormat="false" ht="15" hidden="false" customHeight="true" outlineLevel="0" collapsed="false">
      <c r="A1894" s="114" t="n">
        <v>2407040.01</v>
      </c>
      <c r="B1894" s="114" t="n">
        <v>2408320</v>
      </c>
      <c r="C1894" s="114" t="n">
        <v>54209.3400000025</v>
      </c>
    </row>
    <row r="1895" customFormat="false" ht="15" hidden="false" customHeight="true" outlineLevel="0" collapsed="false">
      <c r="A1895" s="115" t="n">
        <v>2408320.01</v>
      </c>
      <c r="B1895" s="115" t="n">
        <v>2409600</v>
      </c>
      <c r="C1895" s="115" t="n">
        <v>54238.0000000025</v>
      </c>
    </row>
    <row r="1896" customFormat="false" ht="15" hidden="false" customHeight="true" outlineLevel="0" collapsed="false">
      <c r="A1896" s="114" t="n">
        <v>2409600.01</v>
      </c>
      <c r="B1896" s="114" t="n">
        <v>2410880</v>
      </c>
      <c r="C1896" s="114" t="n">
        <v>54266.6600000025</v>
      </c>
    </row>
    <row r="1897" customFormat="false" ht="15" hidden="false" customHeight="true" outlineLevel="0" collapsed="false">
      <c r="A1897" s="115" t="n">
        <v>2410880.01</v>
      </c>
      <c r="B1897" s="115" t="n">
        <v>2412160</v>
      </c>
      <c r="C1897" s="115" t="n">
        <v>54295.3200000025</v>
      </c>
    </row>
    <row r="1898" customFormat="false" ht="15" hidden="false" customHeight="true" outlineLevel="0" collapsed="false">
      <c r="A1898" s="114" t="n">
        <v>2412160.01</v>
      </c>
      <c r="B1898" s="114" t="n">
        <v>2413440</v>
      </c>
      <c r="C1898" s="114" t="n">
        <v>54323.9800000025</v>
      </c>
    </row>
    <row r="1899" customFormat="false" ht="15" hidden="false" customHeight="true" outlineLevel="0" collapsed="false">
      <c r="A1899" s="115" t="n">
        <v>2413440.01</v>
      </c>
      <c r="B1899" s="115" t="n">
        <v>2414720</v>
      </c>
      <c r="C1899" s="115" t="n">
        <v>54352.6400000025</v>
      </c>
    </row>
    <row r="1900" customFormat="false" ht="15" hidden="false" customHeight="true" outlineLevel="0" collapsed="false">
      <c r="A1900" s="114" t="n">
        <v>2414720.01</v>
      </c>
      <c r="B1900" s="114" t="n">
        <v>2416000</v>
      </c>
      <c r="C1900" s="114" t="n">
        <v>54381.3000000025</v>
      </c>
    </row>
    <row r="1901" customFormat="false" ht="15" hidden="false" customHeight="true" outlineLevel="0" collapsed="false">
      <c r="A1901" s="115" t="n">
        <v>2416000.01</v>
      </c>
      <c r="B1901" s="115" t="n">
        <v>2417280</v>
      </c>
      <c r="C1901" s="115" t="n">
        <v>54409.9600000025</v>
      </c>
    </row>
    <row r="1902" customFormat="false" ht="15" hidden="false" customHeight="true" outlineLevel="0" collapsed="false">
      <c r="A1902" s="114" t="n">
        <v>2417280.01</v>
      </c>
      <c r="B1902" s="114" t="n">
        <v>2418560</v>
      </c>
      <c r="C1902" s="114" t="n">
        <v>54438.6200000025</v>
      </c>
    </row>
    <row r="1903" customFormat="false" ht="15" hidden="false" customHeight="true" outlineLevel="0" collapsed="false">
      <c r="A1903" s="115" t="n">
        <v>2418560.01</v>
      </c>
      <c r="B1903" s="115" t="n">
        <v>2419840</v>
      </c>
      <c r="C1903" s="115" t="n">
        <v>54467.2800000025</v>
      </c>
    </row>
    <row r="1904" customFormat="false" ht="15" hidden="false" customHeight="true" outlineLevel="0" collapsed="false">
      <c r="A1904" s="114" t="n">
        <v>2419840.01</v>
      </c>
      <c r="B1904" s="114" t="n">
        <v>2421120</v>
      </c>
      <c r="C1904" s="114" t="n">
        <v>54495.9400000025</v>
      </c>
    </row>
    <row r="1905" customFormat="false" ht="15" hidden="false" customHeight="true" outlineLevel="0" collapsed="false">
      <c r="A1905" s="115" t="n">
        <v>2421120.01</v>
      </c>
      <c r="B1905" s="115" t="n">
        <v>2422400</v>
      </c>
      <c r="C1905" s="115" t="n">
        <v>54524.6000000025</v>
      </c>
    </row>
    <row r="1906" customFormat="false" ht="15" hidden="false" customHeight="true" outlineLevel="0" collapsed="false">
      <c r="A1906" s="114" t="n">
        <v>2422400.01</v>
      </c>
      <c r="B1906" s="114" t="n">
        <v>2423680</v>
      </c>
      <c r="C1906" s="114" t="n">
        <v>54553.2600000025</v>
      </c>
    </row>
    <row r="1907" customFormat="false" ht="15" hidden="false" customHeight="true" outlineLevel="0" collapsed="false">
      <c r="A1907" s="115" t="n">
        <v>2423680.01</v>
      </c>
      <c r="B1907" s="115" t="n">
        <v>2424960</v>
      </c>
      <c r="C1907" s="115" t="n">
        <v>54581.9200000025</v>
      </c>
    </row>
    <row r="1908" customFormat="false" ht="15" hidden="false" customHeight="true" outlineLevel="0" collapsed="false">
      <c r="A1908" s="114" t="n">
        <v>2424960.01</v>
      </c>
      <c r="B1908" s="114" t="n">
        <v>2426240</v>
      </c>
      <c r="C1908" s="114" t="n">
        <v>54610.5800000025</v>
      </c>
    </row>
    <row r="1909" customFormat="false" ht="15" hidden="false" customHeight="true" outlineLevel="0" collapsed="false">
      <c r="A1909" s="115" t="n">
        <v>2426240.01</v>
      </c>
      <c r="B1909" s="115" t="n">
        <v>2427520</v>
      </c>
      <c r="C1909" s="115" t="n">
        <v>54639.2400000025</v>
      </c>
    </row>
    <row r="1910" customFormat="false" ht="15" hidden="false" customHeight="true" outlineLevel="0" collapsed="false">
      <c r="A1910" s="114" t="n">
        <v>2427520.01</v>
      </c>
      <c r="B1910" s="114" t="n">
        <v>2428800</v>
      </c>
      <c r="C1910" s="114" t="n">
        <v>54667.9000000025</v>
      </c>
    </row>
    <row r="1911" customFormat="false" ht="15" hidden="false" customHeight="true" outlineLevel="0" collapsed="false">
      <c r="A1911" s="115" t="n">
        <v>2428800.01</v>
      </c>
      <c r="B1911" s="115" t="n">
        <v>2430080</v>
      </c>
      <c r="C1911" s="115" t="n">
        <v>54696.5600000025</v>
      </c>
    </row>
    <row r="1912" customFormat="false" ht="15" hidden="false" customHeight="true" outlineLevel="0" collapsed="false">
      <c r="A1912" s="114" t="n">
        <v>2430080.01</v>
      </c>
      <c r="B1912" s="114" t="n">
        <v>2431360</v>
      </c>
      <c r="C1912" s="114" t="n">
        <v>54725.2200000025</v>
      </c>
    </row>
    <row r="1913" customFormat="false" ht="15" hidden="false" customHeight="true" outlineLevel="0" collapsed="false">
      <c r="A1913" s="115" t="n">
        <v>2431360.01</v>
      </c>
      <c r="B1913" s="115" t="n">
        <v>2432640</v>
      </c>
      <c r="C1913" s="115" t="n">
        <v>54753.8800000025</v>
      </c>
    </row>
    <row r="1914" customFormat="false" ht="15" hidden="false" customHeight="true" outlineLevel="0" collapsed="false">
      <c r="A1914" s="114" t="n">
        <v>2432640.01</v>
      </c>
      <c r="B1914" s="114" t="n">
        <v>2433920</v>
      </c>
      <c r="C1914" s="114" t="n">
        <v>54782.5400000025</v>
      </c>
    </row>
    <row r="1915" customFormat="false" ht="15" hidden="false" customHeight="true" outlineLevel="0" collapsed="false">
      <c r="A1915" s="115" t="n">
        <v>2433920.01</v>
      </c>
      <c r="B1915" s="115" t="n">
        <v>2435200</v>
      </c>
      <c r="C1915" s="115" t="n">
        <v>54811.2000000025</v>
      </c>
    </row>
    <row r="1916" customFormat="false" ht="15" hidden="false" customHeight="true" outlineLevel="0" collapsed="false">
      <c r="A1916" s="114" t="n">
        <v>2435200.01</v>
      </c>
      <c r="B1916" s="114" t="n">
        <v>2436480</v>
      </c>
      <c r="C1916" s="114" t="n">
        <v>54839.8600000025</v>
      </c>
    </row>
    <row r="1917" customFormat="false" ht="15" hidden="false" customHeight="true" outlineLevel="0" collapsed="false">
      <c r="A1917" s="115" t="n">
        <v>2436480.01</v>
      </c>
      <c r="B1917" s="115" t="n">
        <v>2437760</v>
      </c>
      <c r="C1917" s="115" t="n">
        <v>54868.5200000025</v>
      </c>
    </row>
    <row r="1918" customFormat="false" ht="15" hidden="false" customHeight="true" outlineLevel="0" collapsed="false">
      <c r="A1918" s="114" t="n">
        <v>2437760.01</v>
      </c>
      <c r="B1918" s="114" t="n">
        <v>2439040</v>
      </c>
      <c r="C1918" s="114" t="n">
        <v>54897.1800000026</v>
      </c>
    </row>
    <row r="1919" customFormat="false" ht="15" hidden="false" customHeight="true" outlineLevel="0" collapsed="false">
      <c r="A1919" s="115" t="n">
        <v>2439040.01</v>
      </c>
      <c r="B1919" s="115" t="n">
        <v>2440320</v>
      </c>
      <c r="C1919" s="115" t="n">
        <v>54925.8400000026</v>
      </c>
    </row>
    <row r="1920" customFormat="false" ht="15" hidden="false" customHeight="true" outlineLevel="0" collapsed="false">
      <c r="A1920" s="114" t="n">
        <v>2440320.01</v>
      </c>
      <c r="B1920" s="114" t="n">
        <v>2441600</v>
      </c>
      <c r="C1920" s="114" t="n">
        <v>54954.5000000026</v>
      </c>
    </row>
    <row r="1921" customFormat="false" ht="15" hidden="false" customHeight="true" outlineLevel="0" collapsed="false">
      <c r="A1921" s="115" t="n">
        <v>2441600.01</v>
      </c>
      <c r="B1921" s="115" t="n">
        <v>2442880</v>
      </c>
      <c r="C1921" s="115" t="n">
        <v>54983.1600000026</v>
      </c>
    </row>
    <row r="1922" customFormat="false" ht="15" hidden="false" customHeight="true" outlineLevel="0" collapsed="false">
      <c r="A1922" s="114" t="n">
        <v>2442880.01</v>
      </c>
      <c r="B1922" s="114" t="n">
        <v>2444160</v>
      </c>
      <c r="C1922" s="114" t="n">
        <v>55011.8200000026</v>
      </c>
    </row>
    <row r="1923" customFormat="false" ht="15" hidden="false" customHeight="true" outlineLevel="0" collapsed="false">
      <c r="A1923" s="115" t="n">
        <v>2444160.01</v>
      </c>
      <c r="B1923" s="115" t="n">
        <v>2445440</v>
      </c>
      <c r="C1923" s="115" t="n">
        <v>55040.4800000026</v>
      </c>
    </row>
    <row r="1924" customFormat="false" ht="15" hidden="false" customHeight="true" outlineLevel="0" collapsed="false">
      <c r="A1924" s="114" t="n">
        <v>2445440.01</v>
      </c>
      <c r="B1924" s="114" t="n">
        <v>2446720</v>
      </c>
      <c r="C1924" s="114" t="n">
        <v>55069.1400000026</v>
      </c>
    </row>
    <row r="1925" customFormat="false" ht="15" hidden="false" customHeight="true" outlineLevel="0" collapsed="false">
      <c r="A1925" s="115" t="n">
        <v>2446720.01</v>
      </c>
      <c r="B1925" s="115" t="n">
        <v>2448000</v>
      </c>
      <c r="C1925" s="115" t="n">
        <v>55097.8000000026</v>
      </c>
    </row>
    <row r="1926" customFormat="false" ht="15" hidden="false" customHeight="true" outlineLevel="0" collapsed="false">
      <c r="A1926" s="114" t="n">
        <v>2448000.01</v>
      </c>
      <c r="B1926" s="114" t="n">
        <v>2449280</v>
      </c>
      <c r="C1926" s="114" t="n">
        <v>55126.4600000026</v>
      </c>
    </row>
    <row r="1927" customFormat="false" ht="15" hidden="false" customHeight="true" outlineLevel="0" collapsed="false">
      <c r="A1927" s="115" t="n">
        <v>2449280.01</v>
      </c>
      <c r="B1927" s="115" t="n">
        <v>2450560</v>
      </c>
      <c r="C1927" s="115" t="n">
        <v>55155.1200000026</v>
      </c>
    </row>
    <row r="1928" customFormat="false" ht="15" hidden="false" customHeight="true" outlineLevel="0" collapsed="false">
      <c r="A1928" s="114" t="n">
        <v>2450560.01</v>
      </c>
      <c r="B1928" s="114" t="n">
        <v>2451840</v>
      </c>
      <c r="C1928" s="114" t="n">
        <v>55183.7800000026</v>
      </c>
    </row>
    <row r="1929" customFormat="false" ht="15" hidden="false" customHeight="true" outlineLevel="0" collapsed="false">
      <c r="A1929" s="115" t="n">
        <v>2451840.01</v>
      </c>
      <c r="B1929" s="115" t="n">
        <v>2453120</v>
      </c>
      <c r="C1929" s="115" t="n">
        <v>55212.4400000026</v>
      </c>
    </row>
    <row r="1930" customFormat="false" ht="15" hidden="false" customHeight="true" outlineLevel="0" collapsed="false">
      <c r="A1930" s="114" t="n">
        <v>2453120.01</v>
      </c>
      <c r="B1930" s="114" t="n">
        <v>2454400</v>
      </c>
      <c r="C1930" s="114" t="n">
        <v>55241.1000000026</v>
      </c>
    </row>
    <row r="1931" customFormat="false" ht="15" hidden="false" customHeight="true" outlineLevel="0" collapsed="false">
      <c r="A1931" s="115" t="n">
        <v>2454400.01</v>
      </c>
      <c r="B1931" s="115" t="n">
        <v>2455680</v>
      </c>
      <c r="C1931" s="115" t="n">
        <v>55269.7600000026</v>
      </c>
    </row>
    <row r="1932" customFormat="false" ht="15" hidden="false" customHeight="true" outlineLevel="0" collapsed="false">
      <c r="A1932" s="114" t="n">
        <v>2455680.01</v>
      </c>
      <c r="B1932" s="114" t="n">
        <v>2456960</v>
      </c>
      <c r="C1932" s="114" t="n">
        <v>55298.4200000026</v>
      </c>
    </row>
    <row r="1933" customFormat="false" ht="15" hidden="false" customHeight="true" outlineLevel="0" collapsed="false">
      <c r="A1933" s="115" t="n">
        <v>2456960.01</v>
      </c>
      <c r="B1933" s="115" t="n">
        <v>2458240</v>
      </c>
      <c r="C1933" s="115" t="n">
        <v>55327.0800000026</v>
      </c>
    </row>
    <row r="1934" customFormat="false" ht="15" hidden="false" customHeight="true" outlineLevel="0" collapsed="false">
      <c r="A1934" s="114" t="n">
        <v>2458240.01</v>
      </c>
      <c r="B1934" s="114" t="n">
        <v>2459520</v>
      </c>
      <c r="C1934" s="114" t="n">
        <v>55355.7400000026</v>
      </c>
    </row>
    <row r="1935" customFormat="false" ht="15" hidden="false" customHeight="true" outlineLevel="0" collapsed="false">
      <c r="A1935" s="115" t="n">
        <v>2459520.01</v>
      </c>
      <c r="B1935" s="115" t="n">
        <v>2460800</v>
      </c>
      <c r="C1935" s="115" t="n">
        <v>55384.4000000026</v>
      </c>
    </row>
    <row r="1936" customFormat="false" ht="15" hidden="false" customHeight="true" outlineLevel="0" collapsed="false">
      <c r="A1936" s="114" t="n">
        <v>2460800.01</v>
      </c>
      <c r="B1936" s="114" t="n">
        <v>2462080</v>
      </c>
      <c r="C1936" s="114" t="n">
        <v>55413.0600000026</v>
      </c>
    </row>
    <row r="1937" customFormat="false" ht="15" hidden="false" customHeight="true" outlineLevel="0" collapsed="false">
      <c r="A1937" s="115" t="n">
        <v>2462080.01</v>
      </c>
      <c r="B1937" s="115" t="n">
        <v>2463360</v>
      </c>
      <c r="C1937" s="115" t="n">
        <v>55441.7200000026</v>
      </c>
    </row>
    <row r="1938" customFormat="false" ht="15" hidden="false" customHeight="true" outlineLevel="0" collapsed="false">
      <c r="A1938" s="114" t="n">
        <v>2463360.01</v>
      </c>
      <c r="B1938" s="114" t="n">
        <v>2464640</v>
      </c>
      <c r="C1938" s="114" t="n">
        <v>55470.3800000026</v>
      </c>
    </row>
    <row r="1939" customFormat="false" ht="15" hidden="false" customHeight="true" outlineLevel="0" collapsed="false">
      <c r="A1939" s="115" t="n">
        <v>2464640.01</v>
      </c>
      <c r="B1939" s="115" t="n">
        <v>2465920</v>
      </c>
      <c r="C1939" s="115" t="n">
        <v>55499.0400000026</v>
      </c>
    </row>
    <row r="1940" customFormat="false" ht="15" hidden="false" customHeight="true" outlineLevel="0" collapsed="false">
      <c r="A1940" s="114" t="n">
        <v>2465920.01</v>
      </c>
      <c r="B1940" s="114" t="n">
        <v>2467200</v>
      </c>
      <c r="C1940" s="114" t="n">
        <v>55527.7000000026</v>
      </c>
    </row>
    <row r="1941" customFormat="false" ht="15" hidden="false" customHeight="true" outlineLevel="0" collapsed="false">
      <c r="A1941" s="115" t="n">
        <v>2467200.01</v>
      </c>
      <c r="B1941" s="115" t="n">
        <v>2468480</v>
      </c>
      <c r="C1941" s="115" t="n">
        <v>55556.3600000026</v>
      </c>
    </row>
    <row r="1942" customFormat="false" ht="15" hidden="false" customHeight="true" outlineLevel="0" collapsed="false">
      <c r="A1942" s="114" t="n">
        <v>2468480.01</v>
      </c>
      <c r="B1942" s="114" t="n">
        <v>2469760</v>
      </c>
      <c r="C1942" s="114" t="n">
        <v>55585.0200000026</v>
      </c>
    </row>
    <row r="1943" customFormat="false" ht="15" hidden="false" customHeight="true" outlineLevel="0" collapsed="false">
      <c r="A1943" s="115" t="n">
        <v>2469760.01</v>
      </c>
      <c r="B1943" s="115" t="n">
        <v>2471040</v>
      </c>
      <c r="C1943" s="115" t="n">
        <v>55613.6800000026</v>
      </c>
    </row>
    <row r="1944" customFormat="false" ht="15" hidden="false" customHeight="true" outlineLevel="0" collapsed="false">
      <c r="A1944" s="114" t="n">
        <v>2471040.01</v>
      </c>
      <c r="B1944" s="114" t="n">
        <v>2472320</v>
      </c>
      <c r="C1944" s="114" t="n">
        <v>55642.3400000026</v>
      </c>
    </row>
    <row r="1945" customFormat="false" ht="15" hidden="false" customHeight="true" outlineLevel="0" collapsed="false">
      <c r="A1945" s="115" t="n">
        <v>2472320.01</v>
      </c>
      <c r="B1945" s="115" t="n">
        <v>2473600</v>
      </c>
      <c r="C1945" s="115" t="n">
        <v>55671.0000000026</v>
      </c>
    </row>
    <row r="1946" customFormat="false" ht="15" hidden="false" customHeight="true" outlineLevel="0" collapsed="false">
      <c r="A1946" s="114" t="n">
        <v>2473600.01</v>
      </c>
      <c r="B1946" s="114" t="n">
        <v>2474880</v>
      </c>
      <c r="C1946" s="114" t="n">
        <v>55699.6600000026</v>
      </c>
    </row>
    <row r="1947" customFormat="false" ht="15" hidden="false" customHeight="true" outlineLevel="0" collapsed="false">
      <c r="A1947" s="115" t="n">
        <v>2474880.01</v>
      </c>
      <c r="B1947" s="115" t="n">
        <v>2476160</v>
      </c>
      <c r="C1947" s="115" t="n">
        <v>55728.3200000027</v>
      </c>
    </row>
    <row r="1948" customFormat="false" ht="15" hidden="false" customHeight="true" outlineLevel="0" collapsed="false">
      <c r="A1948" s="114" t="n">
        <v>2476160.01</v>
      </c>
      <c r="B1948" s="114" t="n">
        <v>2477440</v>
      </c>
      <c r="C1948" s="114" t="n">
        <v>55756.9800000027</v>
      </c>
    </row>
    <row r="1949" customFormat="false" ht="15" hidden="false" customHeight="true" outlineLevel="0" collapsed="false">
      <c r="A1949" s="115" t="n">
        <v>2477440.01</v>
      </c>
      <c r="B1949" s="115" t="n">
        <v>2478720</v>
      </c>
      <c r="C1949" s="115" t="n">
        <v>55785.6400000027</v>
      </c>
    </row>
    <row r="1950" customFormat="false" ht="15" hidden="false" customHeight="true" outlineLevel="0" collapsed="false">
      <c r="A1950" s="114" t="n">
        <v>2478720.01</v>
      </c>
      <c r="B1950" s="114" t="n">
        <v>2480000</v>
      </c>
      <c r="C1950" s="114" t="n">
        <v>55814.3000000027</v>
      </c>
    </row>
    <row r="1951" customFormat="false" ht="15" hidden="false" customHeight="true" outlineLevel="0" collapsed="false">
      <c r="A1951" s="115" t="n">
        <v>2480000.01</v>
      </c>
      <c r="B1951" s="115" t="n">
        <v>2481280</v>
      </c>
      <c r="C1951" s="115" t="n">
        <v>55842.9600000027</v>
      </c>
    </row>
    <row r="1952" customFormat="false" ht="15" hidden="false" customHeight="true" outlineLevel="0" collapsed="false">
      <c r="A1952" s="114" t="n">
        <v>2481280.01</v>
      </c>
      <c r="B1952" s="114" t="n">
        <v>2482560</v>
      </c>
      <c r="C1952" s="114" t="n">
        <v>55871.6200000027</v>
      </c>
    </row>
    <row r="1953" customFormat="false" ht="15" hidden="false" customHeight="true" outlineLevel="0" collapsed="false">
      <c r="A1953" s="115" t="n">
        <v>2482560.01</v>
      </c>
      <c r="B1953" s="115" t="n">
        <v>2483840</v>
      </c>
      <c r="C1953" s="115" t="n">
        <v>55900.2800000027</v>
      </c>
    </row>
    <row r="1954" customFormat="false" ht="15" hidden="false" customHeight="true" outlineLevel="0" collapsed="false">
      <c r="A1954" s="114" t="n">
        <v>2483840.01</v>
      </c>
      <c r="B1954" s="114" t="n">
        <v>2485120</v>
      </c>
      <c r="C1954" s="114" t="n">
        <v>55928.9400000027</v>
      </c>
    </row>
    <row r="1955" customFormat="false" ht="15" hidden="false" customHeight="true" outlineLevel="0" collapsed="false">
      <c r="A1955" s="115" t="n">
        <v>2485120.01</v>
      </c>
      <c r="B1955" s="115" t="n">
        <v>2486400</v>
      </c>
      <c r="C1955" s="115" t="n">
        <v>55957.6000000027</v>
      </c>
    </row>
    <row r="1956" customFormat="false" ht="15" hidden="false" customHeight="true" outlineLevel="0" collapsed="false">
      <c r="A1956" s="114" t="n">
        <v>2486400.01</v>
      </c>
      <c r="B1956" s="114" t="n">
        <v>2487680</v>
      </c>
      <c r="C1956" s="114" t="n">
        <v>55986.2600000027</v>
      </c>
    </row>
    <row r="1957" customFormat="false" ht="15" hidden="false" customHeight="true" outlineLevel="0" collapsed="false">
      <c r="A1957" s="115" t="n">
        <v>2487680.01</v>
      </c>
      <c r="B1957" s="115" t="n">
        <v>2488960</v>
      </c>
      <c r="C1957" s="115" t="n">
        <v>56014.9200000027</v>
      </c>
    </row>
    <row r="1958" customFormat="false" ht="15" hidden="false" customHeight="true" outlineLevel="0" collapsed="false">
      <c r="A1958" s="114" t="n">
        <v>2488960.01</v>
      </c>
      <c r="B1958" s="114" t="n">
        <v>2490240</v>
      </c>
      <c r="C1958" s="114" t="n">
        <v>56043.5800000027</v>
      </c>
    </row>
    <row r="1959" customFormat="false" ht="15" hidden="false" customHeight="true" outlineLevel="0" collapsed="false">
      <c r="A1959" s="115" t="n">
        <v>2490240.01</v>
      </c>
      <c r="B1959" s="115" t="n">
        <v>2491520</v>
      </c>
      <c r="C1959" s="115" t="n">
        <v>56072.2400000027</v>
      </c>
    </row>
    <row r="1960" customFormat="false" ht="15" hidden="false" customHeight="true" outlineLevel="0" collapsed="false">
      <c r="A1960" s="114" t="n">
        <v>2491520.01</v>
      </c>
      <c r="B1960" s="114" t="n">
        <v>2492800</v>
      </c>
      <c r="C1960" s="114" t="n">
        <v>56100.9000000027</v>
      </c>
    </row>
    <row r="1961" customFormat="false" ht="15" hidden="false" customHeight="true" outlineLevel="0" collapsed="false">
      <c r="A1961" s="115" t="n">
        <v>2492800.01</v>
      </c>
      <c r="B1961" s="115" t="n">
        <v>2494080</v>
      </c>
      <c r="C1961" s="115" t="n">
        <v>56129.5600000027</v>
      </c>
    </row>
    <row r="1962" customFormat="false" ht="15" hidden="false" customHeight="true" outlineLevel="0" collapsed="false">
      <c r="A1962" s="114" t="n">
        <v>2494080.01</v>
      </c>
      <c r="B1962" s="114" t="n">
        <v>2495360</v>
      </c>
      <c r="C1962" s="114" t="n">
        <v>56158.2200000027</v>
      </c>
    </row>
    <row r="1963" customFormat="false" ht="15" hidden="false" customHeight="true" outlineLevel="0" collapsed="false">
      <c r="A1963" s="115" t="n">
        <v>2495360.01</v>
      </c>
      <c r="B1963" s="115" t="n">
        <v>2496640</v>
      </c>
      <c r="C1963" s="115" t="n">
        <v>56186.8800000027</v>
      </c>
    </row>
    <row r="1964" customFormat="false" ht="15" hidden="false" customHeight="true" outlineLevel="0" collapsed="false">
      <c r="A1964" s="114" t="n">
        <v>2496640.01</v>
      </c>
      <c r="B1964" s="114" t="n">
        <v>2497920</v>
      </c>
      <c r="C1964" s="114" t="n">
        <v>56215.5400000027</v>
      </c>
    </row>
    <row r="1965" customFormat="false" ht="15" hidden="false" customHeight="true" outlineLevel="0" collapsed="false">
      <c r="A1965" s="115" t="n">
        <v>2497920.01</v>
      </c>
      <c r="B1965" s="115" t="n">
        <v>2499200</v>
      </c>
      <c r="C1965" s="115" t="n">
        <v>56244.2000000027</v>
      </c>
    </row>
    <row r="1966" customFormat="false" ht="15" hidden="false" customHeight="true" outlineLevel="0" collapsed="false">
      <c r="A1966" s="114" t="n">
        <v>2499200.01</v>
      </c>
      <c r="B1966" s="114" t="n">
        <v>2500480</v>
      </c>
      <c r="C1966" s="114" t="n">
        <v>56272.8600000027</v>
      </c>
    </row>
    <row r="1967" customFormat="false" ht="15" hidden="false" customHeight="true" outlineLevel="0" collapsed="false">
      <c r="A1967" s="115" t="n">
        <v>2500480.01</v>
      </c>
      <c r="B1967" s="115" t="n">
        <v>2501760</v>
      </c>
      <c r="C1967" s="115" t="n">
        <v>56301.5200000027</v>
      </c>
    </row>
    <row r="1968" customFormat="false" ht="15" hidden="false" customHeight="true" outlineLevel="0" collapsed="false">
      <c r="A1968" s="114" t="n">
        <v>2501760.01</v>
      </c>
      <c r="B1968" s="114" t="n">
        <v>2503040</v>
      </c>
      <c r="C1968" s="114" t="n">
        <v>56330.1800000027</v>
      </c>
    </row>
    <row r="1969" customFormat="false" ht="15" hidden="false" customHeight="true" outlineLevel="0" collapsed="false">
      <c r="A1969" s="115" t="n">
        <v>2503040.01</v>
      </c>
      <c r="B1969" s="115" t="n">
        <v>2504320</v>
      </c>
      <c r="C1969" s="115" t="n">
        <v>56358.8400000027</v>
      </c>
    </row>
    <row r="1970" customFormat="false" ht="15" hidden="false" customHeight="true" outlineLevel="0" collapsed="false">
      <c r="A1970" s="114" t="n">
        <v>2504320.01</v>
      </c>
      <c r="B1970" s="114" t="n">
        <v>2505600</v>
      </c>
      <c r="C1970" s="114" t="n">
        <v>56387.5000000027</v>
      </c>
    </row>
    <row r="1971" customFormat="false" ht="15" hidden="false" customHeight="true" outlineLevel="0" collapsed="false">
      <c r="A1971" s="115" t="n">
        <v>2505600.01</v>
      </c>
      <c r="B1971" s="115" t="n">
        <v>2506880</v>
      </c>
      <c r="C1971" s="115" t="n">
        <v>56416.1600000027</v>
      </c>
    </row>
    <row r="1972" customFormat="false" ht="15" hidden="false" customHeight="true" outlineLevel="0" collapsed="false">
      <c r="A1972" s="114" t="n">
        <v>2506880.01</v>
      </c>
      <c r="B1972" s="114" t="n">
        <v>2508160</v>
      </c>
      <c r="C1972" s="114" t="n">
        <v>56444.8200000027</v>
      </c>
    </row>
    <row r="1973" customFormat="false" ht="15" hidden="false" customHeight="true" outlineLevel="0" collapsed="false">
      <c r="A1973" s="115" t="n">
        <v>2508160.01</v>
      </c>
      <c r="B1973" s="115" t="n">
        <v>2509440</v>
      </c>
      <c r="C1973" s="115" t="n">
        <v>56473.4800000027</v>
      </c>
    </row>
    <row r="1974" customFormat="false" ht="15" hidden="false" customHeight="true" outlineLevel="0" collapsed="false">
      <c r="A1974" s="114" t="n">
        <v>2509440.01</v>
      </c>
      <c r="B1974" s="114" t="n">
        <v>2510720</v>
      </c>
      <c r="C1974" s="114" t="n">
        <v>56502.1400000027</v>
      </c>
    </row>
    <row r="1975" customFormat="false" ht="15" hidden="false" customHeight="true" outlineLevel="0" collapsed="false">
      <c r="A1975" s="115" t="n">
        <v>2510720.01</v>
      </c>
      <c r="B1975" s="115" t="n">
        <v>2512000</v>
      </c>
      <c r="C1975" s="115" t="n">
        <v>56530.8000000028</v>
      </c>
    </row>
    <row r="1976" customFormat="false" ht="15" hidden="false" customHeight="true" outlineLevel="0" collapsed="false">
      <c r="A1976" s="114" t="n">
        <v>2512000.01</v>
      </c>
      <c r="B1976" s="114" t="n">
        <v>2513280</v>
      </c>
      <c r="C1976" s="114" t="n">
        <v>56559.4600000028</v>
      </c>
    </row>
    <row r="1977" customFormat="false" ht="15" hidden="false" customHeight="true" outlineLevel="0" collapsed="false">
      <c r="A1977" s="115" t="n">
        <v>2513280.01</v>
      </c>
      <c r="B1977" s="115" t="n">
        <v>2514560</v>
      </c>
      <c r="C1977" s="115" t="n">
        <v>56588.1200000028</v>
      </c>
    </row>
    <row r="1978" customFormat="false" ht="15" hidden="false" customHeight="true" outlineLevel="0" collapsed="false">
      <c r="A1978" s="114" t="n">
        <v>2514560.01</v>
      </c>
      <c r="B1978" s="114" t="n">
        <v>2515840</v>
      </c>
      <c r="C1978" s="114" t="n">
        <v>56616.7800000028</v>
      </c>
    </row>
    <row r="1979" customFormat="false" ht="15" hidden="false" customHeight="true" outlineLevel="0" collapsed="false">
      <c r="A1979" s="115" t="n">
        <v>2515840.01</v>
      </c>
      <c r="B1979" s="115" t="n">
        <v>2517120</v>
      </c>
      <c r="C1979" s="115" t="n">
        <v>56645.4400000028</v>
      </c>
    </row>
    <row r="1980" customFormat="false" ht="15" hidden="false" customHeight="true" outlineLevel="0" collapsed="false">
      <c r="A1980" s="114" t="n">
        <v>2517120.01</v>
      </c>
      <c r="B1980" s="114" t="n">
        <v>2518400</v>
      </c>
      <c r="C1980" s="114" t="n">
        <v>56674.1000000028</v>
      </c>
    </row>
    <row r="1981" customFormat="false" ht="15" hidden="false" customHeight="true" outlineLevel="0" collapsed="false">
      <c r="A1981" s="115" t="n">
        <v>2518400.01</v>
      </c>
      <c r="B1981" s="115" t="n">
        <v>2519680</v>
      </c>
      <c r="C1981" s="115" t="n">
        <v>56702.7600000028</v>
      </c>
    </row>
    <row r="1982" customFormat="false" ht="15" hidden="false" customHeight="true" outlineLevel="0" collapsed="false">
      <c r="A1982" s="114" t="n">
        <v>2519680.01</v>
      </c>
      <c r="B1982" s="114" t="n">
        <v>2520960</v>
      </c>
      <c r="C1982" s="114" t="n">
        <v>56731.4200000028</v>
      </c>
    </row>
    <row r="1983" customFormat="false" ht="15" hidden="false" customHeight="true" outlineLevel="0" collapsed="false">
      <c r="A1983" s="115" t="n">
        <v>2520960.01</v>
      </c>
      <c r="B1983" s="115" t="n">
        <v>2522240</v>
      </c>
      <c r="C1983" s="115" t="n">
        <v>56760.0800000028</v>
      </c>
    </row>
    <row r="1984" customFormat="false" ht="15" hidden="false" customHeight="true" outlineLevel="0" collapsed="false">
      <c r="A1984" s="114" t="n">
        <v>2522240.01</v>
      </c>
      <c r="B1984" s="114" t="n">
        <v>2523520</v>
      </c>
      <c r="C1984" s="114" t="n">
        <v>56788.7400000028</v>
      </c>
    </row>
    <row r="1985" customFormat="false" ht="15" hidden="false" customHeight="true" outlineLevel="0" collapsed="false">
      <c r="A1985" s="115" t="n">
        <v>2523520.01</v>
      </c>
      <c r="B1985" s="115" t="n">
        <v>2524800</v>
      </c>
      <c r="C1985" s="115" t="n">
        <v>56817.4000000028</v>
      </c>
    </row>
    <row r="1986" customFormat="false" ht="15" hidden="false" customHeight="true" outlineLevel="0" collapsed="false">
      <c r="A1986" s="114" t="n">
        <v>2524800.01</v>
      </c>
      <c r="B1986" s="114" t="n">
        <v>2526080</v>
      </c>
      <c r="C1986" s="114" t="n">
        <v>56846.0600000028</v>
      </c>
    </row>
    <row r="1987" customFormat="false" ht="15" hidden="false" customHeight="true" outlineLevel="0" collapsed="false">
      <c r="A1987" s="115" t="n">
        <v>2526080.01</v>
      </c>
      <c r="B1987" s="115" t="n">
        <v>2527360</v>
      </c>
      <c r="C1987" s="115" t="n">
        <v>56874.7200000028</v>
      </c>
    </row>
    <row r="1988" customFormat="false" ht="15" hidden="false" customHeight="true" outlineLevel="0" collapsed="false">
      <c r="A1988" s="114" t="n">
        <v>2527360.01</v>
      </c>
      <c r="B1988" s="114" t="n">
        <v>2528640</v>
      </c>
      <c r="C1988" s="114" t="n">
        <v>56903.3800000028</v>
      </c>
    </row>
    <row r="1989" customFormat="false" ht="15" hidden="false" customHeight="true" outlineLevel="0" collapsed="false">
      <c r="A1989" s="115" t="n">
        <v>2528640.01</v>
      </c>
      <c r="B1989" s="115" t="n">
        <v>2529920</v>
      </c>
      <c r="C1989" s="115" t="n">
        <v>56932.0400000028</v>
      </c>
    </row>
    <row r="1990" customFormat="false" ht="15" hidden="false" customHeight="true" outlineLevel="0" collapsed="false">
      <c r="A1990" s="114" t="n">
        <v>2529920.01</v>
      </c>
      <c r="B1990" s="114" t="n">
        <v>2531200</v>
      </c>
      <c r="C1990" s="114" t="n">
        <v>56960.7000000028</v>
      </c>
    </row>
    <row r="1991" customFormat="false" ht="15" hidden="false" customHeight="true" outlineLevel="0" collapsed="false">
      <c r="A1991" s="115" t="n">
        <v>2531200.01</v>
      </c>
      <c r="B1991" s="115" t="n">
        <v>2532480</v>
      </c>
      <c r="C1991" s="115" t="n">
        <v>56989.3600000028</v>
      </c>
    </row>
    <row r="1992" customFormat="false" ht="15" hidden="false" customHeight="true" outlineLevel="0" collapsed="false">
      <c r="A1992" s="114" t="n">
        <v>2532480.01</v>
      </c>
      <c r="B1992" s="114" t="n">
        <v>2533760</v>
      </c>
      <c r="C1992" s="114" t="n">
        <v>57018.0200000028</v>
      </c>
    </row>
    <row r="1993" customFormat="false" ht="15" hidden="false" customHeight="true" outlineLevel="0" collapsed="false">
      <c r="A1993" s="115" t="n">
        <v>2533760.01</v>
      </c>
      <c r="B1993" s="115" t="n">
        <v>2535040</v>
      </c>
      <c r="C1993" s="115" t="n">
        <v>57046.6800000028</v>
      </c>
    </row>
    <row r="1994" customFormat="false" ht="15" hidden="false" customHeight="true" outlineLevel="0" collapsed="false">
      <c r="A1994" s="114" t="n">
        <v>2535040.01</v>
      </c>
      <c r="B1994" s="114" t="n">
        <v>2536320</v>
      </c>
      <c r="C1994" s="114" t="n">
        <v>57075.3400000028</v>
      </c>
    </row>
    <row r="1995" customFormat="false" ht="15" hidden="false" customHeight="true" outlineLevel="0" collapsed="false">
      <c r="A1995" s="115" t="n">
        <v>2536320.01</v>
      </c>
      <c r="B1995" s="115" t="n">
        <v>2537600</v>
      </c>
      <c r="C1995" s="115" t="n">
        <v>57104.0000000028</v>
      </c>
    </row>
    <row r="1996" customFormat="false" ht="15" hidden="false" customHeight="true" outlineLevel="0" collapsed="false">
      <c r="A1996" s="114" t="n">
        <v>2537600.01</v>
      </c>
      <c r="B1996" s="114" t="n">
        <v>2538880</v>
      </c>
      <c r="C1996" s="114" t="n">
        <v>57132.6600000028</v>
      </c>
    </row>
    <row r="1997" customFormat="false" ht="15" hidden="false" customHeight="true" outlineLevel="0" collapsed="false">
      <c r="A1997" s="115" t="n">
        <v>2538880.01</v>
      </c>
      <c r="B1997" s="115" t="n">
        <v>2540160</v>
      </c>
      <c r="C1997" s="115" t="n">
        <v>57161.3200000028</v>
      </c>
    </row>
    <row r="1998" customFormat="false" ht="15" hidden="false" customHeight="true" outlineLevel="0" collapsed="false">
      <c r="A1998" s="114" t="n">
        <v>2540160.01</v>
      </c>
      <c r="B1998" s="114" t="n">
        <v>2541440</v>
      </c>
      <c r="C1998" s="114" t="n">
        <v>57189.9800000028</v>
      </c>
    </row>
    <row r="1999" customFormat="false" ht="15" hidden="false" customHeight="true" outlineLevel="0" collapsed="false">
      <c r="A1999" s="115" t="n">
        <v>2541440.01</v>
      </c>
      <c r="B1999" s="115" t="n">
        <v>2542720</v>
      </c>
      <c r="C1999" s="115" t="n">
        <v>57218.6400000028</v>
      </c>
    </row>
    <row r="2000" customFormat="false" ht="15" hidden="false" customHeight="true" outlineLevel="0" collapsed="false">
      <c r="A2000" s="114" t="n">
        <v>2542720.01</v>
      </c>
      <c r="B2000" s="114" t="n">
        <v>2544000</v>
      </c>
      <c r="C2000" s="114" t="n">
        <v>57247.3000000028</v>
      </c>
    </row>
    <row r="2001" customFormat="false" ht="15" hidden="false" customHeight="true" outlineLevel="0" collapsed="false">
      <c r="A2001" s="115" t="n">
        <v>2544000.01</v>
      </c>
      <c r="B2001" s="115" t="n">
        <v>2545280</v>
      </c>
      <c r="C2001" s="115" t="n">
        <v>57275.9600000028</v>
      </c>
    </row>
    <row r="2002" customFormat="false" ht="15" hidden="false" customHeight="true" outlineLevel="0" collapsed="false">
      <c r="A2002" s="114" t="n">
        <v>2545280.01</v>
      </c>
      <c r="B2002" s="114" t="n">
        <v>2546560</v>
      </c>
      <c r="C2002" s="114" t="n">
        <v>57304.6200000028</v>
      </c>
    </row>
    <row r="2003" customFormat="false" ht="15" hidden="false" customHeight="true" outlineLevel="0" collapsed="false">
      <c r="A2003" s="115" t="n">
        <v>2546560.01</v>
      </c>
      <c r="B2003" s="115" t="n">
        <v>2547840</v>
      </c>
      <c r="C2003" s="115" t="n">
        <v>57333.2800000028</v>
      </c>
    </row>
    <row r="2004" customFormat="false" ht="15" hidden="false" customHeight="true" outlineLevel="0" collapsed="false">
      <c r="A2004" s="114" t="n">
        <v>2547840.01</v>
      </c>
      <c r="B2004" s="114" t="n">
        <v>2549120</v>
      </c>
      <c r="C2004" s="114" t="n">
        <v>57361.9400000029</v>
      </c>
    </row>
    <row r="2005" customFormat="false" ht="15" hidden="false" customHeight="true" outlineLevel="0" collapsed="false">
      <c r="A2005" s="115" t="n">
        <v>2549120.01</v>
      </c>
      <c r="B2005" s="115" t="n">
        <v>2550400</v>
      </c>
      <c r="C2005" s="115" t="n">
        <v>57390.6000000029</v>
      </c>
    </row>
    <row r="2006" customFormat="false" ht="15" hidden="false" customHeight="true" outlineLevel="0" collapsed="false">
      <c r="A2006" s="114" t="n">
        <v>2550400.01</v>
      </c>
      <c r="B2006" s="114" t="n">
        <v>2551680</v>
      </c>
      <c r="C2006" s="114" t="n">
        <v>57419.2600000029</v>
      </c>
    </row>
    <row r="2007" customFormat="false" ht="15" hidden="false" customHeight="true" outlineLevel="0" collapsed="false">
      <c r="A2007" s="115" t="n">
        <v>2551680.01</v>
      </c>
      <c r="B2007" s="115" t="n">
        <v>2552960</v>
      </c>
      <c r="C2007" s="115" t="n">
        <v>57447.9200000029</v>
      </c>
    </row>
    <row r="2008" customFormat="false" ht="15" hidden="false" customHeight="true" outlineLevel="0" collapsed="false">
      <c r="A2008" s="114" t="n">
        <v>2552960.01</v>
      </c>
      <c r="B2008" s="114" t="n">
        <v>2554240</v>
      </c>
      <c r="C2008" s="114" t="n">
        <v>57476.5800000029</v>
      </c>
    </row>
    <row r="2009" customFormat="false" ht="15" hidden="false" customHeight="true" outlineLevel="0" collapsed="false">
      <c r="A2009" s="115" t="n">
        <v>2554240.01</v>
      </c>
      <c r="B2009" s="115" t="n">
        <v>2555520</v>
      </c>
      <c r="C2009" s="115" t="n">
        <v>57505.2400000029</v>
      </c>
    </row>
    <row r="2010" customFormat="false" ht="15" hidden="false" customHeight="true" outlineLevel="0" collapsed="false">
      <c r="A2010" s="114" t="n">
        <v>2555520.01</v>
      </c>
      <c r="B2010" s="114" t="n">
        <v>2556800</v>
      </c>
      <c r="C2010" s="114" t="n">
        <v>57533.9000000029</v>
      </c>
    </row>
    <row r="2011" customFormat="false" ht="15" hidden="false" customHeight="true" outlineLevel="0" collapsed="false">
      <c r="A2011" s="115" t="n">
        <v>2556800.01</v>
      </c>
      <c r="B2011" s="115" t="n">
        <v>2558080</v>
      </c>
      <c r="C2011" s="115" t="n">
        <v>57562.5600000029</v>
      </c>
    </row>
    <row r="2012" customFormat="false" ht="15" hidden="false" customHeight="true" outlineLevel="0" collapsed="false">
      <c r="A2012" s="114" t="n">
        <v>2558080.01</v>
      </c>
      <c r="B2012" s="114" t="n">
        <v>2559360</v>
      </c>
      <c r="C2012" s="114" t="n">
        <v>57591.2200000029</v>
      </c>
    </row>
    <row r="2013" customFormat="false" ht="15" hidden="false" customHeight="true" outlineLevel="0" collapsed="false">
      <c r="A2013" s="115" t="n">
        <v>2559360.01</v>
      </c>
      <c r="B2013" s="115" t="n">
        <v>2560640</v>
      </c>
      <c r="C2013" s="115" t="n">
        <v>57619.8800000029</v>
      </c>
    </row>
    <row r="2014" customFormat="false" ht="15" hidden="false" customHeight="true" outlineLevel="0" collapsed="false">
      <c r="A2014" s="114" t="n">
        <v>2560640.01</v>
      </c>
      <c r="B2014" s="114" t="n">
        <v>2561920</v>
      </c>
      <c r="C2014" s="114" t="n">
        <v>57648.5400000029</v>
      </c>
    </row>
    <row r="2015" customFormat="false" ht="15" hidden="false" customHeight="true" outlineLevel="0" collapsed="false">
      <c r="A2015" s="115" t="n">
        <v>2561920.01</v>
      </c>
      <c r="B2015" s="115" t="n">
        <v>2563200</v>
      </c>
      <c r="C2015" s="115" t="n">
        <v>57677.2000000029</v>
      </c>
    </row>
    <row r="2016" customFormat="false" ht="15" hidden="false" customHeight="true" outlineLevel="0" collapsed="false">
      <c r="A2016" s="114" t="n">
        <v>2563200.01</v>
      </c>
      <c r="B2016" s="114" t="n">
        <v>2564480</v>
      </c>
      <c r="C2016" s="114" t="n">
        <v>57705.8600000029</v>
      </c>
    </row>
    <row r="2017" customFormat="false" ht="15" hidden="false" customHeight="true" outlineLevel="0" collapsed="false">
      <c r="A2017" s="115" t="n">
        <v>2564480.01</v>
      </c>
      <c r="B2017" s="115" t="n">
        <v>2565760</v>
      </c>
      <c r="C2017" s="115" t="n">
        <v>57734.5200000029</v>
      </c>
    </row>
    <row r="2018" customFormat="false" ht="15" hidden="false" customHeight="true" outlineLevel="0" collapsed="false">
      <c r="A2018" s="114" t="n">
        <v>2565760.01</v>
      </c>
      <c r="B2018" s="114" t="n">
        <v>2567040</v>
      </c>
      <c r="C2018" s="114" t="n">
        <v>57763.1800000029</v>
      </c>
    </row>
    <row r="2019" customFormat="false" ht="15" hidden="false" customHeight="true" outlineLevel="0" collapsed="false">
      <c r="A2019" s="115" t="n">
        <v>2567040.01</v>
      </c>
      <c r="B2019" s="115" t="n">
        <v>2568320</v>
      </c>
      <c r="C2019" s="115" t="n">
        <v>57791.8400000029</v>
      </c>
    </row>
    <row r="2020" customFormat="false" ht="15" hidden="false" customHeight="true" outlineLevel="0" collapsed="false">
      <c r="A2020" s="114" t="n">
        <v>2568320.01</v>
      </c>
      <c r="B2020" s="114" t="n">
        <v>2569600</v>
      </c>
      <c r="C2020" s="114" t="n">
        <v>57820.5000000029</v>
      </c>
    </row>
    <row r="2021" customFormat="false" ht="15" hidden="false" customHeight="true" outlineLevel="0" collapsed="false">
      <c r="A2021" s="115" t="n">
        <v>2569600.01</v>
      </c>
      <c r="B2021" s="115" t="n">
        <v>2570880</v>
      </c>
      <c r="C2021" s="115" t="n">
        <v>57849.1600000029</v>
      </c>
    </row>
    <row r="2022" customFormat="false" ht="15" hidden="false" customHeight="true" outlineLevel="0" collapsed="false">
      <c r="A2022" s="114" t="n">
        <v>2570880.01</v>
      </c>
      <c r="B2022" s="114" t="n">
        <v>2572160</v>
      </c>
      <c r="C2022" s="114" t="n">
        <v>57877.8200000029</v>
      </c>
    </row>
    <row r="2023" customFormat="false" ht="15" hidden="false" customHeight="true" outlineLevel="0" collapsed="false">
      <c r="A2023" s="115" t="n">
        <v>2572160.01</v>
      </c>
      <c r="B2023" s="115" t="n">
        <v>2573440</v>
      </c>
      <c r="C2023" s="115" t="n">
        <v>57906.4800000029</v>
      </c>
    </row>
    <row r="2024" customFormat="false" ht="15" hidden="false" customHeight="true" outlineLevel="0" collapsed="false">
      <c r="A2024" s="114" t="n">
        <v>2573440.01</v>
      </c>
      <c r="B2024" s="114" t="n">
        <v>2574720</v>
      </c>
      <c r="C2024" s="114" t="n">
        <v>57935.1400000029</v>
      </c>
    </row>
    <row r="2025" customFormat="false" ht="15" hidden="false" customHeight="true" outlineLevel="0" collapsed="false">
      <c r="A2025" s="115" t="n">
        <v>2574720.01</v>
      </c>
      <c r="B2025" s="115" t="n">
        <v>2576000</v>
      </c>
      <c r="C2025" s="115" t="n">
        <v>57963.8000000029</v>
      </c>
    </row>
    <row r="2026" customFormat="false" ht="15" hidden="false" customHeight="true" outlineLevel="0" collapsed="false">
      <c r="A2026" s="114" t="n">
        <v>2576000.01</v>
      </c>
      <c r="B2026" s="114" t="n">
        <v>2577280</v>
      </c>
      <c r="C2026" s="114" t="n">
        <v>57992.4600000029</v>
      </c>
    </row>
    <row r="2027" customFormat="false" ht="15" hidden="false" customHeight="true" outlineLevel="0" collapsed="false">
      <c r="A2027" s="115" t="n">
        <v>2577280.01</v>
      </c>
      <c r="B2027" s="115" t="n">
        <v>2578560</v>
      </c>
      <c r="C2027" s="115" t="n">
        <v>58021.1200000029</v>
      </c>
    </row>
    <row r="2028" customFormat="false" ht="15" hidden="false" customHeight="true" outlineLevel="0" collapsed="false">
      <c r="A2028" s="114" t="n">
        <v>2578560.01</v>
      </c>
      <c r="B2028" s="114" t="n">
        <v>2579840</v>
      </c>
      <c r="C2028" s="114" t="n">
        <v>58049.7800000029</v>
      </c>
    </row>
    <row r="2029" customFormat="false" ht="15" hidden="false" customHeight="true" outlineLevel="0" collapsed="false">
      <c r="A2029" s="115" t="n">
        <v>2579840.01</v>
      </c>
      <c r="B2029" s="115" t="n">
        <v>2581120</v>
      </c>
      <c r="C2029" s="115" t="n">
        <v>58078.4400000029</v>
      </c>
    </row>
    <row r="2030" customFormat="false" ht="15" hidden="false" customHeight="true" outlineLevel="0" collapsed="false">
      <c r="A2030" s="114" t="n">
        <v>2581120.01</v>
      </c>
      <c r="B2030" s="114" t="n">
        <v>2582400</v>
      </c>
      <c r="C2030" s="114" t="n">
        <v>58107.1000000029</v>
      </c>
    </row>
    <row r="2031" customFormat="false" ht="15" hidden="false" customHeight="true" outlineLevel="0" collapsed="false">
      <c r="A2031" s="115" t="n">
        <v>2582400.01</v>
      </c>
      <c r="B2031" s="115" t="n">
        <v>2583680</v>
      </c>
      <c r="C2031" s="115" t="n">
        <v>58135.7600000029</v>
      </c>
    </row>
    <row r="2032" customFormat="false" ht="15" hidden="false" customHeight="true" outlineLevel="0" collapsed="false">
      <c r="A2032" s="114" t="n">
        <v>2583680.01</v>
      </c>
      <c r="B2032" s="114" t="n">
        <v>2584960</v>
      </c>
      <c r="C2032" s="114" t="n">
        <v>58164.420000003</v>
      </c>
    </row>
    <row r="2033" customFormat="false" ht="15" hidden="false" customHeight="true" outlineLevel="0" collapsed="false">
      <c r="A2033" s="115" t="n">
        <v>2584960.01</v>
      </c>
      <c r="B2033" s="115" t="n">
        <v>2586240</v>
      </c>
      <c r="C2033" s="115" t="n">
        <v>58193.080000003</v>
      </c>
    </row>
    <row r="2034" customFormat="false" ht="15" hidden="false" customHeight="true" outlineLevel="0" collapsed="false">
      <c r="A2034" s="114" t="n">
        <v>2586240.01</v>
      </c>
      <c r="B2034" s="114" t="n">
        <v>2587520</v>
      </c>
      <c r="C2034" s="114" t="n">
        <v>58221.740000003</v>
      </c>
    </row>
    <row r="2035" customFormat="false" ht="15" hidden="false" customHeight="true" outlineLevel="0" collapsed="false">
      <c r="A2035" s="115" t="n">
        <v>2587520.01</v>
      </c>
      <c r="B2035" s="115" t="n">
        <v>2588800</v>
      </c>
      <c r="C2035" s="115" t="n">
        <v>58250.400000003</v>
      </c>
    </row>
    <row r="2036" customFormat="false" ht="15" hidden="false" customHeight="true" outlineLevel="0" collapsed="false">
      <c r="A2036" s="114" t="n">
        <v>2588800.01</v>
      </c>
      <c r="B2036" s="114" t="n">
        <v>2590080</v>
      </c>
      <c r="C2036" s="114" t="n">
        <v>58279.060000003</v>
      </c>
    </row>
    <row r="2037" customFormat="false" ht="15" hidden="false" customHeight="true" outlineLevel="0" collapsed="false">
      <c r="A2037" s="115" t="n">
        <v>2590080.01</v>
      </c>
      <c r="B2037" s="115" t="n">
        <v>2591360</v>
      </c>
      <c r="C2037" s="115" t="n">
        <v>58307.720000003</v>
      </c>
    </row>
    <row r="2038" customFormat="false" ht="15" hidden="false" customHeight="true" outlineLevel="0" collapsed="false">
      <c r="A2038" s="114" t="n">
        <v>2591360.01</v>
      </c>
      <c r="B2038" s="114" t="n">
        <v>2592640</v>
      </c>
      <c r="C2038" s="114" t="n">
        <v>58336.380000003</v>
      </c>
    </row>
    <row r="2039" customFormat="false" ht="15" hidden="false" customHeight="true" outlineLevel="0" collapsed="false">
      <c r="A2039" s="115" t="n">
        <v>2592640.01</v>
      </c>
      <c r="B2039" s="115" t="n">
        <v>2593920</v>
      </c>
      <c r="C2039" s="115" t="n">
        <v>58365.040000003</v>
      </c>
    </row>
    <row r="2040" customFormat="false" ht="15" hidden="false" customHeight="true" outlineLevel="0" collapsed="false">
      <c r="A2040" s="114" t="n">
        <v>2593920.01</v>
      </c>
      <c r="B2040" s="114" t="n">
        <v>2595200</v>
      </c>
      <c r="C2040" s="114" t="n">
        <v>58393.700000003</v>
      </c>
    </row>
    <row r="2041" customFormat="false" ht="15" hidden="false" customHeight="true" outlineLevel="0" collapsed="false">
      <c r="A2041" s="115" t="n">
        <v>2595200.01</v>
      </c>
      <c r="B2041" s="115" t="n">
        <v>2596480</v>
      </c>
      <c r="C2041" s="115" t="n">
        <v>58422.360000003</v>
      </c>
    </row>
    <row r="2042" customFormat="false" ht="15" hidden="false" customHeight="true" outlineLevel="0" collapsed="false">
      <c r="A2042" s="114" t="n">
        <v>2596480.01</v>
      </c>
      <c r="B2042" s="114" t="n">
        <v>2597760</v>
      </c>
      <c r="C2042" s="114" t="n">
        <v>58451.020000003</v>
      </c>
    </row>
    <row r="2043" customFormat="false" ht="15" hidden="false" customHeight="true" outlineLevel="0" collapsed="false">
      <c r="A2043" s="115" t="n">
        <v>2597760.01</v>
      </c>
      <c r="B2043" s="115" t="n">
        <v>2599040</v>
      </c>
      <c r="C2043" s="115" t="n">
        <v>58479.680000003</v>
      </c>
    </row>
    <row r="2044" customFormat="false" ht="15" hidden="false" customHeight="true" outlineLevel="0" collapsed="false">
      <c r="A2044" s="114" t="n">
        <v>2599040.01</v>
      </c>
      <c r="B2044" s="114" t="n">
        <v>2600320</v>
      </c>
      <c r="C2044" s="114" t="n">
        <v>58508.340000003</v>
      </c>
    </row>
    <row r="2045" customFormat="false" ht="15" hidden="false" customHeight="true" outlineLevel="0" collapsed="false">
      <c r="A2045" s="115" t="n">
        <v>2600320.01</v>
      </c>
      <c r="B2045" s="115" t="n">
        <v>2601600</v>
      </c>
      <c r="C2045" s="115" t="n">
        <v>58537.000000003</v>
      </c>
    </row>
    <row r="2046" customFormat="false" ht="15" hidden="false" customHeight="true" outlineLevel="0" collapsed="false">
      <c r="A2046" s="114" t="n">
        <v>2601600.01</v>
      </c>
      <c r="B2046" s="114" t="n">
        <v>2602880</v>
      </c>
      <c r="C2046" s="114" t="n">
        <v>58565.660000003</v>
      </c>
    </row>
    <row r="2047" customFormat="false" ht="15" hidden="false" customHeight="true" outlineLevel="0" collapsed="false">
      <c r="A2047" s="115" t="n">
        <v>2602880.01</v>
      </c>
      <c r="B2047" s="115" t="n">
        <v>2604160</v>
      </c>
      <c r="C2047" s="115" t="n">
        <v>58594.320000003</v>
      </c>
    </row>
    <row r="2048" customFormat="false" ht="15" hidden="false" customHeight="true" outlineLevel="0" collapsed="false">
      <c r="A2048" s="114" t="n">
        <v>2604160.01</v>
      </c>
      <c r="B2048" s="114" t="n">
        <v>2605440</v>
      </c>
      <c r="C2048" s="114" t="n">
        <v>58622.980000003</v>
      </c>
    </row>
    <row r="2049" customFormat="false" ht="15" hidden="false" customHeight="true" outlineLevel="0" collapsed="false">
      <c r="A2049" s="115" t="n">
        <v>2605440.01</v>
      </c>
      <c r="B2049" s="115" t="n">
        <v>2606720</v>
      </c>
      <c r="C2049" s="115" t="n">
        <v>58651.640000003</v>
      </c>
    </row>
    <row r="2050" customFormat="false" ht="15" hidden="false" customHeight="true" outlineLevel="0" collapsed="false">
      <c r="A2050" s="114" t="n">
        <v>2606720.01</v>
      </c>
      <c r="B2050" s="114" t="n">
        <v>2608000</v>
      </c>
      <c r="C2050" s="114" t="n">
        <v>58680.300000003</v>
      </c>
    </row>
    <row r="2051" customFormat="false" ht="15" hidden="false" customHeight="true" outlineLevel="0" collapsed="false">
      <c r="A2051" s="115" t="n">
        <v>2608000.01</v>
      </c>
      <c r="B2051" s="115" t="n">
        <v>2609280</v>
      </c>
      <c r="C2051" s="115" t="n">
        <v>58708.960000003</v>
      </c>
    </row>
    <row r="2052" customFormat="false" ht="15" hidden="false" customHeight="true" outlineLevel="0" collapsed="false">
      <c r="A2052" s="114" t="n">
        <v>2609280.01</v>
      </c>
      <c r="B2052" s="114" t="n">
        <v>2610560</v>
      </c>
      <c r="C2052" s="114" t="n">
        <v>58737.620000003</v>
      </c>
    </row>
    <row r="2053" customFormat="false" ht="15" hidden="false" customHeight="true" outlineLevel="0" collapsed="false">
      <c r="A2053" s="115" t="n">
        <v>2610560.01</v>
      </c>
      <c r="B2053" s="115" t="n">
        <v>2611840</v>
      </c>
      <c r="C2053" s="115" t="n">
        <v>58766.280000003</v>
      </c>
    </row>
    <row r="2054" customFormat="false" ht="15" hidden="false" customHeight="true" outlineLevel="0" collapsed="false">
      <c r="A2054" s="114" t="n">
        <v>2611840.01</v>
      </c>
      <c r="B2054" s="114" t="n">
        <v>2613120</v>
      </c>
      <c r="C2054" s="114" t="n">
        <v>58794.940000003</v>
      </c>
    </row>
    <row r="2055" customFormat="false" ht="15" hidden="false" customHeight="true" outlineLevel="0" collapsed="false">
      <c r="A2055" s="115" t="n">
        <v>2613120.01</v>
      </c>
      <c r="B2055" s="115" t="n">
        <v>2614400</v>
      </c>
      <c r="C2055" s="115" t="n">
        <v>58823.600000003</v>
      </c>
    </row>
    <row r="2056" customFormat="false" ht="15" hidden="false" customHeight="true" outlineLevel="0" collapsed="false">
      <c r="A2056" s="114" t="n">
        <v>2614400.01</v>
      </c>
      <c r="B2056" s="114" t="n">
        <v>2615680</v>
      </c>
      <c r="C2056" s="114" t="n">
        <v>58852.260000003</v>
      </c>
    </row>
    <row r="2057" customFormat="false" ht="15" hidden="false" customHeight="true" outlineLevel="0" collapsed="false">
      <c r="A2057" s="115" t="n">
        <v>2615680.01</v>
      </c>
      <c r="B2057" s="115" t="n">
        <v>2616960</v>
      </c>
      <c r="C2057" s="115" t="n">
        <v>58880.920000003</v>
      </c>
    </row>
    <row r="2058" customFormat="false" ht="15" hidden="false" customHeight="true" outlineLevel="0" collapsed="false">
      <c r="A2058" s="114" t="n">
        <v>2616960.01</v>
      </c>
      <c r="B2058" s="114" t="n">
        <v>2618240</v>
      </c>
      <c r="C2058" s="114" t="n">
        <v>58909.580000003</v>
      </c>
    </row>
    <row r="2059" customFormat="false" ht="15" hidden="false" customHeight="true" outlineLevel="0" collapsed="false">
      <c r="A2059" s="115" t="n">
        <v>2618240.01</v>
      </c>
      <c r="B2059" s="115" t="n">
        <v>2619520</v>
      </c>
      <c r="C2059" s="115" t="n">
        <v>58938.240000003</v>
      </c>
    </row>
    <row r="2060" customFormat="false" ht="15" hidden="false" customHeight="true" outlineLevel="0" collapsed="false">
      <c r="A2060" s="114" t="n">
        <v>2619520.01</v>
      </c>
      <c r="B2060" s="114" t="n">
        <v>2620800</v>
      </c>
      <c r="C2060" s="114" t="n">
        <v>58966.900000003</v>
      </c>
    </row>
    <row r="2061" customFormat="false" ht="15" hidden="false" customHeight="true" outlineLevel="0" collapsed="false">
      <c r="A2061" s="115" t="n">
        <v>2620800.01</v>
      </c>
      <c r="B2061" s="115" t="n">
        <v>2622080</v>
      </c>
      <c r="C2061" s="115" t="n">
        <v>58995.5600000031</v>
      </c>
    </row>
    <row r="2062" customFormat="false" ht="15" hidden="false" customHeight="true" outlineLevel="0" collapsed="false">
      <c r="A2062" s="114" t="n">
        <v>2622080.01</v>
      </c>
      <c r="B2062" s="114" t="n">
        <v>2623360</v>
      </c>
      <c r="C2062" s="114" t="n">
        <v>59024.2200000031</v>
      </c>
    </row>
    <row r="2063" customFormat="false" ht="15" hidden="false" customHeight="true" outlineLevel="0" collapsed="false">
      <c r="A2063" s="115" t="n">
        <v>2623360.01</v>
      </c>
      <c r="B2063" s="115" t="n">
        <v>2624640</v>
      </c>
      <c r="C2063" s="115" t="n">
        <v>59052.8800000031</v>
      </c>
    </row>
    <row r="2064" customFormat="false" ht="15" hidden="false" customHeight="true" outlineLevel="0" collapsed="false">
      <c r="A2064" s="114" t="n">
        <v>2624640.01</v>
      </c>
      <c r="B2064" s="114" t="n">
        <v>2625920</v>
      </c>
      <c r="C2064" s="114" t="n">
        <v>59081.5400000031</v>
      </c>
    </row>
    <row r="2065" customFormat="false" ht="15" hidden="false" customHeight="true" outlineLevel="0" collapsed="false">
      <c r="A2065" s="115" t="n">
        <v>2625920.01</v>
      </c>
      <c r="B2065" s="115" t="n">
        <v>2627200</v>
      </c>
      <c r="C2065" s="115" t="n">
        <v>59110.2000000031</v>
      </c>
    </row>
    <row r="2066" customFormat="false" ht="15" hidden="false" customHeight="true" outlineLevel="0" collapsed="false">
      <c r="A2066" s="114" t="n">
        <v>2627200.01</v>
      </c>
      <c r="B2066" s="114" t="n">
        <v>2628480</v>
      </c>
      <c r="C2066" s="114" t="n">
        <v>59138.8600000031</v>
      </c>
    </row>
    <row r="2067" customFormat="false" ht="15" hidden="false" customHeight="true" outlineLevel="0" collapsed="false">
      <c r="A2067" s="115" t="n">
        <v>2628480.01</v>
      </c>
      <c r="B2067" s="115" t="n">
        <v>2629760</v>
      </c>
      <c r="C2067" s="115" t="n">
        <v>59167.5200000031</v>
      </c>
    </row>
    <row r="2068" customFormat="false" ht="15" hidden="false" customHeight="true" outlineLevel="0" collapsed="false">
      <c r="A2068" s="114" t="n">
        <v>2629760.01</v>
      </c>
      <c r="B2068" s="114" t="n">
        <v>2631040</v>
      </c>
      <c r="C2068" s="114" t="n">
        <v>59196.1800000031</v>
      </c>
    </row>
    <row r="2069" customFormat="false" ht="15" hidden="false" customHeight="true" outlineLevel="0" collapsed="false">
      <c r="A2069" s="115" t="n">
        <v>2631040.01</v>
      </c>
      <c r="B2069" s="115" t="n">
        <v>2632320</v>
      </c>
      <c r="C2069" s="115" t="n">
        <v>59224.8400000031</v>
      </c>
    </row>
    <row r="2070" customFormat="false" ht="15" hidden="false" customHeight="true" outlineLevel="0" collapsed="false">
      <c r="A2070" s="114" t="n">
        <v>2632320.01</v>
      </c>
      <c r="B2070" s="114" t="n">
        <v>2633600</v>
      </c>
      <c r="C2070" s="114" t="n">
        <v>59253.5000000031</v>
      </c>
    </row>
    <row r="2071" customFormat="false" ht="15" hidden="false" customHeight="true" outlineLevel="0" collapsed="false">
      <c r="A2071" s="115" t="n">
        <v>2633600.01</v>
      </c>
      <c r="B2071" s="115" t="n">
        <v>2634880</v>
      </c>
      <c r="C2071" s="115" t="n">
        <v>59282.1600000031</v>
      </c>
    </row>
    <row r="2072" customFormat="false" ht="15" hidden="false" customHeight="true" outlineLevel="0" collapsed="false">
      <c r="A2072" s="114" t="n">
        <v>2634880.01</v>
      </c>
      <c r="B2072" s="114" t="n">
        <v>2636160</v>
      </c>
      <c r="C2072" s="114" t="n">
        <v>59310.8200000031</v>
      </c>
    </row>
    <row r="2073" customFormat="false" ht="15" hidden="false" customHeight="true" outlineLevel="0" collapsed="false">
      <c r="A2073" s="115" t="n">
        <v>2636160.01</v>
      </c>
      <c r="B2073" s="115" t="n">
        <v>2637440</v>
      </c>
      <c r="C2073" s="115" t="n">
        <v>59339.4800000031</v>
      </c>
    </row>
    <row r="2074" customFormat="false" ht="15" hidden="false" customHeight="true" outlineLevel="0" collapsed="false">
      <c r="A2074" s="114" t="n">
        <v>2637440.01</v>
      </c>
      <c r="B2074" s="114" t="n">
        <v>2638720</v>
      </c>
      <c r="C2074" s="114" t="n">
        <v>59368.1400000031</v>
      </c>
    </row>
    <row r="2075" customFormat="false" ht="15" hidden="false" customHeight="true" outlineLevel="0" collapsed="false">
      <c r="A2075" s="115" t="n">
        <v>2638720.01</v>
      </c>
      <c r="B2075" s="115" t="n">
        <v>2640000</v>
      </c>
      <c r="C2075" s="115" t="n">
        <v>59396.8000000031</v>
      </c>
    </row>
    <row r="2076" customFormat="false" ht="15" hidden="false" customHeight="true" outlineLevel="0" collapsed="false">
      <c r="A2076" s="114" t="n">
        <v>2640000.01</v>
      </c>
      <c r="B2076" s="114" t="n">
        <v>2641280</v>
      </c>
      <c r="C2076" s="114" t="n">
        <v>59425.4600000031</v>
      </c>
    </row>
    <row r="2077" customFormat="false" ht="15" hidden="false" customHeight="true" outlineLevel="0" collapsed="false">
      <c r="A2077" s="115" t="n">
        <v>2641280.01</v>
      </c>
      <c r="B2077" s="115" t="n">
        <v>2642560</v>
      </c>
      <c r="C2077" s="115" t="n">
        <v>59454.1200000031</v>
      </c>
    </row>
    <row r="2078" customFormat="false" ht="15" hidden="false" customHeight="true" outlineLevel="0" collapsed="false">
      <c r="A2078" s="114" t="n">
        <v>2642560.01</v>
      </c>
      <c r="B2078" s="114" t="n">
        <v>2643840</v>
      </c>
      <c r="C2078" s="114" t="n">
        <v>59482.7800000031</v>
      </c>
    </row>
    <row r="2079" customFormat="false" ht="15" hidden="false" customHeight="true" outlineLevel="0" collapsed="false">
      <c r="A2079" s="115" t="n">
        <v>2643840.01</v>
      </c>
      <c r="B2079" s="115" t="n">
        <v>2645120</v>
      </c>
      <c r="C2079" s="115" t="n">
        <v>59511.4400000031</v>
      </c>
    </row>
    <row r="2080" customFormat="false" ht="15" hidden="false" customHeight="true" outlineLevel="0" collapsed="false">
      <c r="A2080" s="114" t="n">
        <v>2645120.01</v>
      </c>
      <c r="B2080" s="114" t="n">
        <v>2646400</v>
      </c>
      <c r="C2080" s="114" t="n">
        <v>59540.1000000031</v>
      </c>
    </row>
    <row r="2081" customFormat="false" ht="15" hidden="false" customHeight="true" outlineLevel="0" collapsed="false">
      <c r="A2081" s="115" t="n">
        <v>2646400.01</v>
      </c>
      <c r="B2081" s="115" t="n">
        <v>2647680</v>
      </c>
      <c r="C2081" s="115" t="n">
        <v>59568.7600000031</v>
      </c>
    </row>
    <row r="2082" customFormat="false" ht="15" hidden="false" customHeight="true" outlineLevel="0" collapsed="false">
      <c r="A2082" s="114" t="n">
        <v>2647680.01</v>
      </c>
      <c r="B2082" s="114" t="n">
        <v>2648960</v>
      </c>
      <c r="C2082" s="114" t="n">
        <v>59597.4200000031</v>
      </c>
    </row>
    <row r="2083" customFormat="false" ht="15" hidden="false" customHeight="true" outlineLevel="0" collapsed="false">
      <c r="A2083" s="115" t="n">
        <v>2648960.01</v>
      </c>
      <c r="B2083" s="115" t="n">
        <v>2650240</v>
      </c>
      <c r="C2083" s="115" t="n">
        <v>59626.0800000031</v>
      </c>
    </row>
    <row r="2084" customFormat="false" ht="15" hidden="false" customHeight="true" outlineLevel="0" collapsed="false">
      <c r="A2084" s="114" t="n">
        <v>2650240.01</v>
      </c>
      <c r="B2084" s="114" t="n">
        <v>2651520</v>
      </c>
      <c r="C2084" s="114" t="n">
        <v>59654.7400000031</v>
      </c>
    </row>
    <row r="2085" customFormat="false" ht="15" hidden="false" customHeight="true" outlineLevel="0" collapsed="false">
      <c r="A2085" s="115" t="n">
        <v>2651520.01</v>
      </c>
      <c r="B2085" s="115" t="n">
        <v>2652800</v>
      </c>
      <c r="C2085" s="115" t="n">
        <v>59683.4000000031</v>
      </c>
    </row>
    <row r="2086" customFormat="false" ht="15" hidden="false" customHeight="true" outlineLevel="0" collapsed="false">
      <c r="A2086" s="114" t="n">
        <v>2652800.01</v>
      </c>
      <c r="B2086" s="114" t="n">
        <v>2654080</v>
      </c>
      <c r="C2086" s="114" t="n">
        <v>59712.0600000031</v>
      </c>
    </row>
    <row r="2087" customFormat="false" ht="15" hidden="false" customHeight="true" outlineLevel="0" collapsed="false">
      <c r="A2087" s="115" t="n">
        <v>2654080.01</v>
      </c>
      <c r="B2087" s="115" t="n">
        <v>2655360</v>
      </c>
      <c r="C2087" s="115" t="n">
        <v>59740.7200000031</v>
      </c>
    </row>
    <row r="2088" customFormat="false" ht="15" hidden="false" customHeight="true" outlineLevel="0" collapsed="false">
      <c r="A2088" s="114" t="n">
        <v>2655360.01</v>
      </c>
      <c r="B2088" s="114" t="n">
        <v>2656640</v>
      </c>
      <c r="C2088" s="114" t="n">
        <v>59769.3800000031</v>
      </c>
    </row>
    <row r="2089" customFormat="false" ht="15" hidden="false" customHeight="true" outlineLevel="0" collapsed="false">
      <c r="A2089" s="115" t="n">
        <v>2656640.01</v>
      </c>
      <c r="B2089" s="115" t="n">
        <v>2657920</v>
      </c>
      <c r="C2089" s="115" t="n">
        <v>59798.0400000031</v>
      </c>
    </row>
    <row r="2090" customFormat="false" ht="15" hidden="false" customHeight="true" outlineLevel="0" collapsed="false">
      <c r="A2090" s="114" t="n">
        <v>2657920.01</v>
      </c>
      <c r="B2090" s="114" t="n">
        <v>2659200</v>
      </c>
      <c r="C2090" s="114" t="n">
        <v>59826.7000000032</v>
      </c>
    </row>
    <row r="2091" customFormat="false" ht="15" hidden="false" customHeight="true" outlineLevel="0" collapsed="false">
      <c r="A2091" s="115" t="n">
        <v>2659200.01</v>
      </c>
      <c r="B2091" s="115" t="n">
        <v>2660480</v>
      </c>
      <c r="C2091" s="115" t="n">
        <v>59855.3600000032</v>
      </c>
    </row>
    <row r="2092" customFormat="false" ht="15" hidden="false" customHeight="true" outlineLevel="0" collapsed="false">
      <c r="A2092" s="114" t="n">
        <v>2660480.01</v>
      </c>
      <c r="B2092" s="114" t="n">
        <v>2661760</v>
      </c>
      <c r="C2092" s="114" t="n">
        <v>59884.0200000032</v>
      </c>
    </row>
    <row r="2093" customFormat="false" ht="15" hidden="false" customHeight="true" outlineLevel="0" collapsed="false">
      <c r="A2093" s="115" t="n">
        <v>2661760.01</v>
      </c>
      <c r="B2093" s="115" t="n">
        <v>2663040</v>
      </c>
      <c r="C2093" s="115" t="n">
        <v>59912.6800000032</v>
      </c>
    </row>
    <row r="2094" customFormat="false" ht="15" hidden="false" customHeight="true" outlineLevel="0" collapsed="false">
      <c r="A2094" s="114" t="n">
        <v>2663040.01</v>
      </c>
      <c r="B2094" s="114" t="n">
        <v>2664320</v>
      </c>
      <c r="C2094" s="114" t="n">
        <v>59941.3400000032</v>
      </c>
    </row>
    <row r="2095" customFormat="false" ht="15" hidden="false" customHeight="true" outlineLevel="0" collapsed="false">
      <c r="A2095" s="115" t="n">
        <v>2664320.01</v>
      </c>
      <c r="B2095" s="115" t="n">
        <v>2665600</v>
      </c>
      <c r="C2095" s="115" t="n">
        <v>59970.0000000032</v>
      </c>
    </row>
    <row r="2096" customFormat="false" ht="15" hidden="false" customHeight="true" outlineLevel="0" collapsed="false">
      <c r="A2096" s="114" t="n">
        <v>2665600.01</v>
      </c>
      <c r="B2096" s="114" t="n">
        <v>2666880</v>
      </c>
      <c r="C2096" s="114" t="n">
        <v>59998.6600000032</v>
      </c>
    </row>
    <row r="2097" customFormat="false" ht="15" hidden="false" customHeight="true" outlineLevel="0" collapsed="false">
      <c r="A2097" s="115" t="n">
        <v>2666880.01</v>
      </c>
      <c r="B2097" s="115" t="n">
        <v>2668160</v>
      </c>
      <c r="C2097" s="115" t="n">
        <v>60027.3200000032</v>
      </c>
    </row>
    <row r="2098" customFormat="false" ht="15" hidden="false" customHeight="true" outlineLevel="0" collapsed="false">
      <c r="A2098" s="114" t="n">
        <v>2668160.01</v>
      </c>
      <c r="B2098" s="114" t="n">
        <v>2669440</v>
      </c>
      <c r="C2098" s="114" t="n">
        <v>60055.9800000032</v>
      </c>
    </row>
    <row r="2099" customFormat="false" ht="15" hidden="false" customHeight="true" outlineLevel="0" collapsed="false">
      <c r="A2099" s="115" t="n">
        <v>2669440.01</v>
      </c>
      <c r="B2099" s="115" t="n">
        <v>2670720</v>
      </c>
      <c r="C2099" s="115" t="n">
        <v>60084.6400000032</v>
      </c>
    </row>
    <row r="2100" customFormat="false" ht="15" hidden="false" customHeight="true" outlineLevel="0" collapsed="false">
      <c r="A2100" s="114" t="n">
        <v>2670720.01</v>
      </c>
      <c r="B2100" s="114" t="n">
        <v>2672000</v>
      </c>
      <c r="C2100" s="114" t="n">
        <v>60113.3000000032</v>
      </c>
    </row>
    <row r="2101" customFormat="false" ht="15" hidden="false" customHeight="true" outlineLevel="0" collapsed="false">
      <c r="A2101" s="115" t="n">
        <v>2672000.01</v>
      </c>
      <c r="B2101" s="115" t="n">
        <v>2673280</v>
      </c>
      <c r="C2101" s="115" t="n">
        <v>60141.9600000032</v>
      </c>
    </row>
    <row r="2102" customFormat="false" ht="15" hidden="false" customHeight="true" outlineLevel="0" collapsed="false">
      <c r="A2102" s="114" t="n">
        <v>2673280.01</v>
      </c>
      <c r="B2102" s="114" t="n">
        <v>2674560</v>
      </c>
      <c r="C2102" s="114" t="n">
        <v>60170.6200000032</v>
      </c>
    </row>
    <row r="2103" customFormat="false" ht="15" hidden="false" customHeight="true" outlineLevel="0" collapsed="false">
      <c r="A2103" s="115" t="n">
        <v>2674560.01</v>
      </c>
      <c r="B2103" s="115" t="n">
        <v>2675840</v>
      </c>
      <c r="C2103" s="115" t="n">
        <v>60199.2800000032</v>
      </c>
    </row>
    <row r="2104" customFormat="false" ht="15" hidden="false" customHeight="true" outlineLevel="0" collapsed="false">
      <c r="A2104" s="114" t="n">
        <v>2675840.01</v>
      </c>
      <c r="B2104" s="114" t="n">
        <v>2677120</v>
      </c>
      <c r="C2104" s="114" t="n">
        <v>60227.9400000032</v>
      </c>
    </row>
    <row r="2105" customFormat="false" ht="15" hidden="false" customHeight="true" outlineLevel="0" collapsed="false">
      <c r="A2105" s="115" t="n">
        <v>2677120.01</v>
      </c>
      <c r="B2105" s="115" t="n">
        <v>2678400</v>
      </c>
      <c r="C2105" s="115" t="n">
        <v>60256.6000000032</v>
      </c>
    </row>
    <row r="2106" customFormat="false" ht="15" hidden="false" customHeight="true" outlineLevel="0" collapsed="false">
      <c r="A2106" s="114" t="n">
        <v>2678400.01</v>
      </c>
      <c r="B2106" s="114" t="n">
        <v>2679680</v>
      </c>
      <c r="C2106" s="114" t="n">
        <v>60285.2600000032</v>
      </c>
    </row>
    <row r="2107" customFormat="false" ht="15" hidden="false" customHeight="true" outlineLevel="0" collapsed="false">
      <c r="A2107" s="115" t="n">
        <v>2679680.01</v>
      </c>
      <c r="B2107" s="115" t="n">
        <v>2680960</v>
      </c>
      <c r="C2107" s="115" t="n">
        <v>60313.9200000032</v>
      </c>
    </row>
    <row r="2108" customFormat="false" ht="15" hidden="false" customHeight="true" outlineLevel="0" collapsed="false">
      <c r="A2108" s="114" t="n">
        <v>2680960.01</v>
      </c>
      <c r="B2108" s="114" t="n">
        <v>2682240</v>
      </c>
      <c r="C2108" s="114" t="n">
        <v>60342.5800000032</v>
      </c>
    </row>
    <row r="2109" customFormat="false" ht="15" hidden="false" customHeight="true" outlineLevel="0" collapsed="false">
      <c r="A2109" s="115" t="n">
        <v>2682240.01</v>
      </c>
      <c r="B2109" s="115" t="n">
        <v>2683520</v>
      </c>
      <c r="C2109" s="115" t="n">
        <v>60371.2400000032</v>
      </c>
    </row>
    <row r="2110" customFormat="false" ht="15" hidden="false" customHeight="true" outlineLevel="0" collapsed="false">
      <c r="A2110" s="114" t="n">
        <v>2683520.01</v>
      </c>
      <c r="B2110" s="114" t="n">
        <v>2684800</v>
      </c>
      <c r="C2110" s="114" t="n">
        <v>60399.9000000032</v>
      </c>
    </row>
    <row r="2111" customFormat="false" ht="15" hidden="false" customHeight="true" outlineLevel="0" collapsed="false">
      <c r="A2111" s="115" t="n">
        <v>2684800.01</v>
      </c>
      <c r="B2111" s="115" t="n">
        <v>2686080</v>
      </c>
      <c r="C2111" s="115" t="n">
        <v>60428.5600000032</v>
      </c>
    </row>
    <row r="2112" customFormat="false" ht="15" hidden="false" customHeight="true" outlineLevel="0" collapsed="false">
      <c r="A2112" s="114" t="n">
        <v>2686080.01</v>
      </c>
      <c r="B2112" s="114" t="n">
        <v>2687360</v>
      </c>
      <c r="C2112" s="114" t="n">
        <v>60457.2200000032</v>
      </c>
    </row>
    <row r="2113" customFormat="false" ht="15" hidden="false" customHeight="true" outlineLevel="0" collapsed="false">
      <c r="A2113" s="115" t="n">
        <v>2687360.01</v>
      </c>
      <c r="B2113" s="115" t="n">
        <v>2688640</v>
      </c>
      <c r="C2113" s="115" t="n">
        <v>60485.8800000032</v>
      </c>
    </row>
    <row r="2114" customFormat="false" ht="15" hidden="false" customHeight="true" outlineLevel="0" collapsed="false">
      <c r="A2114" s="114" t="n">
        <v>2688640.01</v>
      </c>
      <c r="B2114" s="114" t="n">
        <v>2689920</v>
      </c>
      <c r="C2114" s="114" t="n">
        <v>60514.5400000032</v>
      </c>
    </row>
    <row r="2115" customFormat="false" ht="15" hidden="false" customHeight="true" outlineLevel="0" collapsed="false">
      <c r="A2115" s="115" t="n">
        <v>2689920.01</v>
      </c>
      <c r="B2115" s="115" t="n">
        <v>2691200</v>
      </c>
      <c r="C2115" s="115" t="n">
        <v>60543.2000000032</v>
      </c>
    </row>
    <row r="2116" customFormat="false" ht="15" hidden="false" customHeight="true" outlineLevel="0" collapsed="false">
      <c r="A2116" s="114" t="n">
        <v>2691200.01</v>
      </c>
      <c r="B2116" s="114" t="n">
        <v>2692480</v>
      </c>
      <c r="C2116" s="114" t="n">
        <v>60571.8600000032</v>
      </c>
    </row>
    <row r="2117" customFormat="false" ht="15" hidden="false" customHeight="true" outlineLevel="0" collapsed="false">
      <c r="A2117" s="115" t="n">
        <v>2692480.01</v>
      </c>
      <c r="B2117" s="115" t="n">
        <v>2693760</v>
      </c>
      <c r="C2117" s="115" t="n">
        <v>60600.5200000032</v>
      </c>
    </row>
    <row r="2118" customFormat="false" ht="15" hidden="false" customHeight="true" outlineLevel="0" collapsed="false">
      <c r="A2118" s="114" t="n">
        <v>2693760.01</v>
      </c>
      <c r="B2118" s="114" t="n">
        <v>2695040</v>
      </c>
      <c r="C2118" s="114" t="n">
        <v>60629.1800000033</v>
      </c>
    </row>
    <row r="2119" customFormat="false" ht="15" hidden="false" customHeight="true" outlineLevel="0" collapsed="false">
      <c r="A2119" s="115" t="n">
        <v>2695040.01</v>
      </c>
      <c r="B2119" s="115" t="n">
        <v>2696320</v>
      </c>
      <c r="C2119" s="115" t="n">
        <v>60657.8400000033</v>
      </c>
    </row>
    <row r="2120" customFormat="false" ht="15" hidden="false" customHeight="true" outlineLevel="0" collapsed="false">
      <c r="A2120" s="114" t="n">
        <v>2696320.01</v>
      </c>
      <c r="B2120" s="114" t="n">
        <v>2697600</v>
      </c>
      <c r="C2120" s="114" t="n">
        <v>60686.5000000033</v>
      </c>
    </row>
    <row r="2121" customFormat="false" ht="15" hidden="false" customHeight="true" outlineLevel="0" collapsed="false">
      <c r="A2121" s="115" t="n">
        <v>2697600.01</v>
      </c>
      <c r="B2121" s="115" t="n">
        <v>2698880</v>
      </c>
      <c r="C2121" s="115" t="n">
        <v>60715.1600000033</v>
      </c>
    </row>
    <row r="2122" customFormat="false" ht="15" hidden="false" customHeight="true" outlineLevel="0" collapsed="false">
      <c r="A2122" s="114" t="n">
        <v>2698880.01</v>
      </c>
      <c r="B2122" s="114" t="n">
        <v>2700160</v>
      </c>
      <c r="C2122" s="114" t="n">
        <v>60743.8200000033</v>
      </c>
    </row>
    <row r="2123" customFormat="false" ht="15" hidden="false" customHeight="true" outlineLevel="0" collapsed="false">
      <c r="A2123" s="115" t="n">
        <v>2700160.01</v>
      </c>
      <c r="B2123" s="115" t="n">
        <v>2701440</v>
      </c>
      <c r="C2123" s="115" t="n">
        <v>60772.4800000033</v>
      </c>
    </row>
    <row r="2124" customFormat="false" ht="15" hidden="false" customHeight="true" outlineLevel="0" collapsed="false">
      <c r="A2124" s="114" t="n">
        <v>2701440.01</v>
      </c>
      <c r="B2124" s="114" t="n">
        <v>2702720</v>
      </c>
      <c r="C2124" s="114" t="n">
        <v>60801.1400000033</v>
      </c>
    </row>
    <row r="2125" customFormat="false" ht="15" hidden="false" customHeight="true" outlineLevel="0" collapsed="false">
      <c r="A2125" s="115" t="n">
        <v>2702720.01</v>
      </c>
      <c r="B2125" s="115" t="n">
        <v>2704000</v>
      </c>
      <c r="C2125" s="115" t="n">
        <v>60829.8000000033</v>
      </c>
    </row>
    <row r="2126" customFormat="false" ht="15" hidden="false" customHeight="true" outlineLevel="0" collapsed="false">
      <c r="A2126" s="114" t="n">
        <v>2704000.01</v>
      </c>
      <c r="B2126" s="114" t="n">
        <v>2705280</v>
      </c>
      <c r="C2126" s="114" t="n">
        <v>60858.4600000033</v>
      </c>
    </row>
    <row r="2127" customFormat="false" ht="15" hidden="false" customHeight="true" outlineLevel="0" collapsed="false">
      <c r="A2127" s="115" t="n">
        <v>2705280.01</v>
      </c>
      <c r="B2127" s="115" t="n">
        <v>2706560</v>
      </c>
      <c r="C2127" s="115" t="n">
        <v>60887.1200000033</v>
      </c>
    </row>
    <row r="2128" customFormat="false" ht="15" hidden="false" customHeight="true" outlineLevel="0" collapsed="false">
      <c r="A2128" s="114" t="n">
        <v>2706560.01</v>
      </c>
      <c r="B2128" s="114" t="n">
        <v>2707840</v>
      </c>
      <c r="C2128" s="114" t="n">
        <v>60915.7800000033</v>
      </c>
    </row>
    <row r="2129" customFormat="false" ht="15" hidden="false" customHeight="true" outlineLevel="0" collapsed="false">
      <c r="A2129" s="115" t="n">
        <v>2707840.01</v>
      </c>
      <c r="B2129" s="115" t="n">
        <v>2709120</v>
      </c>
      <c r="C2129" s="115" t="n">
        <v>60944.4400000033</v>
      </c>
    </row>
    <row r="2130" customFormat="false" ht="15" hidden="false" customHeight="true" outlineLevel="0" collapsed="false">
      <c r="A2130" s="114" t="n">
        <v>2709120.01</v>
      </c>
      <c r="B2130" s="114" t="n">
        <v>2710400</v>
      </c>
      <c r="C2130" s="114" t="n">
        <v>60973.1000000033</v>
      </c>
    </row>
    <row r="2131" customFormat="false" ht="15" hidden="false" customHeight="true" outlineLevel="0" collapsed="false">
      <c r="A2131" s="115" t="n">
        <v>2710400.01</v>
      </c>
      <c r="B2131" s="115" t="n">
        <v>2711680</v>
      </c>
      <c r="C2131" s="115" t="n">
        <v>61001.7600000033</v>
      </c>
    </row>
    <row r="2132" customFormat="false" ht="15" hidden="false" customHeight="true" outlineLevel="0" collapsed="false">
      <c r="A2132" s="114" t="n">
        <v>2711680.01</v>
      </c>
      <c r="B2132" s="114" t="n">
        <v>2712960</v>
      </c>
      <c r="C2132" s="114" t="n">
        <v>61030.4200000033</v>
      </c>
    </row>
    <row r="2133" customFormat="false" ht="15" hidden="false" customHeight="true" outlineLevel="0" collapsed="false">
      <c r="A2133" s="115" t="n">
        <v>2712960.01</v>
      </c>
      <c r="B2133" s="115" t="n">
        <v>2714240</v>
      </c>
      <c r="C2133" s="115" t="n">
        <v>61059.0800000033</v>
      </c>
    </row>
    <row r="2134" customFormat="false" ht="15" hidden="false" customHeight="true" outlineLevel="0" collapsed="false">
      <c r="A2134" s="114" t="n">
        <v>2714240.01</v>
      </c>
      <c r="B2134" s="114" t="n">
        <v>2715520</v>
      </c>
      <c r="C2134" s="114" t="n">
        <v>61087.7400000033</v>
      </c>
    </row>
    <row r="2135" customFormat="false" ht="15" hidden="false" customHeight="true" outlineLevel="0" collapsed="false">
      <c r="A2135" s="115" t="n">
        <v>2715520.01</v>
      </c>
      <c r="B2135" s="115" t="n">
        <v>2716800</v>
      </c>
      <c r="C2135" s="115" t="n">
        <v>61116.4000000033</v>
      </c>
    </row>
    <row r="2136" customFormat="false" ht="15" hidden="false" customHeight="true" outlineLevel="0" collapsed="false">
      <c r="A2136" s="114" t="n">
        <v>2716800.01</v>
      </c>
      <c r="B2136" s="114" t="n">
        <v>2718080</v>
      </c>
      <c r="C2136" s="114" t="n">
        <v>61145.0600000033</v>
      </c>
    </row>
    <row r="2137" customFormat="false" ht="15" hidden="false" customHeight="true" outlineLevel="0" collapsed="false">
      <c r="A2137" s="115" t="n">
        <v>2718080.01</v>
      </c>
      <c r="B2137" s="115" t="n">
        <v>2719360</v>
      </c>
      <c r="C2137" s="115" t="n">
        <v>61173.7200000033</v>
      </c>
    </row>
    <row r="2138" customFormat="false" ht="15" hidden="false" customHeight="true" outlineLevel="0" collapsed="false">
      <c r="A2138" s="114" t="n">
        <v>2719360.01</v>
      </c>
      <c r="B2138" s="114" t="n">
        <v>2720640</v>
      </c>
      <c r="C2138" s="114" t="n">
        <v>61202.3800000033</v>
      </c>
    </row>
    <row r="2139" customFormat="false" ht="15" hidden="false" customHeight="true" outlineLevel="0" collapsed="false">
      <c r="A2139" s="115" t="n">
        <v>2720640.01</v>
      </c>
      <c r="B2139" s="115" t="n">
        <v>2721920</v>
      </c>
      <c r="C2139" s="115" t="n">
        <v>61231.0400000033</v>
      </c>
    </row>
    <row r="2140" customFormat="false" ht="15" hidden="false" customHeight="true" outlineLevel="0" collapsed="false">
      <c r="A2140" s="114" t="n">
        <v>2721920.01</v>
      </c>
      <c r="B2140" s="114" t="n">
        <v>2723200</v>
      </c>
      <c r="C2140" s="114" t="n">
        <v>61259.7000000033</v>
      </c>
    </row>
    <row r="2141" customFormat="false" ht="15" hidden="false" customHeight="true" outlineLevel="0" collapsed="false">
      <c r="A2141" s="115" t="n">
        <v>2723200.01</v>
      </c>
      <c r="B2141" s="115" t="n">
        <v>2724480</v>
      </c>
      <c r="C2141" s="115" t="n">
        <v>61288.3600000033</v>
      </c>
    </row>
    <row r="2142" customFormat="false" ht="15" hidden="false" customHeight="true" outlineLevel="0" collapsed="false">
      <c r="A2142" s="114" t="n">
        <v>2724480.01</v>
      </c>
      <c r="B2142" s="114" t="n">
        <v>2725760</v>
      </c>
      <c r="C2142" s="114" t="n">
        <v>61317.0200000033</v>
      </c>
    </row>
    <row r="2143" customFormat="false" ht="15" hidden="false" customHeight="true" outlineLevel="0" collapsed="false">
      <c r="A2143" s="115" t="n">
        <v>2725760.01</v>
      </c>
      <c r="B2143" s="115" t="n">
        <v>2727040</v>
      </c>
      <c r="C2143" s="115" t="n">
        <v>61345.6800000033</v>
      </c>
    </row>
    <row r="2144" customFormat="false" ht="15" hidden="false" customHeight="true" outlineLevel="0" collapsed="false">
      <c r="A2144" s="114" t="n">
        <v>2727040.01</v>
      </c>
      <c r="B2144" s="114" t="n">
        <v>2728320</v>
      </c>
      <c r="C2144" s="114" t="n">
        <v>61374.3400000033</v>
      </c>
    </row>
    <row r="2145" customFormat="false" ht="15" hidden="false" customHeight="true" outlineLevel="0" collapsed="false">
      <c r="A2145" s="115" t="n">
        <v>2728320.01</v>
      </c>
      <c r="B2145" s="115" t="n">
        <v>2729600</v>
      </c>
      <c r="C2145" s="115" t="n">
        <v>61403.0000000033</v>
      </c>
    </row>
    <row r="2146" customFormat="false" ht="15" hidden="false" customHeight="true" outlineLevel="0" collapsed="false">
      <c r="A2146" s="114" t="n">
        <v>2729600.01</v>
      </c>
      <c r="B2146" s="114" t="n">
        <v>2730880</v>
      </c>
      <c r="C2146" s="114" t="n">
        <v>61431.6600000033</v>
      </c>
    </row>
    <row r="2147" customFormat="false" ht="15" hidden="false" customHeight="true" outlineLevel="0" collapsed="false">
      <c r="A2147" s="115" t="n">
        <v>2730880.01</v>
      </c>
      <c r="B2147" s="115" t="n">
        <v>2732160</v>
      </c>
      <c r="C2147" s="115" t="n">
        <v>61460.3200000034</v>
      </c>
    </row>
    <row r="2148" customFormat="false" ht="15" hidden="false" customHeight="true" outlineLevel="0" collapsed="false">
      <c r="A2148" s="114" t="n">
        <v>2732160.01</v>
      </c>
      <c r="B2148" s="114" t="n">
        <v>2733440</v>
      </c>
      <c r="C2148" s="114" t="n">
        <v>61488.9800000034</v>
      </c>
    </row>
    <row r="2149" customFormat="false" ht="15" hidden="false" customHeight="true" outlineLevel="0" collapsed="false">
      <c r="A2149" s="115" t="n">
        <v>2733440.01</v>
      </c>
      <c r="B2149" s="115" t="n">
        <v>2734720</v>
      </c>
      <c r="C2149" s="115" t="n">
        <v>61517.6400000034</v>
      </c>
    </row>
    <row r="2150" customFormat="false" ht="15" hidden="false" customHeight="true" outlineLevel="0" collapsed="false">
      <c r="A2150" s="114" t="n">
        <v>2734720.01</v>
      </c>
      <c r="B2150" s="114" t="n">
        <v>2736000</v>
      </c>
      <c r="C2150" s="114" t="n">
        <v>61546.3000000034</v>
      </c>
    </row>
    <row r="2151" customFormat="false" ht="15" hidden="false" customHeight="true" outlineLevel="0" collapsed="false">
      <c r="A2151" s="115" t="n">
        <v>2736000.01</v>
      </c>
      <c r="B2151" s="115" t="n">
        <v>2737280</v>
      </c>
      <c r="C2151" s="115" t="n">
        <v>61574.9600000034</v>
      </c>
    </row>
    <row r="2152" customFormat="false" ht="15" hidden="false" customHeight="true" outlineLevel="0" collapsed="false">
      <c r="A2152" s="114" t="n">
        <v>2737280.01</v>
      </c>
      <c r="B2152" s="114" t="n">
        <v>2738560</v>
      </c>
      <c r="C2152" s="114" t="n">
        <v>61603.6200000034</v>
      </c>
    </row>
    <row r="2153" customFormat="false" ht="15" hidden="false" customHeight="true" outlineLevel="0" collapsed="false">
      <c r="A2153" s="115" t="n">
        <v>2738560.01</v>
      </c>
      <c r="B2153" s="115" t="n">
        <v>2739840</v>
      </c>
      <c r="C2153" s="115" t="n">
        <v>61632.2800000034</v>
      </c>
    </row>
    <row r="2154" customFormat="false" ht="15" hidden="false" customHeight="true" outlineLevel="0" collapsed="false">
      <c r="A2154" s="114" t="n">
        <v>2739840.01</v>
      </c>
      <c r="B2154" s="114" t="n">
        <v>2741120</v>
      </c>
      <c r="C2154" s="114" t="n">
        <v>61660.9400000034</v>
      </c>
    </row>
    <row r="2155" customFormat="false" ht="15" hidden="false" customHeight="true" outlineLevel="0" collapsed="false">
      <c r="A2155" s="115" t="n">
        <v>2741120.01</v>
      </c>
      <c r="B2155" s="115" t="n">
        <v>2742400</v>
      </c>
      <c r="C2155" s="115" t="n">
        <v>61689.6000000034</v>
      </c>
    </row>
    <row r="2156" customFormat="false" ht="15" hidden="false" customHeight="true" outlineLevel="0" collapsed="false">
      <c r="A2156" s="114" t="n">
        <v>2742400.01</v>
      </c>
      <c r="B2156" s="114" t="n">
        <v>2743680</v>
      </c>
      <c r="C2156" s="114" t="n">
        <v>61718.2600000034</v>
      </c>
    </row>
    <row r="2157" customFormat="false" ht="15" hidden="false" customHeight="true" outlineLevel="0" collapsed="false">
      <c r="A2157" s="115" t="n">
        <v>2743680.01</v>
      </c>
      <c r="B2157" s="115" t="n">
        <v>2744960</v>
      </c>
      <c r="C2157" s="115" t="n">
        <v>61746.9200000034</v>
      </c>
    </row>
    <row r="2158" customFormat="false" ht="15" hidden="false" customHeight="true" outlineLevel="0" collapsed="false">
      <c r="A2158" s="114" t="n">
        <v>2744960.01</v>
      </c>
      <c r="B2158" s="114" t="n">
        <v>2746240</v>
      </c>
      <c r="C2158" s="114" t="n">
        <v>61775.5800000034</v>
      </c>
    </row>
    <row r="2159" customFormat="false" ht="15" hidden="false" customHeight="true" outlineLevel="0" collapsed="false">
      <c r="A2159" s="115" t="n">
        <v>2746240.01</v>
      </c>
      <c r="B2159" s="115" t="n">
        <v>2747520</v>
      </c>
      <c r="C2159" s="115" t="n">
        <v>61804.2400000034</v>
      </c>
    </row>
    <row r="2160" customFormat="false" ht="15" hidden="false" customHeight="true" outlineLevel="0" collapsed="false">
      <c r="A2160" s="114" t="n">
        <v>2747520.01</v>
      </c>
      <c r="B2160" s="114" t="n">
        <v>2748800</v>
      </c>
      <c r="C2160" s="114" t="n">
        <v>61832.9000000034</v>
      </c>
    </row>
    <row r="2161" customFormat="false" ht="15" hidden="false" customHeight="true" outlineLevel="0" collapsed="false">
      <c r="A2161" s="115" t="n">
        <v>2748800.01</v>
      </c>
      <c r="B2161" s="115" t="n">
        <v>2750080</v>
      </c>
      <c r="C2161" s="115" t="n">
        <v>61861.5600000034</v>
      </c>
    </row>
    <row r="2162" customFormat="false" ht="15" hidden="false" customHeight="true" outlineLevel="0" collapsed="false">
      <c r="A2162" s="114" t="n">
        <v>2750080.01</v>
      </c>
      <c r="B2162" s="114" t="n">
        <v>2751360</v>
      </c>
      <c r="C2162" s="114" t="n">
        <v>61890.2200000034</v>
      </c>
    </row>
    <row r="2163" customFormat="false" ht="15" hidden="false" customHeight="true" outlineLevel="0" collapsed="false">
      <c r="A2163" s="115" t="n">
        <v>2751360.01</v>
      </c>
      <c r="B2163" s="115" t="n">
        <v>2752640</v>
      </c>
      <c r="C2163" s="115" t="n">
        <v>61918.8800000034</v>
      </c>
    </row>
    <row r="2164" customFormat="false" ht="15" hidden="false" customHeight="true" outlineLevel="0" collapsed="false">
      <c r="A2164" s="114" t="n">
        <v>2752640.01</v>
      </c>
      <c r="B2164" s="114" t="n">
        <v>2753920</v>
      </c>
      <c r="C2164" s="114" t="n">
        <v>61947.5400000034</v>
      </c>
    </row>
    <row r="2165" customFormat="false" ht="15" hidden="false" customHeight="true" outlineLevel="0" collapsed="false">
      <c r="A2165" s="115" t="n">
        <v>2753920.01</v>
      </c>
      <c r="B2165" s="115" t="n">
        <v>2755200</v>
      </c>
      <c r="C2165" s="115" t="n">
        <v>61976.2000000034</v>
      </c>
    </row>
    <row r="2166" customFormat="false" ht="15" hidden="false" customHeight="true" outlineLevel="0" collapsed="false">
      <c r="A2166" s="114" t="n">
        <v>2755200.01</v>
      </c>
      <c r="B2166" s="114" t="n">
        <v>2756480</v>
      </c>
      <c r="C2166" s="114" t="n">
        <v>62004.8600000034</v>
      </c>
    </row>
    <row r="2167" customFormat="false" ht="15" hidden="false" customHeight="true" outlineLevel="0" collapsed="false">
      <c r="A2167" s="115" t="n">
        <v>2756480.01</v>
      </c>
      <c r="B2167" s="115" t="n">
        <v>2757760</v>
      </c>
      <c r="C2167" s="115" t="n">
        <v>62033.5200000034</v>
      </c>
    </row>
    <row r="2168" customFormat="false" ht="15" hidden="false" customHeight="true" outlineLevel="0" collapsed="false">
      <c r="A2168" s="114" t="n">
        <v>2757760.01</v>
      </c>
      <c r="B2168" s="114" t="n">
        <v>2759040</v>
      </c>
      <c r="C2168" s="114" t="n">
        <v>62062.1800000034</v>
      </c>
    </row>
    <row r="2169" customFormat="false" ht="15" hidden="false" customHeight="true" outlineLevel="0" collapsed="false">
      <c r="A2169" s="115" t="n">
        <v>2759040.01</v>
      </c>
      <c r="B2169" s="115" t="n">
        <v>2760320</v>
      </c>
      <c r="C2169" s="115" t="n">
        <v>62090.8400000034</v>
      </c>
    </row>
    <row r="2170" customFormat="false" ht="15" hidden="false" customHeight="true" outlineLevel="0" collapsed="false">
      <c r="A2170" s="114" t="n">
        <v>2760320.01</v>
      </c>
      <c r="B2170" s="114" t="n">
        <v>2761600</v>
      </c>
      <c r="C2170" s="114" t="n">
        <v>62119.5000000034</v>
      </c>
    </row>
    <row r="2171" customFormat="false" ht="15" hidden="false" customHeight="true" outlineLevel="0" collapsed="false">
      <c r="A2171" s="115" t="n">
        <v>2761600.01</v>
      </c>
      <c r="B2171" s="115" t="n">
        <v>2762880</v>
      </c>
      <c r="C2171" s="115" t="n">
        <v>62148.1600000034</v>
      </c>
    </row>
    <row r="2172" customFormat="false" ht="15" hidden="false" customHeight="true" outlineLevel="0" collapsed="false">
      <c r="A2172" s="114" t="n">
        <v>2762880.01</v>
      </c>
      <c r="B2172" s="114" t="n">
        <v>2764160</v>
      </c>
      <c r="C2172" s="114" t="n">
        <v>62176.8200000034</v>
      </c>
    </row>
    <row r="2173" customFormat="false" ht="15" hidden="false" customHeight="true" outlineLevel="0" collapsed="false">
      <c r="A2173" s="115" t="n">
        <v>2764160.01</v>
      </c>
      <c r="B2173" s="115" t="n">
        <v>2765440</v>
      </c>
      <c r="C2173" s="115" t="n">
        <v>62205.4800000034</v>
      </c>
    </row>
    <row r="2174" customFormat="false" ht="15" hidden="false" customHeight="true" outlineLevel="0" collapsed="false">
      <c r="A2174" s="114" t="n">
        <v>2765440.01</v>
      </c>
      <c r="B2174" s="114" t="n">
        <v>2766720</v>
      </c>
      <c r="C2174" s="114" t="n">
        <v>62234.1400000034</v>
      </c>
    </row>
    <row r="2175" customFormat="false" ht="15" hidden="false" customHeight="true" outlineLevel="0" collapsed="false">
      <c r="A2175" s="115" t="n">
        <v>2766720.01</v>
      </c>
      <c r="B2175" s="115" t="n">
        <v>2768000</v>
      </c>
      <c r="C2175" s="115" t="n">
        <v>62262.8000000034</v>
      </c>
    </row>
    <row r="2176" customFormat="false" ht="15" hidden="false" customHeight="true" outlineLevel="0" collapsed="false">
      <c r="A2176" s="114" t="n">
        <v>2768000.01</v>
      </c>
      <c r="B2176" s="114" t="n">
        <v>2769280</v>
      </c>
      <c r="C2176" s="114" t="n">
        <v>62291.4600000035</v>
      </c>
    </row>
    <row r="2177" customFormat="false" ht="15" hidden="false" customHeight="true" outlineLevel="0" collapsed="false">
      <c r="A2177" s="115" t="n">
        <v>2769280.01</v>
      </c>
      <c r="B2177" s="115" t="n">
        <v>2770560</v>
      </c>
      <c r="C2177" s="115" t="n">
        <v>62320.1200000035</v>
      </c>
    </row>
    <row r="2178" customFormat="false" ht="15" hidden="false" customHeight="true" outlineLevel="0" collapsed="false">
      <c r="A2178" s="114" t="n">
        <v>2770560.01</v>
      </c>
      <c r="B2178" s="114" t="n">
        <v>2771840</v>
      </c>
      <c r="C2178" s="114" t="n">
        <v>62348.7800000035</v>
      </c>
    </row>
    <row r="2179" customFormat="false" ht="15" hidden="false" customHeight="true" outlineLevel="0" collapsed="false">
      <c r="A2179" s="115" t="n">
        <v>2771840.01</v>
      </c>
      <c r="B2179" s="115" t="n">
        <v>2773120</v>
      </c>
      <c r="C2179" s="115" t="n">
        <v>62377.4400000035</v>
      </c>
    </row>
    <row r="2180" customFormat="false" ht="15" hidden="false" customHeight="true" outlineLevel="0" collapsed="false">
      <c r="A2180" s="114" t="n">
        <v>2773120.01</v>
      </c>
      <c r="B2180" s="114" t="n">
        <v>2774400</v>
      </c>
      <c r="C2180" s="114" t="n">
        <v>62406.1000000035</v>
      </c>
    </row>
    <row r="2181" customFormat="false" ht="15" hidden="false" customHeight="true" outlineLevel="0" collapsed="false">
      <c r="A2181" s="115" t="n">
        <v>2774400.01</v>
      </c>
      <c r="B2181" s="115" t="n">
        <v>2775680</v>
      </c>
      <c r="C2181" s="115" t="n">
        <v>62434.7600000035</v>
      </c>
    </row>
    <row r="2182" customFormat="false" ht="15" hidden="false" customHeight="true" outlineLevel="0" collapsed="false">
      <c r="A2182" s="114" t="n">
        <v>2775680.01</v>
      </c>
      <c r="B2182" s="114" t="n">
        <v>2776960</v>
      </c>
      <c r="C2182" s="114" t="n">
        <v>62463.4200000035</v>
      </c>
    </row>
    <row r="2183" customFormat="false" ht="15" hidden="false" customHeight="true" outlineLevel="0" collapsed="false">
      <c r="A2183" s="115" t="n">
        <v>2776960.01</v>
      </c>
      <c r="B2183" s="115" t="n">
        <v>2778240</v>
      </c>
      <c r="C2183" s="115" t="n">
        <v>62492.0800000035</v>
      </c>
    </row>
    <row r="2184" customFormat="false" ht="15" hidden="false" customHeight="true" outlineLevel="0" collapsed="false">
      <c r="A2184" s="114" t="n">
        <v>2778240.01</v>
      </c>
      <c r="B2184" s="114" t="n">
        <v>2779520</v>
      </c>
      <c r="C2184" s="114" t="n">
        <v>62520.7400000035</v>
      </c>
    </row>
    <row r="2185" customFormat="false" ht="15" hidden="false" customHeight="true" outlineLevel="0" collapsed="false">
      <c r="A2185" s="115" t="n">
        <v>2779520.01</v>
      </c>
      <c r="B2185" s="115" t="n">
        <v>2780800</v>
      </c>
      <c r="C2185" s="115" t="n">
        <v>62549.4000000035</v>
      </c>
    </row>
    <row r="2186" customFormat="false" ht="15" hidden="false" customHeight="true" outlineLevel="0" collapsed="false">
      <c r="A2186" s="114" t="n">
        <v>2780800.01</v>
      </c>
      <c r="B2186" s="114" t="n">
        <v>2782080</v>
      </c>
      <c r="C2186" s="114" t="n">
        <v>62578.0600000035</v>
      </c>
    </row>
    <row r="2187" customFormat="false" ht="15" hidden="false" customHeight="true" outlineLevel="0" collapsed="false">
      <c r="A2187" s="115" t="n">
        <v>2782080.01</v>
      </c>
      <c r="B2187" s="115" t="n">
        <v>2783360</v>
      </c>
      <c r="C2187" s="115" t="n">
        <v>62606.7200000035</v>
      </c>
    </row>
    <row r="2188" customFormat="false" ht="15" hidden="false" customHeight="true" outlineLevel="0" collapsed="false">
      <c r="A2188" s="114" t="n">
        <v>2783360.01</v>
      </c>
      <c r="B2188" s="114" t="n">
        <v>2784640</v>
      </c>
      <c r="C2188" s="114" t="n">
        <v>62635.3800000035</v>
      </c>
    </row>
    <row r="2189" customFormat="false" ht="15" hidden="false" customHeight="true" outlineLevel="0" collapsed="false">
      <c r="A2189" s="115" t="n">
        <v>2784640.01</v>
      </c>
      <c r="B2189" s="115" t="n">
        <v>2785920</v>
      </c>
      <c r="C2189" s="115" t="n">
        <v>62664.0400000035</v>
      </c>
    </row>
    <row r="2190" customFormat="false" ht="15" hidden="false" customHeight="true" outlineLevel="0" collapsed="false">
      <c r="A2190" s="114" t="n">
        <v>2785920.01</v>
      </c>
      <c r="B2190" s="114" t="n">
        <v>2787200</v>
      </c>
      <c r="C2190" s="114" t="n">
        <v>62692.7000000035</v>
      </c>
    </row>
    <row r="2191" customFormat="false" ht="15" hidden="false" customHeight="true" outlineLevel="0" collapsed="false">
      <c r="A2191" s="115" t="n">
        <v>2787200.01</v>
      </c>
      <c r="B2191" s="115" t="n">
        <v>2788480</v>
      </c>
      <c r="C2191" s="115" t="n">
        <v>62721.3600000035</v>
      </c>
    </row>
    <row r="2192" customFormat="false" ht="15" hidden="false" customHeight="true" outlineLevel="0" collapsed="false">
      <c r="A2192" s="114" t="n">
        <v>2788480.01</v>
      </c>
      <c r="B2192" s="114" t="n">
        <v>2789760</v>
      </c>
      <c r="C2192" s="114" t="n">
        <v>62750.0200000035</v>
      </c>
    </row>
    <row r="2193" customFormat="false" ht="15" hidden="false" customHeight="true" outlineLevel="0" collapsed="false">
      <c r="A2193" s="115" t="n">
        <v>2789760.01</v>
      </c>
      <c r="B2193" s="115" t="n">
        <v>2791040</v>
      </c>
      <c r="C2193" s="115" t="n">
        <v>62778.6800000035</v>
      </c>
    </row>
    <row r="2194" customFormat="false" ht="15" hidden="false" customHeight="true" outlineLevel="0" collapsed="false">
      <c r="A2194" s="114" t="n">
        <v>2791040.01</v>
      </c>
      <c r="B2194" s="114" t="n">
        <v>2792320</v>
      </c>
      <c r="C2194" s="114" t="n">
        <v>62807.3400000035</v>
      </c>
    </row>
    <row r="2195" customFormat="false" ht="15" hidden="false" customHeight="true" outlineLevel="0" collapsed="false">
      <c r="A2195" s="115" t="n">
        <v>2792320.01</v>
      </c>
      <c r="B2195" s="115" t="n">
        <v>2793600</v>
      </c>
      <c r="C2195" s="115" t="n">
        <v>62836.0000000035</v>
      </c>
    </row>
    <row r="2196" customFormat="false" ht="15" hidden="false" customHeight="true" outlineLevel="0" collapsed="false">
      <c r="A2196" s="114" t="n">
        <v>2793600.01</v>
      </c>
      <c r="B2196" s="114" t="n">
        <v>2794880</v>
      </c>
      <c r="C2196" s="114" t="n">
        <v>62864.6600000035</v>
      </c>
    </row>
    <row r="2197" customFormat="false" ht="15" hidden="false" customHeight="true" outlineLevel="0" collapsed="false">
      <c r="A2197" s="115" t="n">
        <v>2794880.01</v>
      </c>
      <c r="B2197" s="115" t="n">
        <v>2796160</v>
      </c>
      <c r="C2197" s="115" t="n">
        <v>62893.3200000035</v>
      </c>
    </row>
    <row r="2198" customFormat="false" ht="15" hidden="false" customHeight="true" outlineLevel="0" collapsed="false">
      <c r="A2198" s="114" t="n">
        <v>2796160.01</v>
      </c>
      <c r="B2198" s="114" t="n">
        <v>2797440</v>
      </c>
      <c r="C2198" s="114" t="n">
        <v>62921.9800000035</v>
      </c>
    </row>
    <row r="2199" customFormat="false" ht="15" hidden="false" customHeight="true" outlineLevel="0" collapsed="false">
      <c r="A2199" s="115" t="n">
        <v>2797440.01</v>
      </c>
      <c r="B2199" s="115" t="n">
        <v>2798720</v>
      </c>
      <c r="C2199" s="115" t="n">
        <v>62950.6400000035</v>
      </c>
    </row>
    <row r="2200" customFormat="false" ht="15" hidden="false" customHeight="true" outlineLevel="0" collapsed="false">
      <c r="A2200" s="114" t="n">
        <v>2798720.01</v>
      </c>
      <c r="B2200" s="114" t="n">
        <v>2800000</v>
      </c>
      <c r="C2200" s="114" t="n">
        <v>62979.3000000035</v>
      </c>
    </row>
    <row r="2201" customFormat="false" ht="15" hidden="false" customHeight="true" outlineLevel="0" collapsed="false">
      <c r="A2201" s="115" t="n">
        <v>2800000.01</v>
      </c>
      <c r="B2201" s="115" t="n">
        <v>2801280</v>
      </c>
      <c r="C2201" s="115" t="n">
        <v>63007.9600000035</v>
      </c>
    </row>
    <row r="2202" customFormat="false" ht="15" hidden="false" customHeight="true" outlineLevel="0" collapsed="false">
      <c r="A2202" s="114" t="n">
        <v>2801280.01</v>
      </c>
      <c r="B2202" s="114" t="n">
        <v>2802560</v>
      </c>
      <c r="C2202" s="114" t="n">
        <v>63036.6200000035</v>
      </c>
    </row>
    <row r="2203" customFormat="false" ht="15" hidden="false" customHeight="true" outlineLevel="0" collapsed="false">
      <c r="A2203" s="115" t="n">
        <v>2802560.01</v>
      </c>
      <c r="B2203" s="115" t="n">
        <v>2803840</v>
      </c>
      <c r="C2203" s="115" t="n">
        <v>63065.2800000035</v>
      </c>
    </row>
    <row r="2204" customFormat="false" ht="15" hidden="false" customHeight="true" outlineLevel="0" collapsed="false">
      <c r="A2204" s="114" t="n">
        <v>2803840.01</v>
      </c>
      <c r="B2204" s="114" t="n">
        <v>2805120</v>
      </c>
      <c r="C2204" s="114" t="n">
        <v>63093.9400000036</v>
      </c>
    </row>
    <row r="2205" customFormat="false" ht="15" hidden="false" customHeight="true" outlineLevel="0" collapsed="false">
      <c r="A2205" s="115" t="n">
        <v>2805120.01</v>
      </c>
      <c r="B2205" s="115" t="n">
        <v>2806400</v>
      </c>
      <c r="C2205" s="115" t="n">
        <v>63122.6000000036</v>
      </c>
    </row>
    <row r="2206" customFormat="false" ht="15" hidden="false" customHeight="true" outlineLevel="0" collapsed="false">
      <c r="A2206" s="114" t="n">
        <v>2806400.01</v>
      </c>
      <c r="B2206" s="114" t="n">
        <v>2807680</v>
      </c>
      <c r="C2206" s="114" t="n">
        <v>63151.2600000036</v>
      </c>
    </row>
    <row r="2207" customFormat="false" ht="15" hidden="false" customHeight="true" outlineLevel="0" collapsed="false">
      <c r="A2207" s="115" t="n">
        <v>2807680.01</v>
      </c>
      <c r="B2207" s="115" t="n">
        <v>2808960</v>
      </c>
      <c r="C2207" s="115" t="n">
        <v>63179.9200000036</v>
      </c>
    </row>
    <row r="2208" customFormat="false" ht="15" hidden="false" customHeight="true" outlineLevel="0" collapsed="false">
      <c r="A2208" s="114" t="n">
        <v>2808960.01</v>
      </c>
      <c r="B2208" s="114" t="n">
        <v>2810240</v>
      </c>
      <c r="C2208" s="114" t="n">
        <v>63208.5800000036</v>
      </c>
    </row>
    <row r="2209" customFormat="false" ht="15" hidden="false" customHeight="true" outlineLevel="0" collapsed="false">
      <c r="A2209" s="115" t="n">
        <v>2810240.01</v>
      </c>
      <c r="B2209" s="115" t="n">
        <v>2811520</v>
      </c>
      <c r="C2209" s="115" t="n">
        <v>63237.2400000036</v>
      </c>
    </row>
    <row r="2210" customFormat="false" ht="15" hidden="false" customHeight="true" outlineLevel="0" collapsed="false">
      <c r="A2210" s="114" t="n">
        <v>2811520.01</v>
      </c>
      <c r="B2210" s="114" t="n">
        <v>2812800</v>
      </c>
      <c r="C2210" s="114" t="n">
        <v>63265.9000000036</v>
      </c>
    </row>
    <row r="2211" customFormat="false" ht="15" hidden="false" customHeight="true" outlineLevel="0" collapsed="false">
      <c r="A2211" s="115" t="n">
        <v>2812800.01</v>
      </c>
      <c r="B2211" s="115" t="n">
        <v>2814080</v>
      </c>
      <c r="C2211" s="115" t="n">
        <v>63294.5600000036</v>
      </c>
    </row>
    <row r="2212" customFormat="false" ht="15" hidden="false" customHeight="true" outlineLevel="0" collapsed="false">
      <c r="A2212" s="114" t="n">
        <v>2814080.01</v>
      </c>
      <c r="B2212" s="114" t="n">
        <v>2815360</v>
      </c>
      <c r="C2212" s="114" t="n">
        <v>63323.2200000036</v>
      </c>
    </row>
    <row r="2213" customFormat="false" ht="15" hidden="false" customHeight="true" outlineLevel="0" collapsed="false">
      <c r="A2213" s="115" t="n">
        <v>2815360.01</v>
      </c>
      <c r="B2213" s="115" t="n">
        <v>2816640</v>
      </c>
      <c r="C2213" s="115" t="n">
        <v>63351.8800000036</v>
      </c>
    </row>
    <row r="2214" customFormat="false" ht="15" hidden="false" customHeight="true" outlineLevel="0" collapsed="false">
      <c r="A2214" s="114" t="n">
        <v>2816640.01</v>
      </c>
      <c r="B2214" s="114" t="n">
        <v>2817920</v>
      </c>
      <c r="C2214" s="114" t="n">
        <v>63380.5400000036</v>
      </c>
    </row>
    <row r="2215" customFormat="false" ht="15" hidden="false" customHeight="true" outlineLevel="0" collapsed="false">
      <c r="A2215" s="115" t="n">
        <v>2817920.01</v>
      </c>
      <c r="B2215" s="115" t="n">
        <v>2819200</v>
      </c>
      <c r="C2215" s="115" t="n">
        <v>63409.2000000036</v>
      </c>
    </row>
    <row r="2216" customFormat="false" ht="15" hidden="false" customHeight="true" outlineLevel="0" collapsed="false">
      <c r="A2216" s="114" t="n">
        <v>2819200.01</v>
      </c>
      <c r="B2216" s="114" t="n">
        <v>2820480</v>
      </c>
      <c r="C2216" s="114" t="n">
        <v>63437.8600000036</v>
      </c>
    </row>
    <row r="2217" customFormat="false" ht="15" hidden="false" customHeight="true" outlineLevel="0" collapsed="false">
      <c r="A2217" s="115" t="n">
        <v>2820480.01</v>
      </c>
      <c r="B2217" s="115" t="n">
        <v>2821760</v>
      </c>
      <c r="C2217" s="115" t="n">
        <v>63466.5200000036</v>
      </c>
    </row>
    <row r="2218" customFormat="false" ht="15" hidden="false" customHeight="true" outlineLevel="0" collapsed="false">
      <c r="A2218" s="114" t="n">
        <v>2821760.01</v>
      </c>
      <c r="B2218" s="114" t="n">
        <v>2823040</v>
      </c>
      <c r="C2218" s="114" t="n">
        <v>63495.1800000036</v>
      </c>
    </row>
    <row r="2219" customFormat="false" ht="15" hidden="false" customHeight="true" outlineLevel="0" collapsed="false">
      <c r="A2219" s="115" t="n">
        <v>2823040.01</v>
      </c>
      <c r="B2219" s="115" t="n">
        <v>2824320</v>
      </c>
      <c r="C2219" s="115" t="n">
        <v>63523.8400000036</v>
      </c>
    </row>
    <row r="2220" customFormat="false" ht="15" hidden="false" customHeight="true" outlineLevel="0" collapsed="false">
      <c r="A2220" s="114" t="n">
        <v>2824320.01</v>
      </c>
      <c r="B2220" s="114" t="n">
        <v>2825600</v>
      </c>
      <c r="C2220" s="114" t="n">
        <v>63552.5000000036</v>
      </c>
    </row>
    <row r="2221" customFormat="false" ht="15" hidden="false" customHeight="true" outlineLevel="0" collapsed="false">
      <c r="A2221" s="115" t="n">
        <v>2825600.01</v>
      </c>
      <c r="B2221" s="115" t="n">
        <v>2826880</v>
      </c>
      <c r="C2221" s="115" t="n">
        <v>63581.1600000036</v>
      </c>
    </row>
    <row r="2222" customFormat="false" ht="15" hidden="false" customHeight="true" outlineLevel="0" collapsed="false">
      <c r="A2222" s="114" t="n">
        <v>2826880.01</v>
      </c>
      <c r="B2222" s="114" t="n">
        <v>2828160</v>
      </c>
      <c r="C2222" s="114" t="n">
        <v>63609.8200000036</v>
      </c>
    </row>
    <row r="2223" customFormat="false" ht="15" hidden="false" customHeight="true" outlineLevel="0" collapsed="false">
      <c r="A2223" s="115" t="n">
        <v>2828160.01</v>
      </c>
      <c r="B2223" s="115" t="n">
        <v>2829440</v>
      </c>
      <c r="C2223" s="115" t="n">
        <v>63638.4800000036</v>
      </c>
    </row>
    <row r="2224" customFormat="false" ht="15" hidden="false" customHeight="true" outlineLevel="0" collapsed="false">
      <c r="A2224" s="114" t="n">
        <v>2829440.01</v>
      </c>
      <c r="B2224" s="114" t="n">
        <v>2830720</v>
      </c>
      <c r="C2224" s="114" t="n">
        <v>63667.1400000036</v>
      </c>
    </row>
    <row r="2225" customFormat="false" ht="15" hidden="false" customHeight="true" outlineLevel="0" collapsed="false">
      <c r="A2225" s="115" t="n">
        <v>2830720.01</v>
      </c>
      <c r="B2225" s="115" t="n">
        <v>2832000</v>
      </c>
      <c r="C2225" s="115" t="n">
        <v>63695.8000000036</v>
      </c>
    </row>
    <row r="2226" customFormat="false" ht="15" hidden="false" customHeight="true" outlineLevel="0" collapsed="false">
      <c r="A2226" s="114" t="n">
        <v>2832000.01</v>
      </c>
      <c r="B2226" s="114" t="n">
        <v>2833280</v>
      </c>
      <c r="C2226" s="114" t="n">
        <v>63724.4600000036</v>
      </c>
    </row>
    <row r="2227" customFormat="false" ht="15" hidden="false" customHeight="true" outlineLevel="0" collapsed="false">
      <c r="A2227" s="115" t="n">
        <v>2833280.01</v>
      </c>
      <c r="B2227" s="115" t="n">
        <v>2834560</v>
      </c>
      <c r="C2227" s="115" t="n">
        <v>63753.1200000036</v>
      </c>
    </row>
    <row r="2228" customFormat="false" ht="15" hidden="false" customHeight="true" outlineLevel="0" collapsed="false">
      <c r="A2228" s="114" t="n">
        <v>2834560.01</v>
      </c>
      <c r="B2228" s="114" t="n">
        <v>2835840</v>
      </c>
      <c r="C2228" s="114" t="n">
        <v>63781.7800000036</v>
      </c>
    </row>
    <row r="2229" customFormat="false" ht="15" hidden="false" customHeight="true" outlineLevel="0" collapsed="false">
      <c r="A2229" s="115" t="n">
        <v>2835840.01</v>
      </c>
      <c r="B2229" s="115" t="n">
        <v>2837120</v>
      </c>
      <c r="C2229" s="115" t="n">
        <v>63810.4400000036</v>
      </c>
    </row>
    <row r="2230" customFormat="false" ht="15" hidden="false" customHeight="true" outlineLevel="0" collapsed="false">
      <c r="A2230" s="114" t="n">
        <v>2837120.01</v>
      </c>
      <c r="B2230" s="114" t="n">
        <v>2838400</v>
      </c>
      <c r="C2230" s="114" t="n">
        <v>63839.1000000036</v>
      </c>
    </row>
    <row r="2231" customFormat="false" ht="15" hidden="false" customHeight="true" outlineLevel="0" collapsed="false">
      <c r="A2231" s="115" t="n">
        <v>2838400.01</v>
      </c>
      <c r="B2231" s="115" t="n">
        <v>2839680</v>
      </c>
      <c r="C2231" s="115" t="n">
        <v>63867.7600000036</v>
      </c>
    </row>
    <row r="2232" customFormat="false" ht="15" hidden="false" customHeight="true" outlineLevel="0" collapsed="false">
      <c r="A2232" s="114" t="n">
        <v>2839680.01</v>
      </c>
      <c r="B2232" s="114" t="n">
        <v>2840960</v>
      </c>
      <c r="C2232" s="114" t="n">
        <v>63896.4200000036</v>
      </c>
    </row>
    <row r="2233" customFormat="false" ht="15" hidden="false" customHeight="true" outlineLevel="0" collapsed="false">
      <c r="A2233" s="115" t="n">
        <v>2840960.01</v>
      </c>
      <c r="B2233" s="115" t="n">
        <v>2842240</v>
      </c>
      <c r="C2233" s="115" t="n">
        <v>63925.0800000037</v>
      </c>
    </row>
    <row r="2234" customFormat="false" ht="15" hidden="false" customHeight="true" outlineLevel="0" collapsed="false">
      <c r="A2234" s="114" t="n">
        <v>2842240.01</v>
      </c>
      <c r="B2234" s="114" t="n">
        <v>2843520</v>
      </c>
      <c r="C2234" s="114" t="n">
        <v>63953.7400000037</v>
      </c>
    </row>
    <row r="2235" customFormat="false" ht="15" hidden="false" customHeight="true" outlineLevel="0" collapsed="false">
      <c r="A2235" s="115" t="n">
        <v>2843520.01</v>
      </c>
      <c r="B2235" s="115" t="n">
        <v>2844800</v>
      </c>
      <c r="C2235" s="115" t="n">
        <v>63982.4000000037</v>
      </c>
    </row>
    <row r="2236" customFormat="false" ht="15" hidden="false" customHeight="true" outlineLevel="0" collapsed="false">
      <c r="A2236" s="114" t="n">
        <v>2844800.01</v>
      </c>
      <c r="B2236" s="114" t="n">
        <v>2846080</v>
      </c>
      <c r="C2236" s="114" t="n">
        <v>64011.0600000037</v>
      </c>
    </row>
    <row r="2237" customFormat="false" ht="15" hidden="false" customHeight="true" outlineLevel="0" collapsed="false">
      <c r="A2237" s="115" t="n">
        <v>2846080.01</v>
      </c>
      <c r="B2237" s="115" t="n">
        <v>2847360</v>
      </c>
      <c r="C2237" s="115" t="n">
        <v>64039.7200000037</v>
      </c>
    </row>
    <row r="2238" customFormat="false" ht="15" hidden="false" customHeight="true" outlineLevel="0" collapsed="false">
      <c r="A2238" s="114" t="n">
        <v>2847360.01</v>
      </c>
      <c r="B2238" s="114" t="n">
        <v>2848640</v>
      </c>
      <c r="C2238" s="114" t="n">
        <v>64068.3800000037</v>
      </c>
    </row>
    <row r="2239" customFormat="false" ht="15" hidden="false" customHeight="true" outlineLevel="0" collapsed="false">
      <c r="A2239" s="115" t="n">
        <v>2848640.01</v>
      </c>
      <c r="B2239" s="115" t="n">
        <v>2849920</v>
      </c>
      <c r="C2239" s="115" t="n">
        <v>64097.0400000037</v>
      </c>
    </row>
    <row r="2240" customFormat="false" ht="15" hidden="false" customHeight="true" outlineLevel="0" collapsed="false">
      <c r="A2240" s="114" t="n">
        <v>2849920.01</v>
      </c>
      <c r="B2240" s="114" t="n">
        <v>2851200</v>
      </c>
      <c r="C2240" s="114" t="n">
        <v>64125.7000000037</v>
      </c>
    </row>
    <row r="2241" customFormat="false" ht="15" hidden="false" customHeight="true" outlineLevel="0" collapsed="false">
      <c r="A2241" s="115" t="n">
        <v>2851200.01</v>
      </c>
      <c r="B2241" s="115" t="n">
        <v>2852480</v>
      </c>
      <c r="C2241" s="115" t="n">
        <v>64154.3600000037</v>
      </c>
    </row>
    <row r="2242" customFormat="false" ht="15" hidden="false" customHeight="true" outlineLevel="0" collapsed="false">
      <c r="A2242" s="114" t="n">
        <v>2852480.01</v>
      </c>
      <c r="B2242" s="114" t="n">
        <v>2853760</v>
      </c>
      <c r="C2242" s="114" t="n">
        <v>64183.0200000037</v>
      </c>
    </row>
    <row r="2243" customFormat="false" ht="15" hidden="false" customHeight="true" outlineLevel="0" collapsed="false">
      <c r="A2243" s="115" t="n">
        <v>2853760.01</v>
      </c>
      <c r="B2243" s="115" t="n">
        <v>2855040</v>
      </c>
      <c r="C2243" s="115" t="n">
        <v>64211.6800000037</v>
      </c>
    </row>
    <row r="2244" customFormat="false" ht="15" hidden="false" customHeight="true" outlineLevel="0" collapsed="false">
      <c r="A2244" s="114" t="n">
        <v>2855040.01</v>
      </c>
      <c r="B2244" s="114" t="n">
        <v>2856320</v>
      </c>
      <c r="C2244" s="114" t="n">
        <v>64240.3400000037</v>
      </c>
    </row>
    <row r="2245" customFormat="false" ht="15" hidden="false" customHeight="true" outlineLevel="0" collapsed="false">
      <c r="A2245" s="115" t="n">
        <v>2856320.01</v>
      </c>
      <c r="B2245" s="115" t="n">
        <v>2857600</v>
      </c>
      <c r="C2245" s="115" t="n">
        <v>64269.0000000037</v>
      </c>
    </row>
    <row r="2246" customFormat="false" ht="15" hidden="false" customHeight="true" outlineLevel="0" collapsed="false">
      <c r="A2246" s="114" t="n">
        <v>2857600.01</v>
      </c>
      <c r="B2246" s="114" t="n">
        <v>2858880</v>
      </c>
      <c r="C2246" s="114" t="n">
        <v>64297.6600000037</v>
      </c>
    </row>
    <row r="2247" customFormat="false" ht="15" hidden="false" customHeight="true" outlineLevel="0" collapsed="false">
      <c r="A2247" s="115" t="n">
        <v>2858880.01</v>
      </c>
      <c r="B2247" s="115" t="n">
        <v>2860160</v>
      </c>
      <c r="C2247" s="115" t="n">
        <v>64326.3200000037</v>
      </c>
    </row>
    <row r="2248" customFormat="false" ht="15" hidden="false" customHeight="true" outlineLevel="0" collapsed="false">
      <c r="A2248" s="114" t="n">
        <v>2860160.01</v>
      </c>
      <c r="B2248" s="114" t="n">
        <v>2861440</v>
      </c>
      <c r="C2248" s="114" t="n">
        <v>64354.9800000037</v>
      </c>
    </row>
    <row r="2249" customFormat="false" ht="15" hidden="false" customHeight="true" outlineLevel="0" collapsed="false">
      <c r="A2249" s="115" t="n">
        <v>2861440.01</v>
      </c>
      <c r="B2249" s="115" t="n">
        <v>2862720</v>
      </c>
      <c r="C2249" s="115" t="n">
        <v>64383.6400000037</v>
      </c>
    </row>
    <row r="2250" customFormat="false" ht="15" hidden="false" customHeight="true" outlineLevel="0" collapsed="false">
      <c r="A2250" s="114" t="n">
        <v>2862720.01</v>
      </c>
      <c r="B2250" s="114" t="n">
        <v>2864000</v>
      </c>
      <c r="C2250" s="114" t="n">
        <v>64412.3000000037</v>
      </c>
    </row>
    <row r="2251" customFormat="false" ht="15" hidden="false" customHeight="true" outlineLevel="0" collapsed="false">
      <c r="A2251" s="115" t="n">
        <v>2864000.01</v>
      </c>
      <c r="B2251" s="115" t="n">
        <v>2865280</v>
      </c>
      <c r="C2251" s="115" t="n">
        <v>64440.9600000037</v>
      </c>
    </row>
    <row r="2252" customFormat="false" ht="15" hidden="false" customHeight="true" outlineLevel="0" collapsed="false">
      <c r="A2252" s="114" t="n">
        <v>2865280.01</v>
      </c>
      <c r="B2252" s="114" t="n">
        <v>2866560</v>
      </c>
      <c r="C2252" s="114" t="n">
        <v>64469.6200000037</v>
      </c>
    </row>
    <row r="2253" customFormat="false" ht="15" hidden="false" customHeight="true" outlineLevel="0" collapsed="false">
      <c r="A2253" s="115" t="n">
        <v>2866560.01</v>
      </c>
      <c r="B2253" s="115" t="n">
        <v>2867840</v>
      </c>
      <c r="C2253" s="115" t="n">
        <v>64498.2800000037</v>
      </c>
    </row>
    <row r="2254" customFormat="false" ht="15" hidden="false" customHeight="true" outlineLevel="0" collapsed="false">
      <c r="A2254" s="114" t="n">
        <v>2867840.01</v>
      </c>
      <c r="B2254" s="114" t="n">
        <v>2869120</v>
      </c>
      <c r="C2254" s="114" t="n">
        <v>64526.9400000037</v>
      </c>
    </row>
    <row r="2255" customFormat="false" ht="15" hidden="false" customHeight="true" outlineLevel="0" collapsed="false">
      <c r="A2255" s="115" t="n">
        <v>2869120.01</v>
      </c>
      <c r="B2255" s="115" t="n">
        <v>2870400</v>
      </c>
      <c r="C2255" s="115" t="n">
        <v>64555.6000000037</v>
      </c>
    </row>
    <row r="2256" customFormat="false" ht="15" hidden="false" customHeight="true" outlineLevel="0" collapsed="false">
      <c r="A2256" s="114" t="n">
        <v>2870400.01</v>
      </c>
      <c r="B2256" s="114" t="n">
        <v>2871680</v>
      </c>
      <c r="C2256" s="114" t="n">
        <v>64584.2600000037</v>
      </c>
    </row>
    <row r="2257" customFormat="false" ht="15" hidden="false" customHeight="true" outlineLevel="0" collapsed="false">
      <c r="A2257" s="115" t="n">
        <v>2871680.01</v>
      </c>
      <c r="B2257" s="115" t="n">
        <v>2872960</v>
      </c>
      <c r="C2257" s="115" t="n">
        <v>64612.9200000037</v>
      </c>
    </row>
    <row r="2258" customFormat="false" ht="15" hidden="false" customHeight="true" outlineLevel="0" collapsed="false">
      <c r="A2258" s="114" t="n">
        <v>2872960.01</v>
      </c>
      <c r="B2258" s="114" t="n">
        <v>2874240</v>
      </c>
      <c r="C2258" s="114" t="n">
        <v>64641.5800000037</v>
      </c>
    </row>
    <row r="2259" customFormat="false" ht="15" hidden="false" customHeight="true" outlineLevel="0" collapsed="false">
      <c r="A2259" s="115" t="n">
        <v>2874240.01</v>
      </c>
      <c r="B2259" s="115" t="n">
        <v>2875520</v>
      </c>
      <c r="C2259" s="115" t="n">
        <v>64670.2400000037</v>
      </c>
    </row>
    <row r="2260" customFormat="false" ht="15" hidden="false" customHeight="true" outlineLevel="0" collapsed="false">
      <c r="A2260" s="114" t="n">
        <v>2875520.01</v>
      </c>
      <c r="B2260" s="114" t="n">
        <v>2876800</v>
      </c>
      <c r="C2260" s="114" t="n">
        <v>64698.9000000037</v>
      </c>
    </row>
    <row r="2261" customFormat="false" ht="15" hidden="false" customHeight="true" outlineLevel="0" collapsed="false">
      <c r="A2261" s="115" t="n">
        <v>2876800.01</v>
      </c>
      <c r="B2261" s="115" t="n">
        <v>2878080</v>
      </c>
      <c r="C2261" s="115" t="n">
        <v>64727.5600000037</v>
      </c>
    </row>
    <row r="2262" customFormat="false" ht="15" hidden="false" customHeight="true" outlineLevel="0" collapsed="false">
      <c r="A2262" s="114" t="n">
        <v>2878080.01</v>
      </c>
      <c r="B2262" s="114" t="n">
        <v>2879360</v>
      </c>
      <c r="C2262" s="114" t="n">
        <v>64756.2200000038</v>
      </c>
    </row>
    <row r="2263" customFormat="false" ht="15" hidden="false" customHeight="true" outlineLevel="0" collapsed="false">
      <c r="A2263" s="115" t="n">
        <v>2879360.01</v>
      </c>
      <c r="B2263" s="115" t="n">
        <v>2880640</v>
      </c>
      <c r="C2263" s="115" t="n">
        <v>64784.8800000038</v>
      </c>
    </row>
    <row r="2264" customFormat="false" ht="15" hidden="false" customHeight="true" outlineLevel="0" collapsed="false">
      <c r="A2264" s="114" t="n">
        <v>2880640.01</v>
      </c>
      <c r="B2264" s="114" t="n">
        <v>2881920</v>
      </c>
      <c r="C2264" s="114" t="n">
        <v>64813.5400000038</v>
      </c>
    </row>
    <row r="2265" customFormat="false" ht="15" hidden="false" customHeight="true" outlineLevel="0" collapsed="false">
      <c r="A2265" s="115" t="n">
        <v>2881920.01</v>
      </c>
      <c r="B2265" s="115" t="n">
        <v>2883200</v>
      </c>
      <c r="C2265" s="115" t="n">
        <v>64842.2000000038</v>
      </c>
    </row>
    <row r="2266" customFormat="false" ht="15" hidden="false" customHeight="true" outlineLevel="0" collapsed="false">
      <c r="A2266" s="114" t="n">
        <v>2883200.01</v>
      </c>
      <c r="B2266" s="114" t="n">
        <v>2884480</v>
      </c>
      <c r="C2266" s="114" t="n">
        <v>64870.8600000038</v>
      </c>
    </row>
    <row r="2267" customFormat="false" ht="15" hidden="false" customHeight="true" outlineLevel="0" collapsed="false">
      <c r="A2267" s="115" t="n">
        <v>2884480.01</v>
      </c>
      <c r="B2267" s="115" t="n">
        <v>2885760</v>
      </c>
      <c r="C2267" s="115" t="n">
        <v>64899.5200000038</v>
      </c>
    </row>
    <row r="2268" customFormat="false" ht="15" hidden="false" customHeight="true" outlineLevel="0" collapsed="false">
      <c r="A2268" s="114" t="n">
        <v>2885760.01</v>
      </c>
      <c r="B2268" s="114" t="n">
        <v>2887040</v>
      </c>
      <c r="C2268" s="114" t="n">
        <v>64928.1800000038</v>
      </c>
    </row>
    <row r="2269" customFormat="false" ht="15" hidden="false" customHeight="true" outlineLevel="0" collapsed="false">
      <c r="A2269" s="115" t="n">
        <v>2887040.01</v>
      </c>
      <c r="B2269" s="115" t="n">
        <v>2888320</v>
      </c>
      <c r="C2269" s="115" t="n">
        <v>64956.8400000038</v>
      </c>
    </row>
    <row r="2270" customFormat="false" ht="15" hidden="false" customHeight="true" outlineLevel="0" collapsed="false">
      <c r="A2270" s="114" t="n">
        <v>2888320.01</v>
      </c>
      <c r="B2270" s="114" t="n">
        <v>2889600</v>
      </c>
      <c r="C2270" s="114" t="n">
        <v>64985.5000000038</v>
      </c>
    </row>
    <row r="2271" customFormat="false" ht="15" hidden="false" customHeight="true" outlineLevel="0" collapsed="false">
      <c r="A2271" s="115" t="n">
        <v>2889600.01</v>
      </c>
      <c r="B2271" s="115" t="n">
        <v>2890880</v>
      </c>
      <c r="C2271" s="115" t="n">
        <v>65014.1600000038</v>
      </c>
    </row>
    <row r="2272" customFormat="false" ht="15" hidden="false" customHeight="true" outlineLevel="0" collapsed="false">
      <c r="A2272" s="114" t="n">
        <v>2890880.01</v>
      </c>
      <c r="B2272" s="114" t="n">
        <v>2892160</v>
      </c>
      <c r="C2272" s="114" t="n">
        <v>65042.8200000038</v>
      </c>
    </row>
    <row r="2273" customFormat="false" ht="15" hidden="false" customHeight="true" outlineLevel="0" collapsed="false">
      <c r="A2273" s="115" t="n">
        <v>2892160.01</v>
      </c>
      <c r="B2273" s="115" t="n">
        <v>2893440</v>
      </c>
      <c r="C2273" s="115" t="n">
        <v>65071.4800000038</v>
      </c>
    </row>
    <row r="2274" customFormat="false" ht="15" hidden="false" customHeight="true" outlineLevel="0" collapsed="false">
      <c r="A2274" s="114" t="n">
        <v>2893440.01</v>
      </c>
      <c r="B2274" s="114" t="n">
        <v>2894720</v>
      </c>
      <c r="C2274" s="114" t="n">
        <v>65100.1400000038</v>
      </c>
    </row>
    <row r="2275" customFormat="false" ht="15" hidden="false" customHeight="true" outlineLevel="0" collapsed="false">
      <c r="A2275" s="115" t="n">
        <v>2894720.01</v>
      </c>
      <c r="B2275" s="115" t="n">
        <v>2896000</v>
      </c>
      <c r="C2275" s="115" t="n">
        <v>65128.8000000038</v>
      </c>
    </row>
    <row r="2276" customFormat="false" ht="15" hidden="false" customHeight="true" outlineLevel="0" collapsed="false">
      <c r="A2276" s="114" t="n">
        <v>2896000.01</v>
      </c>
      <c r="B2276" s="114" t="n">
        <v>2897280</v>
      </c>
      <c r="C2276" s="114" t="n">
        <v>65157.4600000038</v>
      </c>
    </row>
    <row r="2277" customFormat="false" ht="15" hidden="false" customHeight="true" outlineLevel="0" collapsed="false">
      <c r="A2277" s="115" t="n">
        <v>2897280.01</v>
      </c>
      <c r="B2277" s="115" t="n">
        <v>2898560</v>
      </c>
      <c r="C2277" s="115" t="n">
        <v>65186.1200000038</v>
      </c>
    </row>
    <row r="2278" customFormat="false" ht="15" hidden="false" customHeight="true" outlineLevel="0" collapsed="false">
      <c r="A2278" s="114" t="n">
        <v>2898560.01</v>
      </c>
      <c r="B2278" s="114" t="n">
        <v>2899840</v>
      </c>
      <c r="C2278" s="114" t="n">
        <v>65214.7800000038</v>
      </c>
    </row>
    <row r="2279" customFormat="false" ht="15" hidden="false" customHeight="true" outlineLevel="0" collapsed="false">
      <c r="A2279" s="115" t="n">
        <v>2899840.01</v>
      </c>
      <c r="B2279" s="115" t="n">
        <v>2901120</v>
      </c>
      <c r="C2279" s="115" t="n">
        <v>65243.4400000038</v>
      </c>
    </row>
    <row r="2280" customFormat="false" ht="15" hidden="false" customHeight="true" outlineLevel="0" collapsed="false">
      <c r="A2280" s="114" t="n">
        <v>2901120.01</v>
      </c>
      <c r="B2280" s="114" t="n">
        <v>2902400</v>
      </c>
      <c r="C2280" s="114" t="n">
        <v>65272.1000000038</v>
      </c>
    </row>
    <row r="2281" customFormat="false" ht="15" hidden="false" customHeight="true" outlineLevel="0" collapsed="false">
      <c r="A2281" s="115" t="n">
        <v>2902400.01</v>
      </c>
      <c r="B2281" s="115" t="n">
        <v>2903680</v>
      </c>
      <c r="C2281" s="115" t="n">
        <v>65300.7600000038</v>
      </c>
    </row>
    <row r="2282" customFormat="false" ht="15" hidden="false" customHeight="true" outlineLevel="0" collapsed="false">
      <c r="A2282" s="114" t="n">
        <v>2903680.01</v>
      </c>
      <c r="B2282" s="114" t="n">
        <v>2904960</v>
      </c>
      <c r="C2282" s="114" t="n">
        <v>65329.4200000038</v>
      </c>
    </row>
    <row r="2283" customFormat="false" ht="15" hidden="false" customHeight="true" outlineLevel="0" collapsed="false">
      <c r="A2283" s="115" t="n">
        <v>2904960.01</v>
      </c>
      <c r="B2283" s="115" t="n">
        <v>2906240</v>
      </c>
      <c r="C2283" s="115" t="n">
        <v>65358.0800000038</v>
      </c>
    </row>
    <row r="2284" customFormat="false" ht="15" hidden="false" customHeight="true" outlineLevel="0" collapsed="false">
      <c r="A2284" s="114" t="n">
        <v>2906240.01</v>
      </c>
      <c r="B2284" s="114" t="n">
        <v>2907520</v>
      </c>
      <c r="C2284" s="114" t="n">
        <v>65386.7400000038</v>
      </c>
    </row>
    <row r="2285" customFormat="false" ht="15" hidden="false" customHeight="true" outlineLevel="0" collapsed="false">
      <c r="A2285" s="115" t="n">
        <v>2907520.01</v>
      </c>
      <c r="B2285" s="115" t="n">
        <v>2908800</v>
      </c>
      <c r="C2285" s="115" t="n">
        <v>65415.4000000038</v>
      </c>
    </row>
    <row r="2286" customFormat="false" ht="15" hidden="false" customHeight="true" outlineLevel="0" collapsed="false">
      <c r="A2286" s="114" t="n">
        <v>2908800.01</v>
      </c>
      <c r="B2286" s="114" t="n">
        <v>2910080</v>
      </c>
      <c r="C2286" s="114" t="n">
        <v>65444.0600000038</v>
      </c>
    </row>
    <row r="2287" customFormat="false" ht="15" hidden="false" customHeight="true" outlineLevel="0" collapsed="false">
      <c r="A2287" s="115" t="n">
        <v>2910080.01</v>
      </c>
      <c r="B2287" s="115" t="n">
        <v>2911360</v>
      </c>
      <c r="C2287" s="115" t="n">
        <v>65472.7200000038</v>
      </c>
    </row>
    <row r="2288" customFormat="false" ht="15" hidden="false" customHeight="true" outlineLevel="0" collapsed="false">
      <c r="A2288" s="114" t="n">
        <v>2911360.01</v>
      </c>
      <c r="B2288" s="114" t="n">
        <v>2912640</v>
      </c>
      <c r="C2288" s="114" t="n">
        <v>65501.3800000038</v>
      </c>
    </row>
    <row r="2289" customFormat="false" ht="15" hidden="false" customHeight="true" outlineLevel="0" collapsed="false">
      <c r="A2289" s="115" t="n">
        <v>2912640.01</v>
      </c>
      <c r="B2289" s="115" t="n">
        <v>2913920</v>
      </c>
      <c r="C2289" s="115" t="n">
        <v>65530.0400000038</v>
      </c>
    </row>
    <row r="2290" customFormat="false" ht="15" hidden="false" customHeight="true" outlineLevel="0" collapsed="false">
      <c r="A2290" s="114" t="n">
        <v>2913920.01</v>
      </c>
      <c r="B2290" s="114" t="n">
        <v>2915200</v>
      </c>
      <c r="C2290" s="114" t="n">
        <v>65558.7000000038</v>
      </c>
    </row>
    <row r="2291" customFormat="false" ht="15" hidden="false" customHeight="true" outlineLevel="0" collapsed="false">
      <c r="A2291" s="115" t="n">
        <v>2915200.01</v>
      </c>
      <c r="B2291" s="115" t="n">
        <v>2916480</v>
      </c>
      <c r="C2291" s="115" t="n">
        <v>65587.3600000038</v>
      </c>
    </row>
    <row r="2292" customFormat="false" ht="15" hidden="false" customHeight="true" outlineLevel="0" collapsed="false">
      <c r="A2292" s="114" t="n">
        <v>2916480.01</v>
      </c>
      <c r="B2292" s="114" t="n">
        <v>2917760</v>
      </c>
      <c r="C2292" s="114" t="n">
        <v>65616.0200000039</v>
      </c>
    </row>
    <row r="2293" customFormat="false" ht="15" hidden="false" customHeight="true" outlineLevel="0" collapsed="false">
      <c r="A2293" s="115" t="n">
        <v>2917760.01</v>
      </c>
      <c r="B2293" s="115" t="n">
        <v>2919040</v>
      </c>
      <c r="C2293" s="115" t="n">
        <v>65644.6800000039</v>
      </c>
    </row>
    <row r="2294" customFormat="false" ht="15" hidden="false" customHeight="true" outlineLevel="0" collapsed="false">
      <c r="A2294" s="114" t="n">
        <v>2919040.01</v>
      </c>
      <c r="B2294" s="114" t="n">
        <v>2920320</v>
      </c>
      <c r="C2294" s="114" t="n">
        <v>65673.3400000039</v>
      </c>
    </row>
    <row r="2295" customFormat="false" ht="15" hidden="false" customHeight="true" outlineLevel="0" collapsed="false">
      <c r="A2295" s="115" t="n">
        <v>2920320.01</v>
      </c>
      <c r="B2295" s="115" t="n">
        <v>2921600</v>
      </c>
      <c r="C2295" s="115" t="n">
        <v>65702.0000000039</v>
      </c>
    </row>
    <row r="2296" customFormat="false" ht="15" hidden="false" customHeight="true" outlineLevel="0" collapsed="false">
      <c r="A2296" s="114" t="n">
        <v>2921600.01</v>
      </c>
      <c r="B2296" s="114" t="n">
        <v>2922880</v>
      </c>
      <c r="C2296" s="114" t="n">
        <v>65730.6600000039</v>
      </c>
    </row>
    <row r="2297" customFormat="false" ht="15" hidden="false" customHeight="true" outlineLevel="0" collapsed="false">
      <c r="A2297" s="115" t="n">
        <v>2922880.01</v>
      </c>
      <c r="B2297" s="115" t="n">
        <v>2924160</v>
      </c>
      <c r="C2297" s="115" t="n">
        <v>65759.3200000039</v>
      </c>
    </row>
    <row r="2298" customFormat="false" ht="15" hidden="false" customHeight="true" outlineLevel="0" collapsed="false">
      <c r="A2298" s="114" t="n">
        <v>2924160.01</v>
      </c>
      <c r="B2298" s="114" t="n">
        <v>2925440</v>
      </c>
      <c r="C2298" s="114" t="n">
        <v>65787.9800000039</v>
      </c>
    </row>
    <row r="2299" customFormat="false" ht="15" hidden="false" customHeight="true" outlineLevel="0" collapsed="false">
      <c r="A2299" s="115" t="n">
        <v>2925440.01</v>
      </c>
      <c r="B2299" s="115" t="n">
        <v>2926720</v>
      </c>
      <c r="C2299" s="115" t="n">
        <v>65816.6400000039</v>
      </c>
    </row>
    <row r="2300" customFormat="false" ht="15" hidden="false" customHeight="true" outlineLevel="0" collapsed="false">
      <c r="A2300" s="114" t="n">
        <v>2926720.01</v>
      </c>
      <c r="B2300" s="114" t="n">
        <v>2928000</v>
      </c>
      <c r="C2300" s="114" t="n">
        <v>65845.3000000039</v>
      </c>
    </row>
    <row r="2301" customFormat="false" ht="15" hidden="false" customHeight="true" outlineLevel="0" collapsed="false">
      <c r="A2301" s="115" t="n">
        <v>2928000.01</v>
      </c>
      <c r="B2301" s="115" t="n">
        <v>2929280</v>
      </c>
      <c r="C2301" s="115" t="n">
        <v>65873.9600000039</v>
      </c>
    </row>
    <row r="2302" customFormat="false" ht="15" hidden="false" customHeight="true" outlineLevel="0" collapsed="false">
      <c r="A2302" s="114" t="n">
        <v>2929280.01</v>
      </c>
      <c r="B2302" s="114" t="n">
        <v>2930560</v>
      </c>
      <c r="C2302" s="114" t="n">
        <v>65902.6200000039</v>
      </c>
    </row>
    <row r="2303" customFormat="false" ht="15" hidden="false" customHeight="true" outlineLevel="0" collapsed="false">
      <c r="A2303" s="115" t="n">
        <v>2930560.01</v>
      </c>
      <c r="B2303" s="115" t="n">
        <v>2931840</v>
      </c>
      <c r="C2303" s="115" t="n">
        <v>65931.2800000039</v>
      </c>
    </row>
    <row r="2304" customFormat="false" ht="15" hidden="false" customHeight="true" outlineLevel="0" collapsed="false">
      <c r="A2304" s="114" t="n">
        <v>2931840.01</v>
      </c>
      <c r="B2304" s="114" t="n">
        <v>2933120</v>
      </c>
      <c r="C2304" s="114" t="n">
        <v>65959.9400000039</v>
      </c>
    </row>
    <row r="2305" customFormat="false" ht="15" hidden="false" customHeight="true" outlineLevel="0" collapsed="false">
      <c r="A2305" s="115" t="n">
        <v>2933120.01</v>
      </c>
      <c r="B2305" s="115" t="n">
        <v>2934400</v>
      </c>
      <c r="C2305" s="115" t="n">
        <v>65988.6000000039</v>
      </c>
    </row>
    <row r="2306" customFormat="false" ht="15" hidden="false" customHeight="true" outlineLevel="0" collapsed="false">
      <c r="A2306" s="114" t="n">
        <v>2934400.01</v>
      </c>
      <c r="B2306" s="114" t="n">
        <v>2935680</v>
      </c>
      <c r="C2306" s="114" t="n">
        <v>66017.2600000039</v>
      </c>
    </row>
    <row r="2307" customFormat="false" ht="15" hidden="false" customHeight="true" outlineLevel="0" collapsed="false">
      <c r="A2307" s="115" t="n">
        <v>2935680.01</v>
      </c>
      <c r="B2307" s="115" t="n">
        <v>2936960</v>
      </c>
      <c r="C2307" s="115" t="n">
        <v>66045.9200000039</v>
      </c>
    </row>
    <row r="2308" customFormat="false" ht="15" hidden="false" customHeight="true" outlineLevel="0" collapsed="false">
      <c r="A2308" s="114" t="n">
        <v>2936960.01</v>
      </c>
      <c r="B2308" s="114" t="n">
        <v>2938240</v>
      </c>
      <c r="C2308" s="114" t="n">
        <v>66074.5800000039</v>
      </c>
    </row>
    <row r="2309" customFormat="false" ht="15" hidden="false" customHeight="true" outlineLevel="0" collapsed="false">
      <c r="A2309" s="115" t="n">
        <v>2938240.01</v>
      </c>
      <c r="B2309" s="115" t="n">
        <v>2939520</v>
      </c>
      <c r="C2309" s="115" t="n">
        <v>66103.2400000039</v>
      </c>
    </row>
    <row r="2310" customFormat="false" ht="15" hidden="false" customHeight="true" outlineLevel="0" collapsed="false">
      <c r="A2310" s="114" t="n">
        <v>2939520.01</v>
      </c>
      <c r="B2310" s="114" t="n">
        <v>2940800</v>
      </c>
      <c r="C2310" s="114" t="n">
        <v>66131.9000000039</v>
      </c>
    </row>
    <row r="2311" customFormat="false" ht="15" hidden="false" customHeight="true" outlineLevel="0" collapsed="false">
      <c r="A2311" s="115" t="n">
        <v>2940800.01</v>
      </c>
      <c r="B2311" s="115" t="n">
        <v>2942080</v>
      </c>
      <c r="C2311" s="115" t="n">
        <v>66160.5600000039</v>
      </c>
    </row>
    <row r="2312" customFormat="false" ht="15" hidden="false" customHeight="true" outlineLevel="0" collapsed="false">
      <c r="A2312" s="114" t="n">
        <v>2942080.01</v>
      </c>
      <c r="B2312" s="114" t="n">
        <v>2943360</v>
      </c>
      <c r="C2312" s="114" t="n">
        <v>66189.2200000039</v>
      </c>
    </row>
    <row r="2313" customFormat="false" ht="15" hidden="false" customHeight="true" outlineLevel="0" collapsed="false">
      <c r="A2313" s="115" t="n">
        <v>2943360.01</v>
      </c>
      <c r="B2313" s="115" t="n">
        <v>2944640</v>
      </c>
      <c r="C2313" s="115" t="n">
        <v>66217.8800000039</v>
      </c>
    </row>
    <row r="2314" customFormat="false" ht="15" hidden="false" customHeight="true" outlineLevel="0" collapsed="false">
      <c r="A2314" s="114" t="n">
        <v>2944640.01</v>
      </c>
      <c r="B2314" s="114" t="n">
        <v>2945920</v>
      </c>
      <c r="C2314" s="114" t="n">
        <v>66246.5400000039</v>
      </c>
    </row>
    <row r="2315" customFormat="false" ht="15" hidden="false" customHeight="true" outlineLevel="0" collapsed="false">
      <c r="A2315" s="115" t="n">
        <v>2945920.01</v>
      </c>
      <c r="B2315" s="115" t="n">
        <v>2947200</v>
      </c>
      <c r="C2315" s="115" t="n">
        <v>66275.2000000039</v>
      </c>
    </row>
    <row r="2316" customFormat="false" ht="15" hidden="false" customHeight="true" outlineLevel="0" collapsed="false">
      <c r="A2316" s="114" t="n">
        <v>2947200.01</v>
      </c>
      <c r="B2316" s="114" t="n">
        <v>2948480</v>
      </c>
      <c r="C2316" s="114" t="n">
        <v>66303.8600000039</v>
      </c>
    </row>
    <row r="2317" customFormat="false" ht="15" hidden="false" customHeight="true" outlineLevel="0" collapsed="false">
      <c r="A2317" s="115" t="n">
        <v>2948480.01</v>
      </c>
      <c r="B2317" s="115" t="n">
        <v>2949760</v>
      </c>
      <c r="C2317" s="115" t="n">
        <v>66332.5200000039</v>
      </c>
    </row>
    <row r="2318" customFormat="false" ht="15" hidden="false" customHeight="true" outlineLevel="0" collapsed="false">
      <c r="A2318" s="114" t="n">
        <v>2949760.01</v>
      </c>
      <c r="B2318" s="114" t="n">
        <v>2951040</v>
      </c>
      <c r="C2318" s="114" t="n">
        <v>66361.1800000039</v>
      </c>
    </row>
    <row r="2319" customFormat="false" ht="15" hidden="false" customHeight="true" outlineLevel="0" collapsed="false">
      <c r="A2319" s="115" t="n">
        <v>2951040.01</v>
      </c>
      <c r="B2319" s="115" t="n">
        <v>2952320</v>
      </c>
      <c r="C2319" s="115" t="n">
        <v>66389.8400000039</v>
      </c>
    </row>
    <row r="2320" customFormat="false" ht="15" hidden="false" customHeight="true" outlineLevel="0" collapsed="false">
      <c r="A2320" s="114" t="n">
        <v>2952320.01</v>
      </c>
      <c r="B2320" s="114" t="n">
        <v>2953600</v>
      </c>
      <c r="C2320" s="114" t="n">
        <v>66418.5000000039</v>
      </c>
    </row>
    <row r="2321" customFormat="false" ht="15" hidden="false" customHeight="true" outlineLevel="0" collapsed="false">
      <c r="A2321" s="115" t="n">
        <v>2953600.01</v>
      </c>
      <c r="B2321" s="115" t="n">
        <v>2954880</v>
      </c>
      <c r="C2321" s="115" t="n">
        <v>66447.160000004</v>
      </c>
    </row>
    <row r="2322" customFormat="false" ht="15" hidden="false" customHeight="true" outlineLevel="0" collapsed="false">
      <c r="A2322" s="114" t="n">
        <v>2954880.01</v>
      </c>
      <c r="B2322" s="114" t="n">
        <v>2956160</v>
      </c>
      <c r="C2322" s="114" t="n">
        <v>66475.820000004</v>
      </c>
    </row>
    <row r="2323" customFormat="false" ht="15" hidden="false" customHeight="true" outlineLevel="0" collapsed="false">
      <c r="A2323" s="115" t="n">
        <v>2956160.01</v>
      </c>
      <c r="B2323" s="115" t="n">
        <v>2957440</v>
      </c>
      <c r="C2323" s="115" t="n">
        <v>66504.480000004</v>
      </c>
    </row>
    <row r="2324" customFormat="false" ht="15" hidden="false" customHeight="true" outlineLevel="0" collapsed="false">
      <c r="A2324" s="114" t="n">
        <v>2957440.01</v>
      </c>
      <c r="B2324" s="114" t="n">
        <v>2958720</v>
      </c>
      <c r="C2324" s="114" t="n">
        <v>66533.140000004</v>
      </c>
    </row>
    <row r="2325" customFormat="false" ht="15" hidden="false" customHeight="true" outlineLevel="0" collapsed="false">
      <c r="A2325" s="115" t="n">
        <v>2958720.01</v>
      </c>
      <c r="B2325" s="115" t="n">
        <v>2960000</v>
      </c>
      <c r="C2325" s="115" t="n">
        <v>66561.800000004</v>
      </c>
    </row>
    <row r="2326" customFormat="false" ht="15" hidden="false" customHeight="true" outlineLevel="0" collapsed="false">
      <c r="A2326" s="114" t="n">
        <v>2960000.01</v>
      </c>
      <c r="B2326" s="114" t="n">
        <v>2961280</v>
      </c>
      <c r="C2326" s="114" t="n">
        <v>66590.460000004</v>
      </c>
    </row>
    <row r="2327" customFormat="false" ht="15" hidden="false" customHeight="true" outlineLevel="0" collapsed="false">
      <c r="A2327" s="115" t="n">
        <v>2961280.01</v>
      </c>
      <c r="B2327" s="115" t="n">
        <v>2962560</v>
      </c>
      <c r="C2327" s="115" t="n">
        <v>66619.120000004</v>
      </c>
    </row>
    <row r="2328" customFormat="false" ht="15" hidden="false" customHeight="true" outlineLevel="0" collapsed="false">
      <c r="A2328" s="114" t="n">
        <v>2962560.01</v>
      </c>
      <c r="B2328" s="114" t="n">
        <v>2963840</v>
      </c>
      <c r="C2328" s="114" t="n">
        <v>66647.780000004</v>
      </c>
    </row>
    <row r="2329" customFormat="false" ht="15" hidden="false" customHeight="true" outlineLevel="0" collapsed="false">
      <c r="A2329" s="115" t="n">
        <v>2963840.01</v>
      </c>
      <c r="B2329" s="115" t="n">
        <v>2965120</v>
      </c>
      <c r="C2329" s="115" t="n">
        <v>66676.440000004</v>
      </c>
    </row>
    <row r="2330" customFormat="false" ht="15" hidden="false" customHeight="true" outlineLevel="0" collapsed="false">
      <c r="A2330" s="114" t="n">
        <v>2965120.01</v>
      </c>
      <c r="B2330" s="114" t="n">
        <v>2966400</v>
      </c>
      <c r="C2330" s="114" t="n">
        <v>66705.100000004</v>
      </c>
    </row>
    <row r="2331" customFormat="false" ht="15" hidden="false" customHeight="true" outlineLevel="0" collapsed="false">
      <c r="A2331" s="115" t="n">
        <v>2966400.01</v>
      </c>
      <c r="B2331" s="115" t="n">
        <v>2967680</v>
      </c>
      <c r="C2331" s="115" t="n">
        <v>66733.760000004</v>
      </c>
    </row>
    <row r="2332" customFormat="false" ht="15" hidden="false" customHeight="true" outlineLevel="0" collapsed="false">
      <c r="A2332" s="114" t="n">
        <v>2967680.01</v>
      </c>
      <c r="B2332" s="114" t="n">
        <v>2968960</v>
      </c>
      <c r="C2332" s="114" t="n">
        <v>66762.420000004</v>
      </c>
    </row>
    <row r="2333" customFormat="false" ht="15" hidden="false" customHeight="true" outlineLevel="0" collapsed="false">
      <c r="A2333" s="115" t="n">
        <v>2968960.01</v>
      </c>
      <c r="B2333" s="115" t="n">
        <v>2970240</v>
      </c>
      <c r="C2333" s="115" t="n">
        <v>66791.080000004</v>
      </c>
    </row>
    <row r="2334" customFormat="false" ht="15" hidden="false" customHeight="true" outlineLevel="0" collapsed="false">
      <c r="A2334" s="114" t="n">
        <v>2970240.01</v>
      </c>
      <c r="B2334" s="114" t="n">
        <v>2971520</v>
      </c>
      <c r="C2334" s="114" t="n">
        <v>66819.740000004</v>
      </c>
    </row>
    <row r="2335" customFormat="false" ht="15" hidden="false" customHeight="true" outlineLevel="0" collapsed="false">
      <c r="A2335" s="115" t="n">
        <v>2971520.01</v>
      </c>
      <c r="B2335" s="115" t="n">
        <v>2972800</v>
      </c>
      <c r="C2335" s="115" t="n">
        <v>66848.400000004</v>
      </c>
    </row>
    <row r="2336" customFormat="false" ht="15" hidden="false" customHeight="true" outlineLevel="0" collapsed="false">
      <c r="A2336" s="114" t="n">
        <v>2972800.01</v>
      </c>
      <c r="B2336" s="114" t="n">
        <v>2974080</v>
      </c>
      <c r="C2336" s="114" t="n">
        <v>66877.060000004</v>
      </c>
    </row>
    <row r="2337" customFormat="false" ht="15" hidden="false" customHeight="true" outlineLevel="0" collapsed="false">
      <c r="A2337" s="115" t="n">
        <v>2974080.01</v>
      </c>
      <c r="B2337" s="115" t="n">
        <v>2975360</v>
      </c>
      <c r="C2337" s="115" t="n">
        <v>66905.720000004</v>
      </c>
    </row>
    <row r="2338" customFormat="false" ht="15" hidden="false" customHeight="true" outlineLevel="0" collapsed="false">
      <c r="A2338" s="114" t="n">
        <v>2975360.01</v>
      </c>
      <c r="B2338" s="114" t="n">
        <v>2976640</v>
      </c>
      <c r="C2338" s="114" t="n">
        <v>66934.380000004</v>
      </c>
    </row>
    <row r="2339" customFormat="false" ht="15" hidden="false" customHeight="true" outlineLevel="0" collapsed="false">
      <c r="A2339" s="115" t="n">
        <v>2976640.01</v>
      </c>
      <c r="B2339" s="115" t="n">
        <v>2977920</v>
      </c>
      <c r="C2339" s="115" t="n">
        <v>66963.040000004</v>
      </c>
    </row>
    <row r="2340" customFormat="false" ht="15" hidden="false" customHeight="true" outlineLevel="0" collapsed="false">
      <c r="A2340" s="114" t="n">
        <v>2977920.01</v>
      </c>
      <c r="B2340" s="114" t="n">
        <v>2979200</v>
      </c>
      <c r="C2340" s="114" t="n">
        <v>66991.700000004</v>
      </c>
    </row>
    <row r="2341" customFormat="false" ht="15" hidden="false" customHeight="true" outlineLevel="0" collapsed="false">
      <c r="A2341" s="115" t="n">
        <v>2979200.01</v>
      </c>
      <c r="B2341" s="115" t="n">
        <v>2980480</v>
      </c>
      <c r="C2341" s="115" t="n">
        <v>67020.360000004</v>
      </c>
    </row>
    <row r="2342" customFormat="false" ht="15" hidden="false" customHeight="true" outlineLevel="0" collapsed="false">
      <c r="A2342" s="114" t="n">
        <v>2980480.01</v>
      </c>
      <c r="B2342" s="114" t="n">
        <v>2981760</v>
      </c>
      <c r="C2342" s="114" t="n">
        <v>67049.020000004</v>
      </c>
    </row>
    <row r="2343" customFormat="false" ht="15" hidden="false" customHeight="true" outlineLevel="0" collapsed="false">
      <c r="A2343" s="115" t="n">
        <v>2981760.01</v>
      </c>
      <c r="B2343" s="115" t="n">
        <v>2983040</v>
      </c>
      <c r="C2343" s="115" t="n">
        <v>67077.680000004</v>
      </c>
    </row>
    <row r="2344" customFormat="false" ht="15" hidden="false" customHeight="true" outlineLevel="0" collapsed="false">
      <c r="A2344" s="114" t="n">
        <v>2983040.01</v>
      </c>
      <c r="B2344" s="114" t="n">
        <v>2984320</v>
      </c>
      <c r="C2344" s="114" t="n">
        <v>67106.340000004</v>
      </c>
    </row>
    <row r="2345" customFormat="false" ht="15" hidden="false" customHeight="true" outlineLevel="0" collapsed="false">
      <c r="A2345" s="115" t="n">
        <v>2984320.01</v>
      </c>
      <c r="B2345" s="115" t="n">
        <v>2985600</v>
      </c>
      <c r="C2345" s="115" t="n">
        <v>67135.000000004</v>
      </c>
    </row>
    <row r="2346" customFormat="false" ht="15" hidden="false" customHeight="true" outlineLevel="0" collapsed="false">
      <c r="A2346" s="114" t="n">
        <v>2985600.01</v>
      </c>
      <c r="B2346" s="114" t="n">
        <v>2986880</v>
      </c>
      <c r="C2346" s="114" t="n">
        <v>67163.660000004</v>
      </c>
    </row>
    <row r="2347" customFormat="false" ht="15" hidden="false" customHeight="true" outlineLevel="0" collapsed="false">
      <c r="A2347" s="115" t="n">
        <v>2986880.01</v>
      </c>
      <c r="B2347" s="115" t="n">
        <v>2988160</v>
      </c>
      <c r="C2347" s="115" t="n">
        <v>67192.320000004</v>
      </c>
    </row>
    <row r="2348" customFormat="false" ht="15" hidden="false" customHeight="true" outlineLevel="0" collapsed="false">
      <c r="A2348" s="114" t="n">
        <v>2988160.01</v>
      </c>
      <c r="B2348" s="114" t="n">
        <v>2989440</v>
      </c>
      <c r="C2348" s="114" t="n">
        <v>67220.980000004</v>
      </c>
    </row>
    <row r="2349" customFormat="false" ht="15" hidden="false" customHeight="true" outlineLevel="0" collapsed="false">
      <c r="A2349" s="115" t="n">
        <v>2989440.01</v>
      </c>
      <c r="B2349" s="115" t="n">
        <v>2990720</v>
      </c>
      <c r="C2349" s="115" t="n">
        <v>67249.640000004</v>
      </c>
    </row>
    <row r="2350" customFormat="false" ht="15" hidden="false" customHeight="true" outlineLevel="0" collapsed="false">
      <c r="A2350" s="114" t="n">
        <v>2990720.01</v>
      </c>
      <c r="B2350" s="114" t="n">
        <v>2992000</v>
      </c>
      <c r="C2350" s="114" t="n">
        <v>67278.3000000041</v>
      </c>
    </row>
    <row r="2351" customFormat="false" ht="15" hidden="false" customHeight="true" outlineLevel="0" collapsed="false">
      <c r="A2351" s="115" t="n">
        <v>2992000.01</v>
      </c>
      <c r="B2351" s="115" t="n">
        <v>2993280</v>
      </c>
      <c r="C2351" s="115" t="n">
        <v>67306.9600000041</v>
      </c>
    </row>
    <row r="2352" customFormat="false" ht="15" hidden="false" customHeight="true" outlineLevel="0" collapsed="false">
      <c r="A2352" s="114" t="n">
        <v>2993280.01</v>
      </c>
      <c r="B2352" s="114" t="n">
        <v>2994560</v>
      </c>
      <c r="C2352" s="114" t="n">
        <v>67335.6200000041</v>
      </c>
    </row>
    <row r="2353" customFormat="false" ht="15" hidden="false" customHeight="true" outlineLevel="0" collapsed="false">
      <c r="A2353" s="115" t="n">
        <v>2994560.01</v>
      </c>
      <c r="B2353" s="115" t="n">
        <v>2995840</v>
      </c>
      <c r="C2353" s="115" t="n">
        <v>67364.2800000041</v>
      </c>
    </row>
    <row r="2354" customFormat="false" ht="15" hidden="false" customHeight="true" outlineLevel="0" collapsed="false">
      <c r="A2354" s="114" t="n">
        <v>2995840.01</v>
      </c>
      <c r="B2354" s="114" t="n">
        <v>2997120</v>
      </c>
      <c r="C2354" s="114" t="n">
        <v>67392.9400000041</v>
      </c>
    </row>
    <row r="2355" customFormat="false" ht="15" hidden="false" customHeight="true" outlineLevel="0" collapsed="false">
      <c r="A2355" s="115" t="n">
        <v>2997120.01</v>
      </c>
      <c r="B2355" s="115" t="n">
        <v>2998400</v>
      </c>
      <c r="C2355" s="115" t="n">
        <v>67421.6000000041</v>
      </c>
    </row>
    <row r="2356" customFormat="false" ht="15" hidden="false" customHeight="true" outlineLevel="0" collapsed="false">
      <c r="A2356" s="114" t="n">
        <v>2998400.01</v>
      </c>
      <c r="B2356" s="114" t="n">
        <v>2999680</v>
      </c>
      <c r="C2356" s="114" t="n">
        <v>67450.2600000041</v>
      </c>
    </row>
    <row r="2357" customFormat="false" ht="15" hidden="false" customHeight="true" outlineLevel="0" collapsed="false">
      <c r="A2357" s="115" t="n">
        <v>2999680.01</v>
      </c>
      <c r="B2357" s="115" t="n">
        <v>3000960</v>
      </c>
      <c r="C2357" s="115" t="n">
        <v>67478.9200000041</v>
      </c>
    </row>
    <row r="2358" customFormat="false" ht="15" hidden="false" customHeight="true" outlineLevel="0" collapsed="false">
      <c r="A2358" s="114" t="n">
        <v>3000960.01</v>
      </c>
      <c r="B2358" s="114" t="n">
        <v>3002240</v>
      </c>
      <c r="C2358" s="114" t="n">
        <v>67507.5800000041</v>
      </c>
    </row>
    <row r="2359" customFormat="false" ht="15" hidden="false" customHeight="true" outlineLevel="0" collapsed="false">
      <c r="A2359" s="115" t="n">
        <v>3002240.01</v>
      </c>
      <c r="B2359" s="115" t="n">
        <v>3003520</v>
      </c>
      <c r="C2359" s="115" t="n">
        <v>67536.2400000041</v>
      </c>
    </row>
    <row r="2360" customFormat="false" ht="15" hidden="false" customHeight="true" outlineLevel="0" collapsed="false">
      <c r="A2360" s="114" t="n">
        <v>3003520.01</v>
      </c>
      <c r="B2360" s="114" t="n">
        <v>3004800</v>
      </c>
      <c r="C2360" s="114" t="n">
        <v>67564.9000000041</v>
      </c>
    </row>
    <row r="2361" customFormat="false" ht="15" hidden="false" customHeight="true" outlineLevel="0" collapsed="false">
      <c r="A2361" s="115" t="n">
        <v>3004800.01</v>
      </c>
      <c r="B2361" s="115" t="n">
        <v>3006080</v>
      </c>
      <c r="C2361" s="115" t="n">
        <v>67593.5600000041</v>
      </c>
    </row>
    <row r="2362" customFormat="false" ht="15" hidden="false" customHeight="true" outlineLevel="0" collapsed="false">
      <c r="A2362" s="114" t="n">
        <v>3006080.01</v>
      </c>
      <c r="B2362" s="114" t="n">
        <v>3007360</v>
      </c>
      <c r="C2362" s="114" t="n">
        <v>67622.2200000041</v>
      </c>
    </row>
    <row r="2363" customFormat="false" ht="15" hidden="false" customHeight="true" outlineLevel="0" collapsed="false">
      <c r="A2363" s="115" t="n">
        <v>3007360.01</v>
      </c>
      <c r="B2363" s="115" t="n">
        <v>3008640</v>
      </c>
      <c r="C2363" s="115" t="n">
        <v>67650.8800000041</v>
      </c>
    </row>
    <row r="2364" customFormat="false" ht="15" hidden="false" customHeight="true" outlineLevel="0" collapsed="false">
      <c r="A2364" s="114" t="n">
        <v>3008640.01</v>
      </c>
      <c r="B2364" s="114" t="n">
        <v>3009920</v>
      </c>
      <c r="C2364" s="114" t="n">
        <v>67679.5400000041</v>
      </c>
    </row>
    <row r="2365" customFormat="false" ht="15" hidden="false" customHeight="true" outlineLevel="0" collapsed="false">
      <c r="A2365" s="115" t="n">
        <v>3009920.01</v>
      </c>
      <c r="B2365" s="115" t="n">
        <v>3011200</v>
      </c>
      <c r="C2365" s="115" t="n">
        <v>67708.2000000041</v>
      </c>
    </row>
    <row r="2366" customFormat="false" ht="15" hidden="false" customHeight="true" outlineLevel="0" collapsed="false">
      <c r="A2366" s="114" t="n">
        <v>3011200.01</v>
      </c>
      <c r="B2366" s="114" t="n">
        <v>3012480</v>
      </c>
      <c r="C2366" s="114" t="n">
        <v>67736.8600000041</v>
      </c>
    </row>
    <row r="2367" customFormat="false" ht="15" hidden="false" customHeight="true" outlineLevel="0" collapsed="false">
      <c r="A2367" s="115" t="n">
        <v>3012480.01</v>
      </c>
      <c r="B2367" s="115" t="n">
        <v>3013760</v>
      </c>
      <c r="C2367" s="115" t="n">
        <v>67765.5200000041</v>
      </c>
    </row>
    <row r="2368" customFormat="false" ht="15" hidden="false" customHeight="true" outlineLevel="0" collapsed="false">
      <c r="A2368" s="114" t="n">
        <v>3013760.01</v>
      </c>
      <c r="B2368" s="114" t="n">
        <v>3015040</v>
      </c>
      <c r="C2368" s="114" t="n">
        <v>67794.1800000041</v>
      </c>
    </row>
    <row r="2369" customFormat="false" ht="15" hidden="false" customHeight="true" outlineLevel="0" collapsed="false">
      <c r="A2369" s="115" t="n">
        <v>3015040.01</v>
      </c>
      <c r="B2369" s="115" t="n">
        <v>3016320</v>
      </c>
      <c r="C2369" s="115" t="n">
        <v>67822.8400000041</v>
      </c>
    </row>
    <row r="2370" customFormat="false" ht="15" hidden="false" customHeight="true" outlineLevel="0" collapsed="false">
      <c r="A2370" s="114" t="n">
        <v>3016320.01</v>
      </c>
      <c r="B2370" s="114" t="n">
        <v>3017600</v>
      </c>
      <c r="C2370" s="114" t="n">
        <v>67851.5000000041</v>
      </c>
    </row>
    <row r="2371" customFormat="false" ht="15" hidden="false" customHeight="true" outlineLevel="0" collapsed="false">
      <c r="A2371" s="115" t="n">
        <v>3017600.01</v>
      </c>
      <c r="B2371" s="115" t="n">
        <v>3018880</v>
      </c>
      <c r="C2371" s="115" t="n">
        <v>67880.1600000041</v>
      </c>
    </row>
    <row r="2372" customFormat="false" ht="15" hidden="false" customHeight="true" outlineLevel="0" collapsed="false">
      <c r="A2372" s="114" t="n">
        <v>3018880.01</v>
      </c>
      <c r="B2372" s="114" t="n">
        <v>3020160</v>
      </c>
      <c r="C2372" s="114" t="n">
        <v>67908.8200000041</v>
      </c>
    </row>
    <row r="2373" customFormat="false" ht="15" hidden="false" customHeight="true" outlineLevel="0" collapsed="false">
      <c r="A2373" s="115" t="n">
        <v>3020160.01</v>
      </c>
      <c r="B2373" s="115" t="n">
        <v>3021440</v>
      </c>
      <c r="C2373" s="115" t="n">
        <v>67937.4800000041</v>
      </c>
    </row>
    <row r="2374" customFormat="false" ht="15" hidden="false" customHeight="true" outlineLevel="0" collapsed="false">
      <c r="A2374" s="114" t="n">
        <v>3021440.01</v>
      </c>
      <c r="B2374" s="114" t="n">
        <v>3022720</v>
      </c>
      <c r="C2374" s="114" t="n">
        <v>67966.1400000041</v>
      </c>
    </row>
    <row r="2375" customFormat="false" ht="15" hidden="false" customHeight="true" outlineLevel="0" collapsed="false">
      <c r="A2375" s="115" t="n">
        <v>3022720.01</v>
      </c>
      <c r="B2375" s="115" t="n">
        <v>3024000</v>
      </c>
      <c r="C2375" s="115" t="n">
        <v>67994.8000000041</v>
      </c>
    </row>
    <row r="2376" customFormat="false" ht="15" hidden="false" customHeight="true" outlineLevel="0" collapsed="false">
      <c r="A2376" s="114" t="n">
        <v>3024000.01</v>
      </c>
      <c r="B2376" s="114" t="n">
        <v>3025280</v>
      </c>
      <c r="C2376" s="114" t="n">
        <v>68023.4600000041</v>
      </c>
    </row>
    <row r="2377" customFormat="false" ht="15" hidden="false" customHeight="true" outlineLevel="0" collapsed="false">
      <c r="A2377" s="115" t="n">
        <v>3025280.01</v>
      </c>
      <c r="B2377" s="115" t="n">
        <v>3026560</v>
      </c>
      <c r="C2377" s="115" t="n">
        <v>68052.1200000041</v>
      </c>
    </row>
    <row r="2378" customFormat="false" ht="15" hidden="false" customHeight="true" outlineLevel="0" collapsed="false">
      <c r="A2378" s="114" t="n">
        <v>3026560.01</v>
      </c>
      <c r="B2378" s="114" t="n">
        <v>3027840</v>
      </c>
      <c r="C2378" s="114" t="n">
        <v>68080.7800000042</v>
      </c>
    </row>
    <row r="2379" customFormat="false" ht="15" hidden="false" customHeight="true" outlineLevel="0" collapsed="false">
      <c r="A2379" s="115" t="n">
        <v>3027840.01</v>
      </c>
      <c r="B2379" s="115" t="n">
        <v>3029120</v>
      </c>
      <c r="C2379" s="115" t="n">
        <v>68109.4400000042</v>
      </c>
    </row>
    <row r="2380" customFormat="false" ht="15" hidden="false" customHeight="true" outlineLevel="0" collapsed="false">
      <c r="A2380" s="114" t="n">
        <v>3029120.01</v>
      </c>
      <c r="B2380" s="114" t="n">
        <v>3030400</v>
      </c>
      <c r="C2380" s="114" t="n">
        <v>68138.1000000042</v>
      </c>
    </row>
    <row r="2381" customFormat="false" ht="15" hidden="false" customHeight="true" outlineLevel="0" collapsed="false">
      <c r="A2381" s="115" t="n">
        <v>3030400.01</v>
      </c>
      <c r="B2381" s="115" t="n">
        <v>3031680</v>
      </c>
      <c r="C2381" s="115" t="n">
        <v>68166.7600000042</v>
      </c>
    </row>
    <row r="2382" customFormat="false" ht="15" hidden="false" customHeight="true" outlineLevel="0" collapsed="false">
      <c r="A2382" s="114" t="n">
        <v>3031680.01</v>
      </c>
      <c r="B2382" s="114" t="n">
        <v>3032960</v>
      </c>
      <c r="C2382" s="114" t="n">
        <v>68195.4200000042</v>
      </c>
    </row>
    <row r="2383" customFormat="false" ht="15" hidden="false" customHeight="true" outlineLevel="0" collapsed="false">
      <c r="A2383" s="115" t="n">
        <v>3032960.01</v>
      </c>
      <c r="B2383" s="115" t="n">
        <v>3034240</v>
      </c>
      <c r="C2383" s="115" t="n">
        <v>68224.0800000042</v>
      </c>
    </row>
    <row r="2384" customFormat="false" ht="15" hidden="false" customHeight="true" outlineLevel="0" collapsed="false">
      <c r="A2384" s="114" t="n">
        <v>3034240.01</v>
      </c>
      <c r="B2384" s="114" t="n">
        <v>3035520</v>
      </c>
      <c r="C2384" s="114" t="n">
        <v>68252.7400000042</v>
      </c>
    </row>
    <row r="2385" customFormat="false" ht="15" hidden="false" customHeight="true" outlineLevel="0" collapsed="false">
      <c r="A2385" s="115" t="n">
        <v>3035520.01</v>
      </c>
      <c r="B2385" s="115" t="n">
        <v>3036800</v>
      </c>
      <c r="C2385" s="115" t="n">
        <v>68281.4000000042</v>
      </c>
    </row>
    <row r="2386" customFormat="false" ht="15" hidden="false" customHeight="true" outlineLevel="0" collapsed="false">
      <c r="A2386" s="114" t="n">
        <v>3036800.01</v>
      </c>
      <c r="B2386" s="114" t="n">
        <v>3038080</v>
      </c>
      <c r="C2386" s="114" t="n">
        <v>68310.0600000042</v>
      </c>
    </row>
    <row r="2387" customFormat="false" ht="15" hidden="false" customHeight="true" outlineLevel="0" collapsed="false">
      <c r="A2387" s="115" t="n">
        <v>3038080.01</v>
      </c>
      <c r="B2387" s="115" t="n">
        <v>3039360</v>
      </c>
      <c r="C2387" s="115" t="n">
        <v>68338.7200000042</v>
      </c>
    </row>
    <row r="2388" customFormat="false" ht="15" hidden="false" customHeight="true" outlineLevel="0" collapsed="false">
      <c r="A2388" s="114" t="n">
        <v>3039360.01</v>
      </c>
      <c r="B2388" s="114" t="n">
        <v>3040640</v>
      </c>
      <c r="C2388" s="114" t="n">
        <v>68367.3800000042</v>
      </c>
    </row>
    <row r="2389" customFormat="false" ht="15" hidden="false" customHeight="true" outlineLevel="0" collapsed="false">
      <c r="A2389" s="115" t="n">
        <v>3040640.01</v>
      </c>
      <c r="B2389" s="115" t="n">
        <v>3041920</v>
      </c>
      <c r="C2389" s="115" t="n">
        <v>68396.0400000042</v>
      </c>
    </row>
    <row r="2390" customFormat="false" ht="15" hidden="false" customHeight="true" outlineLevel="0" collapsed="false">
      <c r="A2390" s="114" t="n">
        <v>3041920.01</v>
      </c>
      <c r="B2390" s="114" t="n">
        <v>3043200</v>
      </c>
      <c r="C2390" s="114" t="n">
        <v>68424.7000000042</v>
      </c>
    </row>
    <row r="2391" customFormat="false" ht="15" hidden="false" customHeight="true" outlineLevel="0" collapsed="false">
      <c r="A2391" s="115" t="n">
        <v>3043200.01</v>
      </c>
      <c r="B2391" s="115" t="n">
        <v>3044480</v>
      </c>
      <c r="C2391" s="115" t="n">
        <v>68453.3600000042</v>
      </c>
    </row>
    <row r="2392" customFormat="false" ht="15" hidden="false" customHeight="true" outlineLevel="0" collapsed="false">
      <c r="A2392" s="114" t="n">
        <v>3044480.01</v>
      </c>
      <c r="B2392" s="114" t="n">
        <v>3045760</v>
      </c>
      <c r="C2392" s="114" t="n">
        <v>68482.0200000042</v>
      </c>
    </row>
    <row r="2393" customFormat="false" ht="15" hidden="false" customHeight="true" outlineLevel="0" collapsed="false">
      <c r="A2393" s="115" t="n">
        <v>3045760.01</v>
      </c>
      <c r="B2393" s="115" t="n">
        <v>3047040</v>
      </c>
      <c r="C2393" s="115" t="n">
        <v>68510.6800000042</v>
      </c>
    </row>
    <row r="2394" customFormat="false" ht="15" hidden="false" customHeight="true" outlineLevel="0" collapsed="false">
      <c r="A2394" s="114" t="n">
        <v>3047040.01</v>
      </c>
      <c r="B2394" s="114" t="n">
        <v>3048320</v>
      </c>
      <c r="C2394" s="114" t="n">
        <v>68539.3400000042</v>
      </c>
    </row>
    <row r="2395" customFormat="false" ht="15" hidden="false" customHeight="true" outlineLevel="0" collapsed="false">
      <c r="A2395" s="115" t="n">
        <v>3048320.01</v>
      </c>
      <c r="B2395" s="115" t="n">
        <v>3049600</v>
      </c>
      <c r="C2395" s="115" t="n">
        <v>68568.0000000042</v>
      </c>
    </row>
    <row r="2396" customFormat="false" ht="15" hidden="false" customHeight="true" outlineLevel="0" collapsed="false">
      <c r="A2396" s="114" t="n">
        <v>3049600.01</v>
      </c>
      <c r="B2396" s="114" t="n">
        <v>3050880</v>
      </c>
      <c r="C2396" s="114" t="n">
        <v>68596.6600000042</v>
      </c>
    </row>
    <row r="2397" customFormat="false" ht="15" hidden="false" customHeight="true" outlineLevel="0" collapsed="false">
      <c r="A2397" s="115" t="n">
        <v>3050880.01</v>
      </c>
      <c r="B2397" s="115" t="n">
        <v>3052160</v>
      </c>
      <c r="C2397" s="115" t="n">
        <v>68625.3200000042</v>
      </c>
    </row>
    <row r="2398" customFormat="false" ht="15" hidden="false" customHeight="true" outlineLevel="0" collapsed="false">
      <c r="A2398" s="114" t="n">
        <v>3052160.01</v>
      </c>
      <c r="B2398" s="114" t="n">
        <v>3053440</v>
      </c>
      <c r="C2398" s="114" t="n">
        <v>68653.9800000042</v>
      </c>
    </row>
    <row r="2399" customFormat="false" ht="15" hidden="false" customHeight="true" outlineLevel="0" collapsed="false">
      <c r="A2399" s="115" t="n">
        <v>3053440.01</v>
      </c>
      <c r="B2399" s="115" t="n">
        <v>3054720</v>
      </c>
      <c r="C2399" s="115" t="n">
        <v>68682.6400000042</v>
      </c>
    </row>
    <row r="2400" customFormat="false" ht="15" hidden="false" customHeight="true" outlineLevel="0" collapsed="false">
      <c r="A2400" s="114" t="n">
        <v>3054720.01</v>
      </c>
      <c r="B2400" s="114" t="n">
        <v>3056000</v>
      </c>
      <c r="C2400" s="114" t="n">
        <v>68711.3000000042</v>
      </c>
    </row>
    <row r="2401" customFormat="false" ht="15" hidden="false" customHeight="true" outlineLevel="0" collapsed="false">
      <c r="A2401" s="115" t="n">
        <v>3056000.01</v>
      </c>
      <c r="B2401" s="115" t="n">
        <v>3057280</v>
      </c>
      <c r="C2401" s="115" t="n">
        <v>68739.9600000042</v>
      </c>
    </row>
    <row r="2402" customFormat="false" ht="15" hidden="false" customHeight="true" outlineLevel="0" collapsed="false">
      <c r="A2402" s="114" t="n">
        <v>3057280.01</v>
      </c>
      <c r="B2402" s="114" t="n">
        <v>3058560</v>
      </c>
      <c r="C2402" s="114" t="n">
        <v>68768.6200000042</v>
      </c>
    </row>
    <row r="2403" customFormat="false" ht="15" hidden="false" customHeight="true" outlineLevel="0" collapsed="false">
      <c r="A2403" s="115" t="n">
        <v>3058560.01</v>
      </c>
      <c r="B2403" s="115" t="n">
        <v>3059840</v>
      </c>
      <c r="C2403" s="115" t="n">
        <v>68797.2800000042</v>
      </c>
    </row>
    <row r="2404" customFormat="false" ht="15" hidden="false" customHeight="true" outlineLevel="0" collapsed="false">
      <c r="A2404" s="114" t="n">
        <v>3059840.01</v>
      </c>
      <c r="B2404" s="114" t="n">
        <v>3061120</v>
      </c>
      <c r="C2404" s="114" t="n">
        <v>68825.9400000042</v>
      </c>
    </row>
    <row r="2405" customFormat="false" ht="15" hidden="false" customHeight="true" outlineLevel="0" collapsed="false">
      <c r="A2405" s="115" t="n">
        <v>3061120.01</v>
      </c>
      <c r="B2405" s="115" t="n">
        <v>3062400</v>
      </c>
      <c r="C2405" s="115" t="n">
        <v>68854.6000000042</v>
      </c>
    </row>
    <row r="2406" customFormat="false" ht="15" hidden="false" customHeight="true" outlineLevel="0" collapsed="false">
      <c r="A2406" s="114" t="n">
        <v>3062400.01</v>
      </c>
      <c r="B2406" s="114" t="n">
        <v>3063680</v>
      </c>
      <c r="C2406" s="114" t="n">
        <v>68883.2600000042</v>
      </c>
    </row>
    <row r="2407" customFormat="false" ht="15" hidden="false" customHeight="true" outlineLevel="0" collapsed="false">
      <c r="A2407" s="115" t="n">
        <v>3063680.01</v>
      </c>
      <c r="B2407" s="115" t="n">
        <v>3064960</v>
      </c>
      <c r="C2407" s="115" t="n">
        <v>68911.9200000043</v>
      </c>
    </row>
    <row r="2408" customFormat="false" ht="15" hidden="false" customHeight="true" outlineLevel="0" collapsed="false">
      <c r="A2408" s="114" t="n">
        <v>3064960.01</v>
      </c>
      <c r="B2408" s="114" t="n">
        <v>3066240</v>
      </c>
      <c r="C2408" s="114" t="n">
        <v>68940.5800000043</v>
      </c>
    </row>
    <row r="2409" customFormat="false" ht="15" hidden="false" customHeight="true" outlineLevel="0" collapsed="false">
      <c r="A2409" s="115" t="n">
        <v>3066240.01</v>
      </c>
      <c r="B2409" s="115" t="n">
        <v>3067520</v>
      </c>
      <c r="C2409" s="115" t="n">
        <v>68969.2400000043</v>
      </c>
    </row>
    <row r="2410" customFormat="false" ht="15" hidden="false" customHeight="true" outlineLevel="0" collapsed="false">
      <c r="A2410" s="114" t="n">
        <v>3067520.01</v>
      </c>
      <c r="B2410" s="114" t="n">
        <v>3068800</v>
      </c>
      <c r="C2410" s="114" t="n">
        <v>68997.9000000043</v>
      </c>
    </row>
    <row r="2411" customFormat="false" ht="15" hidden="false" customHeight="true" outlineLevel="0" collapsed="false">
      <c r="A2411" s="115" t="n">
        <v>3068800.01</v>
      </c>
      <c r="B2411" s="115" t="n">
        <v>3070080</v>
      </c>
      <c r="C2411" s="115" t="n">
        <v>69026.5600000043</v>
      </c>
    </row>
    <row r="2412" customFormat="false" ht="15" hidden="false" customHeight="true" outlineLevel="0" collapsed="false">
      <c r="A2412" s="114" t="n">
        <v>3070080.01</v>
      </c>
      <c r="B2412" s="114" t="n">
        <v>3071360</v>
      </c>
      <c r="C2412" s="114" t="n">
        <v>69055.2200000043</v>
      </c>
    </row>
    <row r="2413" customFormat="false" ht="15" hidden="false" customHeight="true" outlineLevel="0" collapsed="false">
      <c r="A2413" s="115" t="n">
        <v>3071360.01</v>
      </c>
      <c r="B2413" s="115" t="n">
        <v>3072640</v>
      </c>
      <c r="C2413" s="115" t="n">
        <v>69083.8800000043</v>
      </c>
    </row>
    <row r="2414" customFormat="false" ht="15" hidden="false" customHeight="true" outlineLevel="0" collapsed="false">
      <c r="A2414" s="114" t="n">
        <v>3072640.01</v>
      </c>
      <c r="B2414" s="114" t="n">
        <v>3073920</v>
      </c>
      <c r="C2414" s="114" t="n">
        <v>69112.5400000043</v>
      </c>
    </row>
    <row r="2415" customFormat="false" ht="15" hidden="false" customHeight="true" outlineLevel="0" collapsed="false">
      <c r="A2415" s="115" t="n">
        <v>3073920.01</v>
      </c>
      <c r="B2415" s="115" t="n">
        <v>3075200</v>
      </c>
      <c r="C2415" s="115" t="n">
        <v>69141.2000000043</v>
      </c>
    </row>
    <row r="2416" customFormat="false" ht="15" hidden="false" customHeight="true" outlineLevel="0" collapsed="false">
      <c r="A2416" s="114" t="n">
        <v>3075200.01</v>
      </c>
      <c r="B2416" s="114" t="n">
        <v>3076480</v>
      </c>
      <c r="C2416" s="114" t="n">
        <v>69169.8600000043</v>
      </c>
    </row>
    <row r="2417" customFormat="false" ht="15" hidden="false" customHeight="true" outlineLevel="0" collapsed="false">
      <c r="A2417" s="115" t="n">
        <v>3076480.01</v>
      </c>
      <c r="B2417" s="115" t="n">
        <v>3077760</v>
      </c>
      <c r="C2417" s="115" t="n">
        <v>69198.5200000043</v>
      </c>
    </row>
    <row r="2418" customFormat="false" ht="15" hidden="false" customHeight="true" outlineLevel="0" collapsed="false">
      <c r="A2418" s="114" t="n">
        <v>3077760.01</v>
      </c>
      <c r="B2418" s="114" t="n">
        <v>3079040</v>
      </c>
      <c r="C2418" s="114" t="n">
        <v>69227.1800000043</v>
      </c>
    </row>
    <row r="2419" customFormat="false" ht="15" hidden="false" customHeight="true" outlineLevel="0" collapsed="false">
      <c r="A2419" s="115" t="n">
        <v>3079040.01</v>
      </c>
      <c r="B2419" s="115" t="n">
        <v>3080320</v>
      </c>
      <c r="C2419" s="115" t="n">
        <v>69255.8400000043</v>
      </c>
    </row>
    <row r="2420" customFormat="false" ht="15" hidden="false" customHeight="true" outlineLevel="0" collapsed="false">
      <c r="A2420" s="114" t="n">
        <v>3080320.01</v>
      </c>
      <c r="B2420" s="114" t="n">
        <v>3081600</v>
      </c>
      <c r="C2420" s="114" t="n">
        <v>69284.5000000043</v>
      </c>
    </row>
    <row r="2421" customFormat="false" ht="15" hidden="false" customHeight="true" outlineLevel="0" collapsed="false">
      <c r="A2421" s="115" t="n">
        <v>3081600.01</v>
      </c>
      <c r="B2421" s="115" t="n">
        <v>3082880</v>
      </c>
      <c r="C2421" s="115" t="n">
        <v>69313.1600000043</v>
      </c>
    </row>
    <row r="2422" customFormat="false" ht="15" hidden="false" customHeight="true" outlineLevel="0" collapsed="false">
      <c r="A2422" s="114" t="n">
        <v>3082880.01</v>
      </c>
      <c r="B2422" s="114" t="n">
        <v>3084160</v>
      </c>
      <c r="C2422" s="114" t="n">
        <v>69341.8200000043</v>
      </c>
    </row>
    <row r="2423" customFormat="false" ht="15" hidden="false" customHeight="true" outlineLevel="0" collapsed="false">
      <c r="A2423" s="115" t="n">
        <v>3084160.01</v>
      </c>
      <c r="B2423" s="115" t="n">
        <v>3085440</v>
      </c>
      <c r="C2423" s="115" t="n">
        <v>69370.4800000043</v>
      </c>
    </row>
    <row r="2424" customFormat="false" ht="15" hidden="false" customHeight="true" outlineLevel="0" collapsed="false">
      <c r="A2424" s="114" t="n">
        <v>3085440.01</v>
      </c>
      <c r="B2424" s="114" t="n">
        <v>3086720</v>
      </c>
      <c r="C2424" s="114" t="n">
        <v>69399.1400000043</v>
      </c>
    </row>
    <row r="2425" customFormat="false" ht="15" hidden="false" customHeight="true" outlineLevel="0" collapsed="false">
      <c r="A2425" s="115" t="n">
        <v>3086720.01</v>
      </c>
      <c r="B2425" s="115" t="n">
        <v>3088000</v>
      </c>
      <c r="C2425" s="115" t="n">
        <v>69427.8000000043</v>
      </c>
    </row>
    <row r="2426" customFormat="false" ht="15" hidden="false" customHeight="true" outlineLevel="0" collapsed="false">
      <c r="A2426" s="114" t="n">
        <v>3088000.01</v>
      </c>
      <c r="B2426" s="114" t="n">
        <v>3089280</v>
      </c>
      <c r="C2426" s="114" t="n">
        <v>69456.4600000043</v>
      </c>
    </row>
    <row r="2427" customFormat="false" ht="15" hidden="false" customHeight="true" outlineLevel="0" collapsed="false">
      <c r="A2427" s="115" t="n">
        <v>3089280.01</v>
      </c>
      <c r="B2427" s="115" t="n">
        <v>3090560</v>
      </c>
      <c r="C2427" s="115" t="n">
        <v>69485.1200000043</v>
      </c>
    </row>
    <row r="2428" customFormat="false" ht="15" hidden="false" customHeight="true" outlineLevel="0" collapsed="false">
      <c r="A2428" s="114" t="n">
        <v>3090560.01</v>
      </c>
      <c r="B2428" s="114" t="n">
        <v>3091840</v>
      </c>
      <c r="C2428" s="114" t="n">
        <v>69513.7800000043</v>
      </c>
    </row>
    <row r="2429" customFormat="false" ht="15" hidden="false" customHeight="true" outlineLevel="0" collapsed="false">
      <c r="A2429" s="115" t="n">
        <v>3091840.01</v>
      </c>
      <c r="B2429" s="115" t="n">
        <v>3093120</v>
      </c>
      <c r="C2429" s="115" t="n">
        <v>69542.4400000043</v>
      </c>
    </row>
    <row r="2430" customFormat="false" ht="15" hidden="false" customHeight="true" outlineLevel="0" collapsed="false">
      <c r="A2430" s="114" t="n">
        <v>3093120.01</v>
      </c>
      <c r="B2430" s="114" t="n">
        <v>3094400</v>
      </c>
      <c r="C2430" s="114" t="n">
        <v>69571.1000000043</v>
      </c>
    </row>
    <row r="2431" customFormat="false" ht="15" hidden="false" customHeight="true" outlineLevel="0" collapsed="false">
      <c r="A2431" s="115" t="n">
        <v>3094400.01</v>
      </c>
      <c r="B2431" s="115" t="n">
        <v>3095680</v>
      </c>
      <c r="C2431" s="115" t="n">
        <v>69599.7600000043</v>
      </c>
    </row>
    <row r="2432" customFormat="false" ht="15" hidden="false" customHeight="true" outlineLevel="0" collapsed="false">
      <c r="A2432" s="114" t="n">
        <v>3095680.01</v>
      </c>
      <c r="B2432" s="114" t="n">
        <v>3096960</v>
      </c>
      <c r="C2432" s="114" t="n">
        <v>69628.4200000043</v>
      </c>
    </row>
    <row r="2433" customFormat="false" ht="15" hidden="false" customHeight="true" outlineLevel="0" collapsed="false">
      <c r="A2433" s="115" t="n">
        <v>3096960.01</v>
      </c>
      <c r="B2433" s="115" t="n">
        <v>3098240</v>
      </c>
      <c r="C2433" s="115" t="n">
        <v>69657.0800000043</v>
      </c>
    </row>
    <row r="2434" customFormat="false" ht="15" hidden="false" customHeight="true" outlineLevel="0" collapsed="false">
      <c r="A2434" s="114" t="n">
        <v>3098240.01</v>
      </c>
      <c r="B2434" s="114" t="n">
        <v>3099520</v>
      </c>
      <c r="C2434" s="114" t="n">
        <v>69685.7400000043</v>
      </c>
    </row>
    <row r="2435" customFormat="false" ht="15" hidden="false" customHeight="true" outlineLevel="0" collapsed="false">
      <c r="A2435" s="115" t="n">
        <v>3099520.01</v>
      </c>
      <c r="B2435" s="115" t="n">
        <v>3100800</v>
      </c>
      <c r="C2435" s="115" t="n">
        <v>69714.4000000044</v>
      </c>
    </row>
    <row r="2436" customFormat="false" ht="15" hidden="false" customHeight="true" outlineLevel="0" collapsed="false">
      <c r="A2436" s="114" t="n">
        <v>3100800.01</v>
      </c>
      <c r="B2436" s="114" t="n">
        <v>3102080</v>
      </c>
      <c r="C2436" s="114" t="n">
        <v>69743.0600000044</v>
      </c>
    </row>
    <row r="2437" customFormat="false" ht="15" hidden="false" customHeight="true" outlineLevel="0" collapsed="false">
      <c r="A2437" s="115" t="n">
        <v>3102080.01</v>
      </c>
      <c r="B2437" s="115" t="n">
        <v>3103360</v>
      </c>
      <c r="C2437" s="115" t="n">
        <v>69771.7200000044</v>
      </c>
    </row>
    <row r="2438" customFormat="false" ht="15" hidden="false" customHeight="true" outlineLevel="0" collapsed="false">
      <c r="A2438" s="114" t="n">
        <v>3103360.01</v>
      </c>
      <c r="B2438" s="114" t="n">
        <v>3104640</v>
      </c>
      <c r="C2438" s="114" t="n">
        <v>69800.3800000044</v>
      </c>
    </row>
    <row r="2439" customFormat="false" ht="15" hidden="false" customHeight="true" outlineLevel="0" collapsed="false">
      <c r="A2439" s="115" t="n">
        <v>3104640.01</v>
      </c>
      <c r="B2439" s="115" t="n">
        <v>3105920</v>
      </c>
      <c r="C2439" s="115" t="n">
        <v>69829.0400000044</v>
      </c>
    </row>
    <row r="2440" customFormat="false" ht="15" hidden="false" customHeight="true" outlineLevel="0" collapsed="false">
      <c r="A2440" s="114" t="n">
        <v>3105920.01</v>
      </c>
      <c r="B2440" s="114" t="n">
        <v>3107200</v>
      </c>
      <c r="C2440" s="114" t="n">
        <v>69857.7000000044</v>
      </c>
    </row>
    <row r="2441" customFormat="false" ht="15" hidden="false" customHeight="true" outlineLevel="0" collapsed="false">
      <c r="A2441" s="115" t="n">
        <v>3107200.01</v>
      </c>
      <c r="B2441" s="115" t="n">
        <v>3108480</v>
      </c>
      <c r="C2441" s="115" t="n">
        <v>69886.3600000044</v>
      </c>
    </row>
    <row r="2442" customFormat="false" ht="15" hidden="false" customHeight="true" outlineLevel="0" collapsed="false">
      <c r="A2442" s="114" t="n">
        <v>3108480.01</v>
      </c>
      <c r="B2442" s="114" t="n">
        <v>3109760</v>
      </c>
      <c r="C2442" s="114" t="n">
        <v>69915.0200000044</v>
      </c>
    </row>
    <row r="2443" customFormat="false" ht="15" hidden="false" customHeight="true" outlineLevel="0" collapsed="false">
      <c r="A2443" s="115" t="n">
        <v>3109760.01</v>
      </c>
      <c r="B2443" s="115" t="n">
        <v>3111040</v>
      </c>
      <c r="C2443" s="115" t="n">
        <v>69943.6800000044</v>
      </c>
    </row>
    <row r="2444" customFormat="false" ht="15" hidden="false" customHeight="true" outlineLevel="0" collapsed="false">
      <c r="A2444" s="114" t="n">
        <v>3111040.01</v>
      </c>
      <c r="B2444" s="114" t="n">
        <v>3112320</v>
      </c>
      <c r="C2444" s="114" t="n">
        <v>69972.3400000044</v>
      </c>
    </row>
    <row r="2445" customFormat="false" ht="15" hidden="false" customHeight="true" outlineLevel="0" collapsed="false">
      <c r="A2445" s="115" t="n">
        <v>3112320.01</v>
      </c>
      <c r="B2445" s="115" t="n">
        <v>3113600</v>
      </c>
      <c r="C2445" s="115" t="n">
        <v>70001.0000000044</v>
      </c>
    </row>
    <row r="2446" customFormat="false" ht="15" hidden="false" customHeight="true" outlineLevel="0" collapsed="false">
      <c r="A2446" s="114" t="n">
        <v>3113600.01</v>
      </c>
      <c r="B2446" s="114" t="n">
        <v>3114880</v>
      </c>
      <c r="C2446" s="114" t="n">
        <v>70029.6600000044</v>
      </c>
    </row>
    <row r="2447" customFormat="false" ht="15" hidden="false" customHeight="true" outlineLevel="0" collapsed="false">
      <c r="A2447" s="115" t="n">
        <v>3114880.01</v>
      </c>
      <c r="B2447" s="115" t="n">
        <v>3116160</v>
      </c>
      <c r="C2447" s="115" t="n">
        <v>70058.3200000044</v>
      </c>
    </row>
    <row r="2448" customFormat="false" ht="15" hidden="false" customHeight="true" outlineLevel="0" collapsed="false">
      <c r="A2448" s="114" t="n">
        <v>3116160.01</v>
      </c>
      <c r="B2448" s="114" t="n">
        <v>3117440</v>
      </c>
      <c r="C2448" s="114" t="n">
        <v>70086.9800000044</v>
      </c>
    </row>
    <row r="2449" customFormat="false" ht="15" hidden="false" customHeight="true" outlineLevel="0" collapsed="false">
      <c r="A2449" s="115" t="n">
        <v>3117440.01</v>
      </c>
      <c r="B2449" s="115" t="n">
        <v>3118720</v>
      </c>
      <c r="C2449" s="115" t="n">
        <v>70115.6400000044</v>
      </c>
    </row>
    <row r="2450" customFormat="false" ht="15" hidden="false" customHeight="true" outlineLevel="0" collapsed="false">
      <c r="A2450" s="114" t="n">
        <v>3118720.01</v>
      </c>
      <c r="B2450" s="114" t="n">
        <v>3120000</v>
      </c>
      <c r="C2450" s="114" t="n">
        <v>70144.3000000044</v>
      </c>
    </row>
    <row r="2451" customFormat="false" ht="15" hidden="false" customHeight="true" outlineLevel="0" collapsed="false">
      <c r="A2451" s="115" t="n">
        <v>3120000.01</v>
      </c>
      <c r="B2451" s="115" t="n">
        <v>3121280</v>
      </c>
      <c r="C2451" s="115" t="n">
        <v>70172.9600000044</v>
      </c>
    </row>
    <row r="2452" customFormat="false" ht="15" hidden="false" customHeight="true" outlineLevel="0" collapsed="false">
      <c r="A2452" s="114" t="n">
        <v>3121280.01</v>
      </c>
      <c r="B2452" s="114" t="n">
        <v>3122560</v>
      </c>
      <c r="C2452" s="114" t="n">
        <v>70201.6200000044</v>
      </c>
    </row>
    <row r="2453" customFormat="false" ht="15" hidden="false" customHeight="true" outlineLevel="0" collapsed="false">
      <c r="A2453" s="115" t="n">
        <v>3122560.01</v>
      </c>
      <c r="B2453" s="115" t="n">
        <v>3123840</v>
      </c>
      <c r="C2453" s="115" t="n">
        <v>70230.2800000044</v>
      </c>
    </row>
    <row r="2454" customFormat="false" ht="15" hidden="false" customHeight="true" outlineLevel="0" collapsed="false">
      <c r="A2454" s="114" t="n">
        <v>3123840.01</v>
      </c>
      <c r="B2454" s="114" t="n">
        <v>3125120</v>
      </c>
      <c r="C2454" s="114" t="n">
        <v>70258.9400000044</v>
      </c>
    </row>
    <row r="2455" customFormat="false" ht="15" hidden="false" customHeight="true" outlineLevel="0" collapsed="false">
      <c r="A2455" s="115" t="n">
        <v>3125120.01</v>
      </c>
      <c r="B2455" s="115" t="n">
        <v>3126400</v>
      </c>
      <c r="C2455" s="115" t="n">
        <v>70287.6000000044</v>
      </c>
    </row>
    <row r="2456" customFormat="false" ht="15" hidden="false" customHeight="true" outlineLevel="0" collapsed="false">
      <c r="A2456" s="114" t="n">
        <v>3126400.01</v>
      </c>
      <c r="B2456" s="114" t="n">
        <v>3127680</v>
      </c>
      <c r="C2456" s="114" t="n">
        <v>70316.2600000044</v>
      </c>
    </row>
    <row r="2457" customFormat="false" ht="15" hidden="false" customHeight="true" outlineLevel="0" collapsed="false">
      <c r="A2457" s="115" t="n">
        <v>3127680.01</v>
      </c>
      <c r="B2457" s="115" t="n">
        <v>3128960</v>
      </c>
      <c r="C2457" s="115" t="n">
        <v>70344.9200000044</v>
      </c>
    </row>
    <row r="2458" customFormat="false" ht="15" hidden="false" customHeight="true" outlineLevel="0" collapsed="false">
      <c r="A2458" s="114" t="n">
        <v>3128960.01</v>
      </c>
      <c r="B2458" s="114" t="n">
        <v>3130240</v>
      </c>
      <c r="C2458" s="114" t="n">
        <v>70373.5800000044</v>
      </c>
    </row>
    <row r="2459" customFormat="false" ht="15" hidden="false" customHeight="true" outlineLevel="0" collapsed="false">
      <c r="A2459" s="115" t="n">
        <v>3130240.01</v>
      </c>
      <c r="B2459" s="115" t="n">
        <v>3131520</v>
      </c>
      <c r="C2459" s="115" t="n">
        <v>70402.2400000044</v>
      </c>
    </row>
    <row r="2460" customFormat="false" ht="15" hidden="false" customHeight="true" outlineLevel="0" collapsed="false">
      <c r="A2460" s="114" t="n">
        <v>3131520.01</v>
      </c>
      <c r="B2460" s="114" t="n">
        <v>3132800</v>
      </c>
      <c r="C2460" s="114" t="n">
        <v>70430.9000000044</v>
      </c>
    </row>
    <row r="2461" customFormat="false" ht="15" hidden="false" customHeight="true" outlineLevel="0" collapsed="false">
      <c r="A2461" s="115" t="n">
        <v>3132800.01</v>
      </c>
      <c r="B2461" s="115" t="n">
        <v>3134080</v>
      </c>
      <c r="C2461" s="115" t="n">
        <v>70459.5600000044</v>
      </c>
    </row>
    <row r="2462" customFormat="false" ht="15" hidden="false" customHeight="true" outlineLevel="0" collapsed="false">
      <c r="A2462" s="114" t="n">
        <v>3134080.01</v>
      </c>
      <c r="B2462" s="114" t="n">
        <v>3135360</v>
      </c>
      <c r="C2462" s="114" t="n">
        <v>70488.2200000044</v>
      </c>
    </row>
    <row r="2463" customFormat="false" ht="15" hidden="false" customHeight="true" outlineLevel="0" collapsed="false">
      <c r="A2463" s="115" t="n">
        <v>3135360.01</v>
      </c>
      <c r="B2463" s="115" t="n">
        <v>3136640</v>
      </c>
      <c r="C2463" s="115" t="n">
        <v>70516.8800000044</v>
      </c>
    </row>
    <row r="2464" customFormat="false" ht="15" hidden="false" customHeight="true" outlineLevel="0" collapsed="false">
      <c r="A2464" s="114" t="n">
        <v>3136640.01</v>
      </c>
      <c r="B2464" s="114" t="n">
        <v>3137920</v>
      </c>
      <c r="C2464" s="114" t="n">
        <v>70545.5400000045</v>
      </c>
    </row>
    <row r="2465" customFormat="false" ht="15" hidden="false" customHeight="true" outlineLevel="0" collapsed="false">
      <c r="A2465" s="115" t="n">
        <v>3137920.01</v>
      </c>
      <c r="B2465" s="115" t="n">
        <v>3139200</v>
      </c>
      <c r="C2465" s="115" t="n">
        <v>70574.2000000045</v>
      </c>
    </row>
    <row r="2466" customFormat="false" ht="15" hidden="false" customHeight="true" outlineLevel="0" collapsed="false">
      <c r="A2466" s="114" t="n">
        <v>3139200.01</v>
      </c>
      <c r="B2466" s="114" t="n">
        <v>3140480</v>
      </c>
      <c r="C2466" s="114" t="n">
        <v>70602.8600000045</v>
      </c>
    </row>
    <row r="2467" customFormat="false" ht="15" hidden="false" customHeight="true" outlineLevel="0" collapsed="false">
      <c r="A2467" s="115" t="n">
        <v>3140480.01</v>
      </c>
      <c r="B2467" s="115" t="n">
        <v>3141760</v>
      </c>
      <c r="C2467" s="115" t="n">
        <v>70631.5200000045</v>
      </c>
    </row>
    <row r="2468" customFormat="false" ht="15" hidden="false" customHeight="true" outlineLevel="0" collapsed="false">
      <c r="A2468" s="114" t="n">
        <v>3141760.01</v>
      </c>
      <c r="B2468" s="114" t="n">
        <v>3143040</v>
      </c>
      <c r="C2468" s="114" t="n">
        <v>70660.1800000045</v>
      </c>
    </row>
    <row r="2469" customFormat="false" ht="15" hidden="false" customHeight="true" outlineLevel="0" collapsed="false">
      <c r="A2469" s="115" t="n">
        <v>3143040.01</v>
      </c>
      <c r="B2469" s="115" t="n">
        <v>3144320</v>
      </c>
      <c r="C2469" s="115" t="n">
        <v>70688.8400000045</v>
      </c>
    </row>
    <row r="2470" customFormat="false" ht="15" hidden="false" customHeight="true" outlineLevel="0" collapsed="false">
      <c r="A2470" s="114" t="n">
        <v>3144320.01</v>
      </c>
      <c r="B2470" s="114" t="n">
        <v>3145600</v>
      </c>
      <c r="C2470" s="114" t="n">
        <v>70717.5000000045</v>
      </c>
    </row>
    <row r="2471" customFormat="false" ht="15" hidden="false" customHeight="true" outlineLevel="0" collapsed="false">
      <c r="A2471" s="115" t="n">
        <v>3145600.01</v>
      </c>
      <c r="B2471" s="115" t="n">
        <v>3146880</v>
      </c>
      <c r="C2471" s="115" t="n">
        <v>70746.1600000045</v>
      </c>
    </row>
    <row r="2472" customFormat="false" ht="15" hidden="false" customHeight="true" outlineLevel="0" collapsed="false">
      <c r="A2472" s="114" t="n">
        <v>3146880.01</v>
      </c>
      <c r="B2472" s="114" t="n">
        <v>3148160</v>
      </c>
      <c r="C2472" s="114" t="n">
        <v>70774.8200000045</v>
      </c>
    </row>
    <row r="2473" customFormat="false" ht="15" hidden="false" customHeight="true" outlineLevel="0" collapsed="false">
      <c r="A2473" s="115" t="n">
        <v>3148160.01</v>
      </c>
      <c r="B2473" s="115" t="n">
        <v>3149440</v>
      </c>
      <c r="C2473" s="115" t="n">
        <v>70803.4800000045</v>
      </c>
    </row>
    <row r="2474" customFormat="false" ht="15" hidden="false" customHeight="true" outlineLevel="0" collapsed="false">
      <c r="A2474" s="114" t="n">
        <v>3149440.01</v>
      </c>
      <c r="B2474" s="114" t="n">
        <v>3150720</v>
      </c>
      <c r="C2474" s="114" t="n">
        <v>70832.1400000045</v>
      </c>
    </row>
    <row r="2475" customFormat="false" ht="15" hidden="false" customHeight="true" outlineLevel="0" collapsed="false">
      <c r="A2475" s="115" t="n">
        <v>3150720.01</v>
      </c>
      <c r="B2475" s="115" t="n">
        <v>3152000</v>
      </c>
      <c r="C2475" s="115" t="n">
        <v>70860.8000000045</v>
      </c>
    </row>
    <row r="2476" customFormat="false" ht="15" hidden="false" customHeight="true" outlineLevel="0" collapsed="false">
      <c r="A2476" s="114" t="n">
        <v>3152000.01</v>
      </c>
      <c r="B2476" s="114" t="n">
        <v>3153280</v>
      </c>
      <c r="C2476" s="114" t="n">
        <v>70889.4600000045</v>
      </c>
    </row>
    <row r="2477" customFormat="false" ht="15" hidden="false" customHeight="true" outlineLevel="0" collapsed="false">
      <c r="A2477" s="115" t="n">
        <v>3153280.01</v>
      </c>
      <c r="B2477" s="115" t="n">
        <v>3154560</v>
      </c>
      <c r="C2477" s="115" t="n">
        <v>70918.1200000045</v>
      </c>
    </row>
    <row r="2478" customFormat="false" ht="15" hidden="false" customHeight="true" outlineLevel="0" collapsed="false">
      <c r="A2478" s="114" t="n">
        <v>3154560.01</v>
      </c>
      <c r="B2478" s="114" t="n">
        <v>3155840</v>
      </c>
      <c r="C2478" s="114" t="n">
        <v>70946.7800000045</v>
      </c>
    </row>
    <row r="2479" customFormat="false" ht="15" hidden="false" customHeight="true" outlineLevel="0" collapsed="false">
      <c r="A2479" s="115" t="n">
        <v>3155840.01</v>
      </c>
      <c r="B2479" s="115" t="n">
        <v>3157120</v>
      </c>
      <c r="C2479" s="115" t="n">
        <v>70975.4400000045</v>
      </c>
    </row>
    <row r="2480" customFormat="false" ht="15" hidden="false" customHeight="true" outlineLevel="0" collapsed="false">
      <c r="A2480" s="114" t="n">
        <v>3157120.01</v>
      </c>
      <c r="B2480" s="114" t="n">
        <v>3158400</v>
      </c>
      <c r="C2480" s="114" t="n">
        <v>71004.1000000045</v>
      </c>
    </row>
    <row r="2481" customFormat="false" ht="15" hidden="false" customHeight="true" outlineLevel="0" collapsed="false">
      <c r="A2481" s="115" t="n">
        <v>3158400.01</v>
      </c>
      <c r="B2481" s="115" t="n">
        <v>3159680</v>
      </c>
      <c r="C2481" s="115" t="n">
        <v>71032.7600000045</v>
      </c>
    </row>
    <row r="2482" customFormat="false" ht="15" hidden="false" customHeight="true" outlineLevel="0" collapsed="false">
      <c r="A2482" s="114" t="n">
        <v>3159680.01</v>
      </c>
      <c r="B2482" s="114" t="n">
        <v>3160960</v>
      </c>
      <c r="C2482" s="114" t="n">
        <v>71061.4200000045</v>
      </c>
    </row>
    <row r="2483" customFormat="false" ht="15" hidden="false" customHeight="true" outlineLevel="0" collapsed="false">
      <c r="A2483" s="115" t="n">
        <v>3160960.01</v>
      </c>
      <c r="B2483" s="115" t="n">
        <v>3162240</v>
      </c>
      <c r="C2483" s="115" t="n">
        <v>71090.0800000045</v>
      </c>
    </row>
    <row r="2484" customFormat="false" ht="15" hidden="false" customHeight="true" outlineLevel="0" collapsed="false">
      <c r="A2484" s="114" t="n">
        <v>3162240.01</v>
      </c>
      <c r="B2484" s="114" t="n">
        <v>3163520</v>
      </c>
      <c r="C2484" s="114" t="n">
        <v>71118.7400000045</v>
      </c>
    </row>
    <row r="2485" customFormat="false" ht="15" hidden="false" customHeight="true" outlineLevel="0" collapsed="false">
      <c r="A2485" s="115" t="n">
        <v>3163520.01</v>
      </c>
      <c r="B2485" s="115" t="n">
        <v>3164800</v>
      </c>
      <c r="C2485" s="115" t="n">
        <v>71147.4000000045</v>
      </c>
    </row>
    <row r="2486" customFormat="false" ht="15" hidden="false" customHeight="true" outlineLevel="0" collapsed="false">
      <c r="A2486" s="114" t="n">
        <v>3164800.01</v>
      </c>
      <c r="B2486" s="114" t="n">
        <v>3166080</v>
      </c>
      <c r="C2486" s="114" t="n">
        <v>71176.0600000045</v>
      </c>
    </row>
    <row r="2487" customFormat="false" ht="15" hidden="false" customHeight="true" outlineLevel="0" collapsed="false">
      <c r="A2487" s="115" t="n">
        <v>3166080.01</v>
      </c>
      <c r="B2487" s="115" t="n">
        <v>3167360</v>
      </c>
      <c r="C2487" s="115" t="n">
        <v>71204.7200000045</v>
      </c>
    </row>
    <row r="2488" customFormat="false" ht="15" hidden="false" customHeight="true" outlineLevel="0" collapsed="false">
      <c r="A2488" s="114" t="n">
        <v>3167360.01</v>
      </c>
      <c r="B2488" s="114" t="n">
        <v>3168640</v>
      </c>
      <c r="C2488" s="114" t="n">
        <v>71233.3800000045</v>
      </c>
    </row>
    <row r="2489" customFormat="false" ht="15" hidden="false" customHeight="true" outlineLevel="0" collapsed="false">
      <c r="A2489" s="115" t="n">
        <v>3168640.01</v>
      </c>
      <c r="B2489" s="115" t="n">
        <v>3169920</v>
      </c>
      <c r="C2489" s="115" t="n">
        <v>71262.0400000045</v>
      </c>
    </row>
    <row r="2490" customFormat="false" ht="15" hidden="false" customHeight="true" outlineLevel="0" collapsed="false">
      <c r="A2490" s="114" t="n">
        <v>3169920.01</v>
      </c>
      <c r="B2490" s="114" t="n">
        <v>3171200</v>
      </c>
      <c r="C2490" s="114" t="n">
        <v>71290.7000000045</v>
      </c>
    </row>
    <row r="2491" customFormat="false" ht="15" hidden="false" customHeight="true" outlineLevel="0" collapsed="false">
      <c r="A2491" s="115" t="n">
        <v>3171200.01</v>
      </c>
      <c r="B2491" s="115" t="n">
        <v>3172480</v>
      </c>
      <c r="C2491" s="115" t="n">
        <v>71319.3600000045</v>
      </c>
    </row>
    <row r="2492" customFormat="false" ht="15" hidden="false" customHeight="true" outlineLevel="0" collapsed="false">
      <c r="A2492" s="114" t="n">
        <v>3172480.01</v>
      </c>
      <c r="B2492" s="114" t="n">
        <v>3173760</v>
      </c>
      <c r="C2492" s="114" t="n">
        <v>71348.0200000045</v>
      </c>
    </row>
    <row r="2493" customFormat="false" ht="15" hidden="false" customHeight="true" outlineLevel="0" collapsed="false">
      <c r="A2493" s="115" t="n">
        <v>3173760.01</v>
      </c>
      <c r="B2493" s="115" t="n">
        <v>3175040</v>
      </c>
      <c r="C2493" s="115" t="n">
        <v>71376.6800000046</v>
      </c>
    </row>
    <row r="2494" customFormat="false" ht="15" hidden="false" customHeight="true" outlineLevel="0" collapsed="false">
      <c r="A2494" s="114" t="n">
        <v>3175040.01</v>
      </c>
      <c r="B2494" s="114" t="n">
        <v>3176320</v>
      </c>
      <c r="C2494" s="114" t="n">
        <v>71405.3400000046</v>
      </c>
    </row>
    <row r="2495" customFormat="false" ht="15" hidden="false" customHeight="true" outlineLevel="0" collapsed="false">
      <c r="A2495" s="115" t="n">
        <v>3176320.01</v>
      </c>
      <c r="B2495" s="115" t="n">
        <v>3177600</v>
      </c>
      <c r="C2495" s="115" t="n">
        <v>71434.0000000046</v>
      </c>
    </row>
    <row r="2496" customFormat="false" ht="15" hidden="false" customHeight="true" outlineLevel="0" collapsed="false">
      <c r="A2496" s="114" t="n">
        <v>3177600.01</v>
      </c>
      <c r="B2496" s="114" t="n">
        <v>3178880</v>
      </c>
      <c r="C2496" s="114" t="n">
        <v>71462.6600000046</v>
      </c>
    </row>
    <row r="2497" customFormat="false" ht="15" hidden="false" customHeight="true" outlineLevel="0" collapsed="false">
      <c r="A2497" s="115" t="n">
        <v>3178880.01</v>
      </c>
      <c r="B2497" s="115" t="n">
        <v>3180160</v>
      </c>
      <c r="C2497" s="115" t="n">
        <v>71491.3200000046</v>
      </c>
    </row>
    <row r="2498" customFormat="false" ht="15" hidden="false" customHeight="true" outlineLevel="0" collapsed="false">
      <c r="A2498" s="114" t="n">
        <v>3180160.01</v>
      </c>
      <c r="B2498" s="114" t="n">
        <v>3181440</v>
      </c>
      <c r="C2498" s="114" t="n">
        <v>71519.9800000046</v>
      </c>
    </row>
    <row r="2499" customFormat="false" ht="15" hidden="false" customHeight="true" outlineLevel="0" collapsed="false">
      <c r="A2499" s="115" t="n">
        <v>3181440.01</v>
      </c>
      <c r="B2499" s="115" t="n">
        <v>3182720</v>
      </c>
      <c r="C2499" s="115" t="n">
        <v>71548.6400000046</v>
      </c>
    </row>
    <row r="2500" customFormat="false" ht="15" hidden="false" customHeight="true" outlineLevel="0" collapsed="false">
      <c r="A2500" s="114" t="n">
        <v>3182720.01</v>
      </c>
      <c r="B2500" s="114" t="n">
        <v>3184000</v>
      </c>
      <c r="C2500" s="114" t="n">
        <v>71577.3000000046</v>
      </c>
    </row>
    <row r="2501" customFormat="false" ht="15" hidden="false" customHeight="true" outlineLevel="0" collapsed="false">
      <c r="A2501" s="115" t="n">
        <v>3184000.01</v>
      </c>
      <c r="B2501" s="115" t="n">
        <v>3185280</v>
      </c>
      <c r="C2501" s="115" t="n">
        <v>71605.9600000046</v>
      </c>
    </row>
    <row r="2502" customFormat="false" ht="15" hidden="false" customHeight="true" outlineLevel="0" collapsed="false">
      <c r="A2502" s="114" t="n">
        <v>3185280.01</v>
      </c>
      <c r="B2502" s="114" t="n">
        <v>3186560</v>
      </c>
      <c r="C2502" s="114" t="n">
        <v>71634.6200000046</v>
      </c>
    </row>
    <row r="2503" customFormat="false" ht="15" hidden="false" customHeight="true" outlineLevel="0" collapsed="false">
      <c r="A2503" s="115" t="n">
        <v>3186560.01</v>
      </c>
      <c r="B2503" s="115" t="n">
        <v>3187840</v>
      </c>
      <c r="C2503" s="115" t="n">
        <v>71663.2800000046</v>
      </c>
    </row>
    <row r="2504" customFormat="false" ht="15" hidden="false" customHeight="true" outlineLevel="0" collapsed="false">
      <c r="A2504" s="114" t="n">
        <v>3187840.01</v>
      </c>
      <c r="B2504" s="114" t="n">
        <v>3189120</v>
      </c>
      <c r="C2504" s="114" t="n">
        <v>71691.9400000046</v>
      </c>
    </row>
    <row r="2505" customFormat="false" ht="15" hidden="false" customHeight="true" outlineLevel="0" collapsed="false">
      <c r="A2505" s="115" t="n">
        <v>3189120.01</v>
      </c>
      <c r="B2505" s="115" t="n">
        <v>3190400</v>
      </c>
      <c r="C2505" s="115" t="n">
        <v>71720.6000000046</v>
      </c>
    </row>
    <row r="2506" customFormat="false" ht="15" hidden="false" customHeight="true" outlineLevel="0" collapsed="false">
      <c r="A2506" s="114" t="n">
        <v>3190400.01</v>
      </c>
      <c r="B2506" s="114" t="n">
        <v>3191680</v>
      </c>
      <c r="C2506" s="114" t="n">
        <v>71749.2600000046</v>
      </c>
    </row>
    <row r="2507" customFormat="false" ht="15" hidden="false" customHeight="true" outlineLevel="0" collapsed="false">
      <c r="A2507" s="115" t="n">
        <v>3191680.01</v>
      </c>
      <c r="B2507" s="115" t="n">
        <v>3192960</v>
      </c>
      <c r="C2507" s="115" t="n">
        <v>71777.9200000046</v>
      </c>
    </row>
    <row r="2508" customFormat="false" ht="15" hidden="false" customHeight="true" outlineLevel="0" collapsed="false">
      <c r="A2508" s="114" t="n">
        <v>3192960.01</v>
      </c>
      <c r="B2508" s="114" t="n">
        <v>3194240</v>
      </c>
      <c r="C2508" s="114" t="n">
        <v>71806.5800000046</v>
      </c>
    </row>
    <row r="2509" customFormat="false" ht="15" hidden="false" customHeight="true" outlineLevel="0" collapsed="false">
      <c r="A2509" s="115" t="n">
        <v>3194240.01</v>
      </c>
      <c r="B2509" s="115" t="n">
        <v>3195520</v>
      </c>
      <c r="C2509" s="115" t="n">
        <v>71835.2400000046</v>
      </c>
    </row>
    <row r="2510" customFormat="false" ht="15" hidden="false" customHeight="true" outlineLevel="0" collapsed="false">
      <c r="A2510" s="114" t="n">
        <v>3195520.01</v>
      </c>
      <c r="B2510" s="114" t="n">
        <v>3196800</v>
      </c>
      <c r="C2510" s="114" t="n">
        <v>71863.9000000046</v>
      </c>
    </row>
    <row r="2511" customFormat="false" ht="15" hidden="false" customHeight="true" outlineLevel="0" collapsed="false">
      <c r="A2511" s="115" t="n">
        <v>3196800.01</v>
      </c>
      <c r="B2511" s="115" t="n">
        <v>3198080</v>
      </c>
      <c r="C2511" s="115" t="n">
        <v>71892.5600000046</v>
      </c>
    </row>
    <row r="2512" customFormat="false" ht="15" hidden="false" customHeight="true" outlineLevel="0" collapsed="false">
      <c r="A2512" s="114" t="n">
        <v>3198080.01</v>
      </c>
      <c r="B2512" s="114" t="n">
        <v>3199360</v>
      </c>
      <c r="C2512" s="114" t="n">
        <v>71921.2200000046</v>
      </c>
    </row>
    <row r="2513" customFormat="false" ht="15" hidden="false" customHeight="true" outlineLevel="0" collapsed="false">
      <c r="A2513" s="115" t="n">
        <v>3199360.01</v>
      </c>
      <c r="B2513" s="115" t="n">
        <v>3200640</v>
      </c>
      <c r="C2513" s="115" t="n">
        <v>71949.8800000046</v>
      </c>
    </row>
    <row r="2514" customFormat="false" ht="15" hidden="false" customHeight="true" outlineLevel="0" collapsed="false">
      <c r="A2514" s="114" t="n">
        <v>3200640.01</v>
      </c>
      <c r="B2514" s="114" t="n">
        <v>3201920</v>
      </c>
      <c r="C2514" s="114" t="n">
        <v>71978.5400000046</v>
      </c>
    </row>
    <row r="2515" customFormat="false" ht="15" hidden="false" customHeight="true" outlineLevel="0" collapsed="false">
      <c r="A2515" s="115" t="n">
        <v>3201920.01</v>
      </c>
      <c r="B2515" s="115" t="n">
        <v>3203200</v>
      </c>
      <c r="C2515" s="115" t="n">
        <v>72007.2000000046</v>
      </c>
    </row>
    <row r="2516" customFormat="false" ht="15" hidden="false" customHeight="true" outlineLevel="0" collapsed="false">
      <c r="A2516" s="114" t="n">
        <v>3203200.01</v>
      </c>
      <c r="B2516" s="114" t="n">
        <v>3204480</v>
      </c>
      <c r="C2516" s="114" t="n">
        <v>72035.8600000046</v>
      </c>
    </row>
    <row r="2517" customFormat="false" ht="15" hidden="false" customHeight="true" outlineLevel="0" collapsed="false">
      <c r="A2517" s="115" t="n">
        <v>3204480.01</v>
      </c>
      <c r="B2517" s="115" t="n">
        <v>3205760</v>
      </c>
      <c r="C2517" s="115" t="n">
        <v>72064.5200000046</v>
      </c>
    </row>
    <row r="2518" customFormat="false" ht="15" hidden="false" customHeight="true" outlineLevel="0" collapsed="false">
      <c r="A2518" s="114" t="n">
        <v>3205760.01</v>
      </c>
      <c r="B2518" s="114" t="n">
        <v>3207040</v>
      </c>
      <c r="C2518" s="114" t="n">
        <v>72093.1800000046</v>
      </c>
    </row>
    <row r="2519" customFormat="false" ht="15" hidden="false" customHeight="true" outlineLevel="0" collapsed="false">
      <c r="A2519" s="115" t="n">
        <v>3207040.01</v>
      </c>
      <c r="B2519" s="115" t="n">
        <v>3208320</v>
      </c>
      <c r="C2519" s="115" t="n">
        <v>72121.8400000046</v>
      </c>
    </row>
    <row r="2520" customFormat="false" ht="15" hidden="false" customHeight="true" outlineLevel="0" collapsed="false">
      <c r="A2520" s="114" t="n">
        <v>3208320.01</v>
      </c>
      <c r="B2520" s="114" t="n">
        <v>3209600</v>
      </c>
      <c r="C2520" s="114" t="n">
        <v>72150.5000000046</v>
      </c>
    </row>
    <row r="2521" customFormat="false" ht="15" hidden="false" customHeight="true" outlineLevel="0" collapsed="false">
      <c r="A2521" s="115" t="n">
        <v>3209600.01</v>
      </c>
      <c r="B2521" s="115" t="n">
        <v>3210880</v>
      </c>
      <c r="C2521" s="115" t="n">
        <v>72179.1600000047</v>
      </c>
    </row>
    <row r="2522" customFormat="false" ht="15" hidden="false" customHeight="true" outlineLevel="0" collapsed="false">
      <c r="A2522" s="114" t="n">
        <v>3210880.01</v>
      </c>
      <c r="B2522" s="114" t="n">
        <v>3212160</v>
      </c>
      <c r="C2522" s="114" t="n">
        <v>72207.8200000047</v>
      </c>
    </row>
    <row r="2523" customFormat="false" ht="15" hidden="false" customHeight="true" outlineLevel="0" collapsed="false">
      <c r="A2523" s="115" t="n">
        <v>3212160.01</v>
      </c>
      <c r="B2523" s="115" t="n">
        <v>3213440</v>
      </c>
      <c r="C2523" s="115" t="n">
        <v>72236.4800000047</v>
      </c>
    </row>
    <row r="2524" customFormat="false" ht="15" hidden="false" customHeight="true" outlineLevel="0" collapsed="false">
      <c r="A2524" s="114" t="n">
        <v>3213440.01</v>
      </c>
      <c r="B2524" s="114" t="n">
        <v>3214720</v>
      </c>
      <c r="C2524" s="114" t="n">
        <v>72265.1400000047</v>
      </c>
    </row>
    <row r="2525" customFormat="false" ht="15" hidden="false" customHeight="true" outlineLevel="0" collapsed="false">
      <c r="A2525" s="115" t="n">
        <v>3214720.01</v>
      </c>
      <c r="B2525" s="115" t="n">
        <v>3216000</v>
      </c>
      <c r="C2525" s="115" t="n">
        <v>72293.8000000047</v>
      </c>
    </row>
    <row r="2526" customFormat="false" ht="15" hidden="false" customHeight="true" outlineLevel="0" collapsed="false">
      <c r="A2526" s="114" t="n">
        <v>3216000.01</v>
      </c>
      <c r="B2526" s="114" t="n">
        <v>3217280</v>
      </c>
      <c r="C2526" s="114" t="n">
        <v>72322.4600000047</v>
      </c>
    </row>
    <row r="2527" customFormat="false" ht="15" hidden="false" customHeight="true" outlineLevel="0" collapsed="false">
      <c r="A2527" s="115" t="n">
        <v>3217280.01</v>
      </c>
      <c r="B2527" s="115" t="n">
        <v>3218560</v>
      </c>
      <c r="C2527" s="115" t="n">
        <v>72351.1200000047</v>
      </c>
    </row>
    <row r="2528" customFormat="false" ht="15" hidden="false" customHeight="true" outlineLevel="0" collapsed="false">
      <c r="A2528" s="114" t="n">
        <v>3218560.01</v>
      </c>
      <c r="B2528" s="114" t="n">
        <v>3219840</v>
      </c>
      <c r="C2528" s="114" t="n">
        <v>72379.7800000047</v>
      </c>
    </row>
    <row r="2529" customFormat="false" ht="15" hidden="false" customHeight="true" outlineLevel="0" collapsed="false">
      <c r="A2529" s="115" t="n">
        <v>3219840.01</v>
      </c>
      <c r="B2529" s="115" t="n">
        <v>3221120</v>
      </c>
      <c r="C2529" s="115" t="n">
        <v>72408.4400000047</v>
      </c>
    </row>
    <row r="2530" customFormat="false" ht="15" hidden="false" customHeight="true" outlineLevel="0" collapsed="false">
      <c r="A2530" s="114" t="n">
        <v>3221120.01</v>
      </c>
      <c r="B2530" s="114" t="n">
        <v>3222400</v>
      </c>
      <c r="C2530" s="114" t="n">
        <v>72437.1000000047</v>
      </c>
    </row>
    <row r="2531" customFormat="false" ht="15" hidden="false" customHeight="true" outlineLevel="0" collapsed="false">
      <c r="A2531" s="115" t="n">
        <v>3222400.01</v>
      </c>
      <c r="B2531" s="115" t="n">
        <v>3223680</v>
      </c>
      <c r="C2531" s="115" t="n">
        <v>72465.7600000047</v>
      </c>
    </row>
    <row r="2532" customFormat="false" ht="15" hidden="false" customHeight="true" outlineLevel="0" collapsed="false">
      <c r="A2532" s="114" t="n">
        <v>3223680.01</v>
      </c>
      <c r="B2532" s="114" t="n">
        <v>3224960</v>
      </c>
      <c r="C2532" s="114" t="n">
        <v>72494.4200000047</v>
      </c>
    </row>
    <row r="2533" customFormat="false" ht="15" hidden="false" customHeight="true" outlineLevel="0" collapsed="false">
      <c r="A2533" s="115" t="n">
        <v>3224960.01</v>
      </c>
      <c r="B2533" s="115" t="n">
        <v>3226240</v>
      </c>
      <c r="C2533" s="115" t="n">
        <v>72523.0800000047</v>
      </c>
    </row>
    <row r="2534" customFormat="false" ht="15" hidden="false" customHeight="true" outlineLevel="0" collapsed="false">
      <c r="A2534" s="114" t="n">
        <v>3226240.01</v>
      </c>
      <c r="B2534" s="114" t="n">
        <v>3227520</v>
      </c>
      <c r="C2534" s="114" t="n">
        <v>72551.7400000047</v>
      </c>
    </row>
    <row r="2535" customFormat="false" ht="15" hidden="false" customHeight="true" outlineLevel="0" collapsed="false">
      <c r="A2535" s="115" t="n">
        <v>3227520.01</v>
      </c>
      <c r="B2535" s="115" t="n">
        <v>3228800</v>
      </c>
      <c r="C2535" s="115" t="n">
        <v>72580.4000000047</v>
      </c>
    </row>
    <row r="2536" customFormat="false" ht="15" hidden="false" customHeight="true" outlineLevel="0" collapsed="false">
      <c r="A2536" s="114" t="n">
        <v>3228800.01</v>
      </c>
      <c r="B2536" s="114" t="n">
        <v>3230080</v>
      </c>
      <c r="C2536" s="114" t="n">
        <v>72609.0600000047</v>
      </c>
    </row>
    <row r="2537" customFormat="false" ht="15" hidden="false" customHeight="true" outlineLevel="0" collapsed="false">
      <c r="A2537" s="115" t="n">
        <v>3230080.01</v>
      </c>
      <c r="B2537" s="115" t="n">
        <v>3231360</v>
      </c>
      <c r="C2537" s="115" t="n">
        <v>72637.7200000047</v>
      </c>
    </row>
    <row r="2538" customFormat="false" ht="15" hidden="false" customHeight="true" outlineLevel="0" collapsed="false">
      <c r="A2538" s="114" t="n">
        <v>3231360.01</v>
      </c>
      <c r="B2538" s="114" t="n">
        <v>3232640</v>
      </c>
      <c r="C2538" s="114" t="n">
        <v>72666.3800000047</v>
      </c>
    </row>
    <row r="2539" customFormat="false" ht="15" hidden="false" customHeight="true" outlineLevel="0" collapsed="false">
      <c r="A2539" s="115" t="n">
        <v>3232640.01</v>
      </c>
      <c r="B2539" s="115" t="n">
        <v>3233920</v>
      </c>
      <c r="C2539" s="115" t="n">
        <v>72695.0400000047</v>
      </c>
    </row>
    <row r="2540" customFormat="false" ht="15" hidden="false" customHeight="true" outlineLevel="0" collapsed="false">
      <c r="A2540" s="114" t="n">
        <v>3233920.01</v>
      </c>
      <c r="B2540" s="114" t="n">
        <v>3235200</v>
      </c>
      <c r="C2540" s="114" t="n">
        <v>72723.7000000047</v>
      </c>
    </row>
    <row r="2541" customFormat="false" ht="15" hidden="false" customHeight="true" outlineLevel="0" collapsed="false">
      <c r="A2541" s="115" t="n">
        <v>3235200.01</v>
      </c>
      <c r="B2541" s="115" t="n">
        <v>3236480</v>
      </c>
      <c r="C2541" s="115" t="n">
        <v>72752.3600000047</v>
      </c>
    </row>
    <row r="2542" customFormat="false" ht="15" hidden="false" customHeight="true" outlineLevel="0" collapsed="false">
      <c r="A2542" s="114" t="n">
        <v>3236480.01</v>
      </c>
      <c r="B2542" s="114" t="n">
        <v>3237760</v>
      </c>
      <c r="C2542" s="114" t="n">
        <v>72781.0200000047</v>
      </c>
    </row>
    <row r="2543" customFormat="false" ht="15" hidden="false" customHeight="true" outlineLevel="0" collapsed="false">
      <c r="A2543" s="115" t="n">
        <v>3237760.01</v>
      </c>
      <c r="B2543" s="115" t="n">
        <v>3239040</v>
      </c>
      <c r="C2543" s="115" t="n">
        <v>72809.6800000047</v>
      </c>
    </row>
    <row r="2544" customFormat="false" ht="15" hidden="false" customHeight="true" outlineLevel="0" collapsed="false">
      <c r="A2544" s="114" t="n">
        <v>3239040.01</v>
      </c>
      <c r="B2544" s="114" t="n">
        <v>3240320</v>
      </c>
      <c r="C2544" s="114" t="n">
        <v>72838.3400000047</v>
      </c>
    </row>
    <row r="2545" customFormat="false" ht="15" hidden="false" customHeight="true" outlineLevel="0" collapsed="false">
      <c r="A2545" s="115" t="n">
        <v>3240320.01</v>
      </c>
      <c r="B2545" s="115" t="n">
        <v>3241600</v>
      </c>
      <c r="C2545" s="115" t="n">
        <v>72867.0000000047</v>
      </c>
    </row>
    <row r="2546" customFormat="false" ht="15" hidden="false" customHeight="true" outlineLevel="0" collapsed="false">
      <c r="A2546" s="114" t="n">
        <v>3241600.01</v>
      </c>
      <c r="B2546" s="114" t="n">
        <v>3242880</v>
      </c>
      <c r="C2546" s="114" t="n">
        <v>72895.6600000047</v>
      </c>
    </row>
    <row r="2547" customFormat="false" ht="15" hidden="false" customHeight="true" outlineLevel="0" collapsed="false">
      <c r="A2547" s="115" t="n">
        <v>3242880.01</v>
      </c>
      <c r="B2547" s="115" t="n">
        <v>3244160</v>
      </c>
      <c r="C2547" s="115" t="n">
        <v>72924.3200000047</v>
      </c>
    </row>
    <row r="2548" customFormat="false" ht="15" hidden="false" customHeight="true" outlineLevel="0" collapsed="false">
      <c r="A2548" s="114" t="n">
        <v>3244160.01</v>
      </c>
      <c r="B2548" s="114" t="n">
        <v>3245440</v>
      </c>
      <c r="C2548" s="114" t="n">
        <v>72952.9800000047</v>
      </c>
    </row>
    <row r="2549" customFormat="false" ht="15" hidden="false" customHeight="true" outlineLevel="0" collapsed="false">
      <c r="A2549" s="115" t="n">
        <v>3245440.01</v>
      </c>
      <c r="B2549" s="115" t="n">
        <v>3246720</v>
      </c>
      <c r="C2549" s="115" t="n">
        <v>72981.6400000047</v>
      </c>
    </row>
    <row r="2550" customFormat="false" ht="15" hidden="false" customHeight="true" outlineLevel="0" collapsed="false">
      <c r="A2550" s="114" t="n">
        <v>3246720.01</v>
      </c>
      <c r="B2550" s="114" t="n">
        <v>3248000</v>
      </c>
      <c r="C2550" s="114" t="n">
        <v>73010.3000000048</v>
      </c>
    </row>
    <row r="2551" customFormat="false" ht="15" hidden="false" customHeight="true" outlineLevel="0" collapsed="false">
      <c r="A2551" s="115" t="n">
        <v>3248000.01</v>
      </c>
      <c r="B2551" s="115" t="n">
        <v>3249280</v>
      </c>
      <c r="C2551" s="115" t="n">
        <v>73038.9600000048</v>
      </c>
    </row>
    <row r="2552" customFormat="false" ht="15" hidden="false" customHeight="true" outlineLevel="0" collapsed="false">
      <c r="A2552" s="114" t="n">
        <v>3249280.01</v>
      </c>
      <c r="B2552" s="114" t="n">
        <v>3250560</v>
      </c>
      <c r="C2552" s="114" t="n">
        <v>73067.6200000048</v>
      </c>
    </row>
    <row r="2553" customFormat="false" ht="15" hidden="false" customHeight="true" outlineLevel="0" collapsed="false">
      <c r="A2553" s="115" t="n">
        <v>3250560.01</v>
      </c>
      <c r="B2553" s="115" t="n">
        <v>3251840</v>
      </c>
      <c r="C2553" s="115" t="n">
        <v>73096.2800000048</v>
      </c>
    </row>
    <row r="2554" customFormat="false" ht="15" hidden="false" customHeight="true" outlineLevel="0" collapsed="false">
      <c r="A2554" s="114" t="n">
        <v>3251840.01</v>
      </c>
      <c r="B2554" s="114" t="n">
        <v>3253120</v>
      </c>
      <c r="C2554" s="114" t="n">
        <v>73124.9400000048</v>
      </c>
    </row>
    <row r="2555" customFormat="false" ht="15" hidden="false" customHeight="true" outlineLevel="0" collapsed="false">
      <c r="A2555" s="115" t="n">
        <v>3253120.01</v>
      </c>
      <c r="B2555" s="115" t="n">
        <v>3254400</v>
      </c>
      <c r="C2555" s="115" t="n">
        <v>73153.6000000048</v>
      </c>
    </row>
    <row r="2556" customFormat="false" ht="15" hidden="false" customHeight="true" outlineLevel="0" collapsed="false">
      <c r="A2556" s="114" t="n">
        <v>3254400.01</v>
      </c>
      <c r="B2556" s="114" t="n">
        <v>3255680</v>
      </c>
      <c r="C2556" s="114" t="n">
        <v>73182.2600000048</v>
      </c>
    </row>
    <row r="2557" customFormat="false" ht="15" hidden="false" customHeight="true" outlineLevel="0" collapsed="false">
      <c r="A2557" s="115" t="n">
        <v>3255680.01</v>
      </c>
      <c r="B2557" s="115" t="n">
        <v>3256960</v>
      </c>
      <c r="C2557" s="115" t="n">
        <v>73210.9200000048</v>
      </c>
    </row>
    <row r="2558" customFormat="false" ht="15" hidden="false" customHeight="true" outlineLevel="0" collapsed="false">
      <c r="A2558" s="114" t="n">
        <v>3256960.01</v>
      </c>
      <c r="B2558" s="114" t="n">
        <v>3258240</v>
      </c>
      <c r="C2558" s="114" t="n">
        <v>73239.5800000048</v>
      </c>
    </row>
    <row r="2559" customFormat="false" ht="15" hidden="false" customHeight="true" outlineLevel="0" collapsed="false">
      <c r="A2559" s="115" t="n">
        <v>3258240.01</v>
      </c>
      <c r="B2559" s="115" t="n">
        <v>3259520</v>
      </c>
      <c r="C2559" s="115" t="n">
        <v>73268.2400000048</v>
      </c>
    </row>
    <row r="2560" customFormat="false" ht="15" hidden="false" customHeight="true" outlineLevel="0" collapsed="false">
      <c r="A2560" s="114" t="n">
        <v>3259520.01</v>
      </c>
      <c r="B2560" s="114" t="n">
        <v>3260800</v>
      </c>
      <c r="C2560" s="114" t="n">
        <v>73296.9000000048</v>
      </c>
    </row>
    <row r="2561" customFormat="false" ht="15" hidden="false" customHeight="true" outlineLevel="0" collapsed="false">
      <c r="A2561" s="115" t="n">
        <v>3260800.01</v>
      </c>
      <c r="B2561" s="115" t="n">
        <v>3262080</v>
      </c>
      <c r="C2561" s="115" t="n">
        <v>73325.5600000048</v>
      </c>
    </row>
    <row r="2562" customFormat="false" ht="15" hidden="false" customHeight="true" outlineLevel="0" collapsed="false">
      <c r="A2562" s="114" t="n">
        <v>3262080.01</v>
      </c>
      <c r="B2562" s="114" t="n">
        <v>3263360</v>
      </c>
      <c r="C2562" s="114" t="n">
        <v>73354.2200000048</v>
      </c>
    </row>
    <row r="2563" customFormat="false" ht="15" hidden="false" customHeight="true" outlineLevel="0" collapsed="false">
      <c r="A2563" s="115" t="n">
        <v>3263360.01</v>
      </c>
      <c r="B2563" s="115" t="n">
        <v>3264640</v>
      </c>
      <c r="C2563" s="115" t="n">
        <v>73382.8800000048</v>
      </c>
    </row>
    <row r="2564" customFormat="false" ht="15" hidden="false" customHeight="true" outlineLevel="0" collapsed="false">
      <c r="A2564" s="114" t="n">
        <v>3264640.01</v>
      </c>
      <c r="B2564" s="114" t="n">
        <v>3265920</v>
      </c>
      <c r="C2564" s="114" t="n">
        <v>73411.5400000048</v>
      </c>
    </row>
    <row r="2565" customFormat="false" ht="15" hidden="false" customHeight="true" outlineLevel="0" collapsed="false">
      <c r="A2565" s="115" t="n">
        <v>3265920.01</v>
      </c>
      <c r="B2565" s="115" t="n">
        <v>3267200</v>
      </c>
      <c r="C2565" s="115" t="n">
        <v>73440.2000000048</v>
      </c>
    </row>
    <row r="2566" customFormat="false" ht="15" hidden="false" customHeight="true" outlineLevel="0" collapsed="false">
      <c r="A2566" s="114" t="n">
        <v>3267200.01</v>
      </c>
      <c r="B2566" s="114" t="n">
        <v>3268480</v>
      </c>
      <c r="C2566" s="114" t="n">
        <v>73468.8600000048</v>
      </c>
    </row>
    <row r="2567" customFormat="false" ht="15" hidden="false" customHeight="true" outlineLevel="0" collapsed="false">
      <c r="A2567" s="115" t="n">
        <v>3268480.01</v>
      </c>
      <c r="B2567" s="115" t="n">
        <v>3269760</v>
      </c>
      <c r="C2567" s="115" t="n">
        <v>73497.5200000048</v>
      </c>
    </row>
    <row r="2568" customFormat="false" ht="15" hidden="false" customHeight="true" outlineLevel="0" collapsed="false">
      <c r="A2568" s="114" t="n">
        <v>3269760.01</v>
      </c>
      <c r="B2568" s="114" t="n">
        <v>3271040</v>
      </c>
      <c r="C2568" s="114" t="n">
        <v>73526.1800000048</v>
      </c>
    </row>
    <row r="2569" customFormat="false" ht="15" hidden="false" customHeight="true" outlineLevel="0" collapsed="false">
      <c r="A2569" s="115" t="n">
        <v>3271040.01</v>
      </c>
      <c r="B2569" s="115" t="n">
        <v>3272320</v>
      </c>
      <c r="C2569" s="115" t="n">
        <v>73554.8400000048</v>
      </c>
    </row>
    <row r="2570" customFormat="false" ht="15" hidden="false" customHeight="true" outlineLevel="0" collapsed="false">
      <c r="A2570" s="114" t="n">
        <v>3272320.01</v>
      </c>
      <c r="B2570" s="114" t="n">
        <v>3273600</v>
      </c>
      <c r="C2570" s="114" t="n">
        <v>73583.5000000048</v>
      </c>
    </row>
    <row r="2571" customFormat="false" ht="15" hidden="false" customHeight="true" outlineLevel="0" collapsed="false">
      <c r="A2571" s="115" t="n">
        <v>3273600.01</v>
      </c>
      <c r="B2571" s="115" t="n">
        <v>3274880</v>
      </c>
      <c r="C2571" s="115" t="n">
        <v>73612.1600000048</v>
      </c>
    </row>
    <row r="2572" customFormat="false" ht="15" hidden="false" customHeight="true" outlineLevel="0" collapsed="false">
      <c r="A2572" s="114" t="n">
        <v>3274880.01</v>
      </c>
      <c r="B2572" s="114" t="n">
        <v>3276160</v>
      </c>
      <c r="C2572" s="114" t="n">
        <v>73640.8200000048</v>
      </c>
    </row>
    <row r="2573" customFormat="false" ht="15" hidden="false" customHeight="true" outlineLevel="0" collapsed="false">
      <c r="A2573" s="115" t="n">
        <v>3276160.01</v>
      </c>
      <c r="B2573" s="115" t="n">
        <v>3277440</v>
      </c>
      <c r="C2573" s="115" t="n">
        <v>73669.4800000048</v>
      </c>
    </row>
    <row r="2574" customFormat="false" ht="15" hidden="false" customHeight="true" outlineLevel="0" collapsed="false">
      <c r="A2574" s="114" t="n">
        <v>3277440.01</v>
      </c>
      <c r="B2574" s="114" t="n">
        <v>3278720</v>
      </c>
      <c r="C2574" s="114" t="n">
        <v>73698.1400000048</v>
      </c>
    </row>
    <row r="2575" customFormat="false" ht="15" hidden="false" customHeight="true" outlineLevel="0" collapsed="false">
      <c r="A2575" s="115" t="n">
        <v>3278720.01</v>
      </c>
      <c r="B2575" s="115" t="n">
        <v>3280000</v>
      </c>
      <c r="C2575" s="115" t="n">
        <v>73726.8000000048</v>
      </c>
    </row>
    <row r="2576" customFormat="false" ht="15" hidden="false" customHeight="true" outlineLevel="0" collapsed="false">
      <c r="A2576" s="114" t="n">
        <v>3280000.01</v>
      </c>
      <c r="B2576" s="114" t="n">
        <v>3281280</v>
      </c>
      <c r="C2576" s="114" t="n">
        <v>73755.4600000048</v>
      </c>
    </row>
    <row r="2577" customFormat="false" ht="15" hidden="false" customHeight="true" outlineLevel="0" collapsed="false">
      <c r="A2577" s="115" t="n">
        <v>3281280.01</v>
      </c>
      <c r="B2577" s="115" t="n">
        <v>3282560</v>
      </c>
      <c r="C2577" s="115" t="n">
        <v>73784.1200000048</v>
      </c>
    </row>
    <row r="2578" customFormat="false" ht="15" hidden="false" customHeight="true" outlineLevel="0" collapsed="false">
      <c r="A2578" s="114" t="n">
        <v>3282560.01</v>
      </c>
      <c r="B2578" s="114" t="n">
        <v>3283840</v>
      </c>
      <c r="C2578" s="114" t="n">
        <v>73812.7800000048</v>
      </c>
    </row>
    <row r="2579" customFormat="false" ht="15" hidden="false" customHeight="true" outlineLevel="0" collapsed="false">
      <c r="A2579" s="115" t="n">
        <v>3283840.01</v>
      </c>
      <c r="B2579" s="115" t="n">
        <v>3285120</v>
      </c>
      <c r="C2579" s="115" t="n">
        <v>73841.4400000049</v>
      </c>
    </row>
    <row r="2580" customFormat="false" ht="15" hidden="false" customHeight="true" outlineLevel="0" collapsed="false">
      <c r="A2580" s="114" t="n">
        <v>3285120.01</v>
      </c>
      <c r="B2580" s="114" t="n">
        <v>3286400</v>
      </c>
      <c r="C2580" s="114" t="n">
        <v>73870.1000000049</v>
      </c>
    </row>
    <row r="2581" customFormat="false" ht="15" hidden="false" customHeight="true" outlineLevel="0" collapsed="false">
      <c r="A2581" s="115" t="n">
        <v>3286400.01</v>
      </c>
      <c r="B2581" s="115" t="n">
        <v>3287680</v>
      </c>
      <c r="C2581" s="115" t="n">
        <v>73898.7600000049</v>
      </c>
    </row>
    <row r="2582" customFormat="false" ht="15" hidden="false" customHeight="true" outlineLevel="0" collapsed="false">
      <c r="A2582" s="114" t="n">
        <v>3287680.01</v>
      </c>
      <c r="B2582" s="114" t="n">
        <v>3288960</v>
      </c>
      <c r="C2582" s="114" t="n">
        <v>73927.4200000049</v>
      </c>
    </row>
    <row r="2583" customFormat="false" ht="15" hidden="false" customHeight="true" outlineLevel="0" collapsed="false">
      <c r="A2583" s="115" t="n">
        <v>3288960.01</v>
      </c>
      <c r="B2583" s="115" t="n">
        <v>3290240</v>
      </c>
      <c r="C2583" s="115" t="n">
        <v>73956.0800000049</v>
      </c>
    </row>
    <row r="2584" customFormat="false" ht="15" hidden="false" customHeight="true" outlineLevel="0" collapsed="false">
      <c r="A2584" s="114" t="n">
        <v>3290240.01</v>
      </c>
      <c r="B2584" s="114" t="n">
        <v>3291520</v>
      </c>
      <c r="C2584" s="114" t="n">
        <v>73984.7400000049</v>
      </c>
    </row>
    <row r="2585" customFormat="false" ht="15" hidden="false" customHeight="true" outlineLevel="0" collapsed="false">
      <c r="A2585" s="115" t="n">
        <v>3291520.01</v>
      </c>
      <c r="B2585" s="115" t="n">
        <v>3292800</v>
      </c>
      <c r="C2585" s="115" t="n">
        <v>74013.4000000049</v>
      </c>
    </row>
    <row r="2586" customFormat="false" ht="15" hidden="false" customHeight="true" outlineLevel="0" collapsed="false">
      <c r="A2586" s="114" t="n">
        <v>3292800.01</v>
      </c>
      <c r="B2586" s="114" t="n">
        <v>3294080</v>
      </c>
      <c r="C2586" s="114" t="n">
        <v>74042.0600000049</v>
      </c>
    </row>
    <row r="2587" customFormat="false" ht="15" hidden="false" customHeight="true" outlineLevel="0" collapsed="false">
      <c r="A2587" s="115" t="n">
        <v>3294080.01</v>
      </c>
      <c r="B2587" s="115" t="n">
        <v>3295360</v>
      </c>
      <c r="C2587" s="115" t="n">
        <v>74070.7200000049</v>
      </c>
    </row>
    <row r="2588" customFormat="false" ht="15" hidden="false" customHeight="true" outlineLevel="0" collapsed="false">
      <c r="A2588" s="114" t="n">
        <v>3295360.01</v>
      </c>
      <c r="B2588" s="114" t="n">
        <v>3296640</v>
      </c>
      <c r="C2588" s="114" t="n">
        <v>74099.3800000049</v>
      </c>
    </row>
    <row r="2589" customFormat="false" ht="15" hidden="false" customHeight="true" outlineLevel="0" collapsed="false">
      <c r="A2589" s="115" t="n">
        <v>3296640.01</v>
      </c>
      <c r="B2589" s="115" t="n">
        <v>3297920</v>
      </c>
      <c r="C2589" s="115" t="n">
        <v>74128.0400000049</v>
      </c>
    </row>
    <row r="2590" customFormat="false" ht="15" hidden="false" customHeight="true" outlineLevel="0" collapsed="false">
      <c r="A2590" s="114" t="n">
        <v>3297920.01</v>
      </c>
      <c r="B2590" s="114" t="n">
        <v>3299200</v>
      </c>
      <c r="C2590" s="114" t="n">
        <v>74156.7000000049</v>
      </c>
    </row>
    <row r="2591" customFormat="false" ht="15" hidden="false" customHeight="true" outlineLevel="0" collapsed="false">
      <c r="A2591" s="115" t="n">
        <v>3299200.01</v>
      </c>
      <c r="B2591" s="115" t="n">
        <v>3300480</v>
      </c>
      <c r="C2591" s="115" t="n">
        <v>74185.3600000049</v>
      </c>
    </row>
    <row r="2592" customFormat="false" ht="15" hidden="false" customHeight="true" outlineLevel="0" collapsed="false">
      <c r="A2592" s="114" t="n">
        <v>3300480.01</v>
      </c>
      <c r="B2592" s="114" t="n">
        <v>3301760</v>
      </c>
      <c r="C2592" s="114" t="n">
        <v>74214.0200000049</v>
      </c>
    </row>
    <row r="2593" customFormat="false" ht="15" hidden="false" customHeight="true" outlineLevel="0" collapsed="false">
      <c r="A2593" s="115" t="n">
        <v>3301760.01</v>
      </c>
      <c r="B2593" s="115" t="n">
        <v>3303040</v>
      </c>
      <c r="C2593" s="115" t="n">
        <v>74242.6800000049</v>
      </c>
    </row>
    <row r="2594" customFormat="false" ht="15" hidden="false" customHeight="true" outlineLevel="0" collapsed="false">
      <c r="A2594" s="114" t="n">
        <v>3303040.01</v>
      </c>
      <c r="B2594" s="114" t="n">
        <v>3304320</v>
      </c>
      <c r="C2594" s="114" t="n">
        <v>74271.3400000049</v>
      </c>
    </row>
    <row r="2595" customFormat="false" ht="15" hidden="false" customHeight="true" outlineLevel="0" collapsed="false">
      <c r="A2595" s="115" t="n">
        <v>3304320.01</v>
      </c>
      <c r="B2595" s="115" t="n">
        <v>3305600</v>
      </c>
      <c r="C2595" s="115" t="n">
        <v>74300.0000000049</v>
      </c>
    </row>
    <row r="2596" customFormat="false" ht="15" hidden="false" customHeight="true" outlineLevel="0" collapsed="false">
      <c r="A2596" s="114" t="n">
        <v>3305600.01</v>
      </c>
      <c r="B2596" s="114" t="n">
        <v>3306880</v>
      </c>
      <c r="C2596" s="114" t="n">
        <v>74328.6600000049</v>
      </c>
    </row>
    <row r="2597" customFormat="false" ht="15" hidden="false" customHeight="true" outlineLevel="0" collapsed="false">
      <c r="A2597" s="115" t="n">
        <v>3306880.01</v>
      </c>
      <c r="B2597" s="115" t="n">
        <v>3308160</v>
      </c>
      <c r="C2597" s="115" t="n">
        <v>74357.3200000049</v>
      </c>
    </row>
    <row r="2598" customFormat="false" ht="15" hidden="false" customHeight="true" outlineLevel="0" collapsed="false">
      <c r="A2598" s="114" t="n">
        <v>3308160.01</v>
      </c>
      <c r="B2598" s="114" t="n">
        <v>3309440</v>
      </c>
      <c r="C2598" s="114" t="n">
        <v>74385.9800000049</v>
      </c>
    </row>
    <row r="2599" customFormat="false" ht="15" hidden="false" customHeight="true" outlineLevel="0" collapsed="false">
      <c r="A2599" s="115" t="n">
        <v>3309440.01</v>
      </c>
      <c r="B2599" s="115" t="n">
        <v>3310720</v>
      </c>
      <c r="C2599" s="115" t="n">
        <v>74414.6400000049</v>
      </c>
    </row>
    <row r="2600" customFormat="false" ht="15" hidden="false" customHeight="true" outlineLevel="0" collapsed="false">
      <c r="A2600" s="114" t="n">
        <v>3310720.01</v>
      </c>
      <c r="B2600" s="114" t="n">
        <v>3312000</v>
      </c>
      <c r="C2600" s="114" t="n">
        <v>74443.3000000049</v>
      </c>
    </row>
    <row r="2601" customFormat="false" ht="15" hidden="false" customHeight="true" outlineLevel="0" collapsed="false">
      <c r="A2601" s="115" t="n">
        <v>3312000.01</v>
      </c>
      <c r="B2601" s="115" t="n">
        <v>3313280</v>
      </c>
      <c r="C2601" s="115" t="n">
        <v>74471.9600000049</v>
      </c>
    </row>
    <row r="2602" customFormat="false" ht="15" hidden="false" customHeight="true" outlineLevel="0" collapsed="false">
      <c r="A2602" s="114" t="n">
        <v>3313280.01</v>
      </c>
      <c r="B2602" s="114" t="n">
        <v>3314560</v>
      </c>
      <c r="C2602" s="114" t="n">
        <v>74500.6200000049</v>
      </c>
    </row>
    <row r="2603" customFormat="false" ht="15" hidden="false" customHeight="true" outlineLevel="0" collapsed="false">
      <c r="A2603" s="115" t="n">
        <v>3314560.01</v>
      </c>
      <c r="B2603" s="115" t="n">
        <v>3315840</v>
      </c>
      <c r="C2603" s="115" t="n">
        <v>74529.2800000049</v>
      </c>
    </row>
    <row r="2604" customFormat="false" ht="15" hidden="false" customHeight="true" outlineLevel="0" collapsed="false">
      <c r="A2604" s="114" t="n">
        <v>3315840.01</v>
      </c>
      <c r="B2604" s="114" t="n">
        <v>3317120</v>
      </c>
      <c r="C2604" s="114" t="n">
        <v>74557.9400000049</v>
      </c>
    </row>
    <row r="2605" customFormat="false" ht="15" hidden="false" customHeight="true" outlineLevel="0" collapsed="false">
      <c r="A2605" s="115" t="n">
        <v>3317120.01</v>
      </c>
      <c r="B2605" s="115" t="n">
        <v>3318400</v>
      </c>
      <c r="C2605" s="115" t="n">
        <v>74586.6000000049</v>
      </c>
    </row>
    <row r="2606" customFormat="false" ht="15" hidden="false" customHeight="true" outlineLevel="0" collapsed="false">
      <c r="A2606" s="114" t="n">
        <v>3318400.01</v>
      </c>
      <c r="B2606" s="114" t="n">
        <v>3319680</v>
      </c>
      <c r="C2606" s="114" t="n">
        <v>74615.2600000049</v>
      </c>
    </row>
    <row r="2607" customFormat="false" ht="15" hidden="false" customHeight="true" outlineLevel="0" collapsed="false">
      <c r="A2607" s="115" t="n">
        <v>3319680.01</v>
      </c>
      <c r="B2607" s="115" t="n">
        <v>3320960</v>
      </c>
      <c r="C2607" s="115" t="n">
        <v>74643.920000005</v>
      </c>
    </row>
    <row r="2608" customFormat="false" ht="15" hidden="false" customHeight="true" outlineLevel="0" collapsed="false">
      <c r="A2608" s="114" t="n">
        <v>3320960.01</v>
      </c>
      <c r="B2608" s="114" t="n">
        <v>3322240</v>
      </c>
      <c r="C2608" s="114" t="n">
        <v>74672.580000005</v>
      </c>
    </row>
    <row r="2609" customFormat="false" ht="15" hidden="false" customHeight="true" outlineLevel="0" collapsed="false">
      <c r="A2609" s="115" t="n">
        <v>3322240.01</v>
      </c>
      <c r="B2609" s="115" t="n">
        <v>3323520</v>
      </c>
      <c r="C2609" s="115" t="n">
        <v>74701.240000005</v>
      </c>
    </row>
    <row r="2610" customFormat="false" ht="15" hidden="false" customHeight="true" outlineLevel="0" collapsed="false">
      <c r="A2610" s="114" t="n">
        <v>3323520.01</v>
      </c>
      <c r="B2610" s="114" t="n">
        <v>3324800</v>
      </c>
      <c r="C2610" s="114" t="n">
        <v>74729.900000005</v>
      </c>
    </row>
    <row r="2611" customFormat="false" ht="15" hidden="false" customHeight="true" outlineLevel="0" collapsed="false">
      <c r="A2611" s="115" t="n">
        <v>3324800.01</v>
      </c>
      <c r="B2611" s="115" t="n">
        <v>3326080</v>
      </c>
      <c r="C2611" s="115" t="n">
        <v>74758.560000005</v>
      </c>
    </row>
    <row r="2612" customFormat="false" ht="15" hidden="false" customHeight="true" outlineLevel="0" collapsed="false">
      <c r="A2612" s="114" t="n">
        <v>3326080.01</v>
      </c>
      <c r="B2612" s="114" t="n">
        <v>3327360</v>
      </c>
      <c r="C2612" s="114" t="n">
        <v>74787.220000005</v>
      </c>
    </row>
    <row r="2613" customFormat="false" ht="15" hidden="false" customHeight="true" outlineLevel="0" collapsed="false">
      <c r="A2613" s="115" t="n">
        <v>3327360.01</v>
      </c>
      <c r="B2613" s="115" t="n">
        <v>3328640</v>
      </c>
      <c r="C2613" s="115" t="n">
        <v>74815.880000005</v>
      </c>
    </row>
    <row r="2614" customFormat="false" ht="15" hidden="false" customHeight="true" outlineLevel="0" collapsed="false">
      <c r="A2614" s="114" t="n">
        <v>3328640.01</v>
      </c>
      <c r="B2614" s="114" t="n">
        <v>3329920</v>
      </c>
      <c r="C2614" s="114" t="n">
        <v>74844.540000005</v>
      </c>
    </row>
    <row r="2615" customFormat="false" ht="15" hidden="false" customHeight="true" outlineLevel="0" collapsed="false">
      <c r="A2615" s="115" t="n">
        <v>3329920.01</v>
      </c>
      <c r="B2615" s="115" t="n">
        <v>3331200</v>
      </c>
      <c r="C2615" s="115" t="n">
        <v>74873.200000005</v>
      </c>
    </row>
    <row r="2616" customFormat="false" ht="15" hidden="false" customHeight="true" outlineLevel="0" collapsed="false">
      <c r="A2616" s="114" t="n">
        <v>3331200.01</v>
      </c>
      <c r="B2616" s="114" t="n">
        <v>3332480</v>
      </c>
      <c r="C2616" s="114" t="n">
        <v>74901.860000005</v>
      </c>
    </row>
    <row r="2617" customFormat="false" ht="15" hidden="false" customHeight="true" outlineLevel="0" collapsed="false">
      <c r="A2617" s="115" t="n">
        <v>3332480.01</v>
      </c>
      <c r="B2617" s="115" t="n">
        <v>3333760</v>
      </c>
      <c r="C2617" s="115" t="n">
        <v>74930.520000005</v>
      </c>
    </row>
    <row r="2618" customFormat="false" ht="15" hidden="false" customHeight="true" outlineLevel="0" collapsed="false">
      <c r="A2618" s="114" t="n">
        <v>3333760.01</v>
      </c>
      <c r="B2618" s="114" t="n">
        <v>3335040</v>
      </c>
      <c r="C2618" s="114" t="n">
        <v>74959.180000005</v>
      </c>
    </row>
    <row r="2619" customFormat="false" ht="15" hidden="false" customHeight="true" outlineLevel="0" collapsed="false">
      <c r="A2619" s="115" t="n">
        <v>3335040.01</v>
      </c>
      <c r="B2619" s="115" t="n">
        <v>3336320</v>
      </c>
      <c r="C2619" s="115" t="n">
        <v>74987.840000005</v>
      </c>
    </row>
    <row r="2620" customFormat="false" ht="15" hidden="false" customHeight="true" outlineLevel="0" collapsed="false">
      <c r="A2620" s="114" t="n">
        <v>3336320.01</v>
      </c>
      <c r="B2620" s="114" t="n">
        <v>3337600</v>
      </c>
      <c r="C2620" s="114" t="n">
        <v>75016.500000005</v>
      </c>
    </row>
    <row r="2621" customFormat="false" ht="15" hidden="false" customHeight="true" outlineLevel="0" collapsed="false">
      <c r="A2621" s="115" t="n">
        <v>3337600.01</v>
      </c>
      <c r="B2621" s="115" t="n">
        <v>3338880</v>
      </c>
      <c r="C2621" s="115" t="n">
        <v>75045.160000005</v>
      </c>
    </row>
    <row r="2622" customFormat="false" ht="15" hidden="false" customHeight="true" outlineLevel="0" collapsed="false">
      <c r="A2622" s="114" t="n">
        <v>3338880.01</v>
      </c>
      <c r="B2622" s="114" t="n">
        <v>3340160</v>
      </c>
      <c r="C2622" s="114" t="n">
        <v>75073.820000005</v>
      </c>
    </row>
    <row r="2623" customFormat="false" ht="15" hidden="false" customHeight="true" outlineLevel="0" collapsed="false">
      <c r="A2623" s="115" t="n">
        <v>3340160.01</v>
      </c>
      <c r="B2623" s="115" t="n">
        <v>3341440</v>
      </c>
      <c r="C2623" s="115" t="n">
        <v>75102.480000005</v>
      </c>
    </row>
    <row r="2624" customFormat="false" ht="15" hidden="false" customHeight="true" outlineLevel="0" collapsed="false">
      <c r="A2624" s="114" t="n">
        <v>3341440.01</v>
      </c>
      <c r="B2624" s="114" t="n">
        <v>3342720</v>
      </c>
      <c r="C2624" s="114" t="n">
        <v>75131.140000005</v>
      </c>
    </row>
    <row r="2625" customFormat="false" ht="15" hidden="false" customHeight="true" outlineLevel="0" collapsed="false">
      <c r="A2625" s="115" t="n">
        <v>3342720.01</v>
      </c>
      <c r="B2625" s="115" t="n">
        <v>3344000</v>
      </c>
      <c r="C2625" s="115" t="n">
        <v>75159.800000005</v>
      </c>
    </row>
    <row r="2626" customFormat="false" ht="15" hidden="false" customHeight="true" outlineLevel="0" collapsed="false">
      <c r="A2626" s="114" t="n">
        <v>3344000.01</v>
      </c>
      <c r="B2626" s="114" t="n">
        <v>3345280</v>
      </c>
      <c r="C2626" s="114" t="n">
        <v>75188.460000005</v>
      </c>
    </row>
    <row r="2627" customFormat="false" ht="15" hidden="false" customHeight="true" outlineLevel="0" collapsed="false">
      <c r="A2627" s="115" t="n">
        <v>3345280.01</v>
      </c>
      <c r="B2627" s="115" t="n">
        <v>3346560</v>
      </c>
      <c r="C2627" s="115" t="n">
        <v>75217.120000005</v>
      </c>
    </row>
    <row r="2628" customFormat="false" ht="15" hidden="false" customHeight="true" outlineLevel="0" collapsed="false">
      <c r="A2628" s="114" t="n">
        <v>3346560.01</v>
      </c>
      <c r="B2628" s="114" t="n">
        <v>3347840</v>
      </c>
      <c r="C2628" s="114" t="n">
        <v>75245.780000005</v>
      </c>
    </row>
    <row r="2629" customFormat="false" ht="15" hidden="false" customHeight="true" outlineLevel="0" collapsed="false">
      <c r="A2629" s="115" t="n">
        <v>3347840.01</v>
      </c>
      <c r="B2629" s="115" t="n">
        <v>3349120</v>
      </c>
      <c r="C2629" s="115" t="n">
        <v>75274.440000005</v>
      </c>
    </row>
    <row r="2630" customFormat="false" ht="15" hidden="false" customHeight="true" outlineLevel="0" collapsed="false">
      <c r="A2630" s="114" t="n">
        <v>3349120.01</v>
      </c>
      <c r="B2630" s="114" t="n">
        <v>3350400</v>
      </c>
      <c r="C2630" s="114" t="n">
        <v>75303.100000005</v>
      </c>
    </row>
    <row r="2631" customFormat="false" ht="15" hidden="false" customHeight="true" outlineLevel="0" collapsed="false">
      <c r="A2631" s="115" t="n">
        <v>3350400.01</v>
      </c>
      <c r="B2631" s="115" t="n">
        <v>3351680</v>
      </c>
      <c r="C2631" s="115" t="n">
        <v>75331.760000005</v>
      </c>
    </row>
    <row r="2632" customFormat="false" ht="15" hidden="false" customHeight="true" outlineLevel="0" collapsed="false">
      <c r="A2632" s="114" t="n">
        <v>3351680.01</v>
      </c>
      <c r="B2632" s="114" t="n">
        <v>3352960</v>
      </c>
      <c r="C2632" s="114" t="n">
        <v>75360.420000005</v>
      </c>
    </row>
    <row r="2633" customFormat="false" ht="15" hidden="false" customHeight="true" outlineLevel="0" collapsed="false">
      <c r="A2633" s="115" t="n">
        <v>3352960.01</v>
      </c>
      <c r="B2633" s="115" t="n">
        <v>3354240</v>
      </c>
      <c r="C2633" s="115" t="n">
        <v>75389.080000005</v>
      </c>
    </row>
    <row r="2634" customFormat="false" ht="15" hidden="false" customHeight="true" outlineLevel="0" collapsed="false">
      <c r="A2634" s="114" t="n">
        <v>3354240.01</v>
      </c>
      <c r="B2634" s="114" t="n">
        <v>3355520</v>
      </c>
      <c r="C2634" s="114" t="n">
        <v>75417.740000005</v>
      </c>
    </row>
    <row r="2635" customFormat="false" ht="15" hidden="false" customHeight="true" outlineLevel="0" collapsed="false">
      <c r="A2635" s="115" t="n">
        <v>3355520.01</v>
      </c>
      <c r="B2635" s="115" t="n">
        <v>3356800</v>
      </c>
      <c r="C2635" s="115" t="n">
        <v>75446.400000005</v>
      </c>
    </row>
    <row r="2636" customFormat="false" ht="15" hidden="false" customHeight="true" outlineLevel="0" collapsed="false">
      <c r="A2636" s="114" t="n">
        <v>3356800.01</v>
      </c>
      <c r="B2636" s="114" t="n">
        <v>3358080</v>
      </c>
      <c r="C2636" s="114" t="n">
        <v>75475.0600000051</v>
      </c>
    </row>
    <row r="2637" customFormat="false" ht="15" hidden="false" customHeight="true" outlineLevel="0" collapsed="false">
      <c r="A2637" s="115" t="n">
        <v>3358080.01</v>
      </c>
      <c r="B2637" s="115" t="n">
        <v>3359360</v>
      </c>
      <c r="C2637" s="115" t="n">
        <v>75503.7200000051</v>
      </c>
    </row>
    <row r="2638" customFormat="false" ht="15" hidden="false" customHeight="true" outlineLevel="0" collapsed="false">
      <c r="A2638" s="114" t="n">
        <v>3359360.01</v>
      </c>
      <c r="B2638" s="114" t="n">
        <v>3360640</v>
      </c>
      <c r="C2638" s="114" t="n">
        <v>75532.3800000051</v>
      </c>
    </row>
    <row r="2639" customFormat="false" ht="15" hidden="false" customHeight="true" outlineLevel="0" collapsed="false">
      <c r="A2639" s="115" t="n">
        <v>3360640.01</v>
      </c>
      <c r="B2639" s="115" t="n">
        <v>3361920</v>
      </c>
      <c r="C2639" s="115" t="n">
        <v>75561.0400000051</v>
      </c>
    </row>
    <row r="2640" customFormat="false" ht="15" hidden="false" customHeight="true" outlineLevel="0" collapsed="false">
      <c r="A2640" s="114" t="n">
        <v>3361920.01</v>
      </c>
      <c r="B2640" s="114" t="n">
        <v>3363200</v>
      </c>
      <c r="C2640" s="114" t="n">
        <v>75589.7000000051</v>
      </c>
    </row>
    <row r="2641" customFormat="false" ht="15" hidden="false" customHeight="true" outlineLevel="0" collapsed="false">
      <c r="A2641" s="115" t="n">
        <v>3363200.01</v>
      </c>
      <c r="B2641" s="115" t="n">
        <v>3364480</v>
      </c>
      <c r="C2641" s="115" t="n">
        <v>75618.3600000051</v>
      </c>
    </row>
    <row r="2642" customFormat="false" ht="15" hidden="false" customHeight="true" outlineLevel="0" collapsed="false">
      <c r="A2642" s="114" t="n">
        <v>3364480.01</v>
      </c>
      <c r="B2642" s="114" t="n">
        <v>3365760</v>
      </c>
      <c r="C2642" s="114" t="n">
        <v>75647.0200000051</v>
      </c>
    </row>
    <row r="2643" customFormat="false" ht="15" hidden="false" customHeight="true" outlineLevel="0" collapsed="false">
      <c r="A2643" s="115" t="n">
        <v>3365760.01</v>
      </c>
      <c r="B2643" s="115" t="n">
        <v>3367040</v>
      </c>
      <c r="C2643" s="115" t="n">
        <v>75675.6800000051</v>
      </c>
    </row>
    <row r="2644" customFormat="false" ht="15" hidden="false" customHeight="true" outlineLevel="0" collapsed="false">
      <c r="A2644" s="114" t="n">
        <v>3367040.01</v>
      </c>
      <c r="B2644" s="114" t="n">
        <v>3368320</v>
      </c>
      <c r="C2644" s="114" t="n">
        <v>75704.3400000051</v>
      </c>
    </row>
    <row r="2645" customFormat="false" ht="15" hidden="false" customHeight="true" outlineLevel="0" collapsed="false">
      <c r="A2645" s="115" t="n">
        <v>3368320.01</v>
      </c>
      <c r="B2645" s="115" t="n">
        <v>3369600</v>
      </c>
      <c r="C2645" s="115" t="n">
        <v>75733.0000000051</v>
      </c>
    </row>
    <row r="2646" customFormat="false" ht="15" hidden="false" customHeight="true" outlineLevel="0" collapsed="false">
      <c r="A2646" s="114" t="n">
        <v>3369600.01</v>
      </c>
      <c r="B2646" s="114" t="n">
        <v>3370880</v>
      </c>
      <c r="C2646" s="114" t="n">
        <v>75761.6600000051</v>
      </c>
    </row>
    <row r="2647" customFormat="false" ht="15" hidden="false" customHeight="true" outlineLevel="0" collapsed="false">
      <c r="A2647" s="115" t="n">
        <v>3370880.01</v>
      </c>
      <c r="B2647" s="115" t="n">
        <v>3372160</v>
      </c>
      <c r="C2647" s="115" t="n">
        <v>75790.3200000051</v>
      </c>
    </row>
    <row r="2648" customFormat="false" ht="15" hidden="false" customHeight="true" outlineLevel="0" collapsed="false">
      <c r="A2648" s="114" t="n">
        <v>3372160.01</v>
      </c>
      <c r="B2648" s="114" t="n">
        <v>3373440</v>
      </c>
      <c r="C2648" s="114" t="n">
        <v>75818.9800000051</v>
      </c>
    </row>
    <row r="2649" customFormat="false" ht="15" hidden="false" customHeight="true" outlineLevel="0" collapsed="false">
      <c r="A2649" s="115" t="n">
        <v>3373440.01</v>
      </c>
      <c r="B2649" s="115" t="n">
        <v>3374720</v>
      </c>
      <c r="C2649" s="115" t="n">
        <v>75847.6400000051</v>
      </c>
    </row>
    <row r="2650" customFormat="false" ht="15" hidden="false" customHeight="true" outlineLevel="0" collapsed="false">
      <c r="A2650" s="114" t="n">
        <v>3374720.01</v>
      </c>
      <c r="B2650" s="114" t="n">
        <v>3376000</v>
      </c>
      <c r="C2650" s="114" t="n">
        <v>75876.3000000051</v>
      </c>
    </row>
    <row r="2651" customFormat="false" ht="15" hidden="false" customHeight="true" outlineLevel="0" collapsed="false">
      <c r="A2651" s="115" t="n">
        <v>3376000.01</v>
      </c>
      <c r="B2651" s="115" t="n">
        <v>3377280</v>
      </c>
      <c r="C2651" s="115" t="n">
        <v>75904.9600000051</v>
      </c>
    </row>
    <row r="2652" customFormat="false" ht="15" hidden="false" customHeight="true" outlineLevel="0" collapsed="false">
      <c r="A2652" s="114" t="n">
        <v>3377280.01</v>
      </c>
      <c r="B2652" s="114" t="n">
        <v>3378560</v>
      </c>
      <c r="C2652" s="114" t="n">
        <v>75933.6200000051</v>
      </c>
    </row>
    <row r="2653" customFormat="false" ht="15" hidden="false" customHeight="true" outlineLevel="0" collapsed="false">
      <c r="A2653" s="115" t="n">
        <v>3378560.01</v>
      </c>
      <c r="B2653" s="115" t="n">
        <v>3379840</v>
      </c>
      <c r="C2653" s="115" t="n">
        <v>75962.2800000051</v>
      </c>
    </row>
    <row r="2654" customFormat="false" ht="15" hidden="false" customHeight="true" outlineLevel="0" collapsed="false">
      <c r="A2654" s="114" t="n">
        <v>3379840.01</v>
      </c>
      <c r="B2654" s="114" t="n">
        <v>3381120</v>
      </c>
      <c r="C2654" s="114" t="n">
        <v>75990.9400000051</v>
      </c>
    </row>
    <row r="2655" customFormat="false" ht="15" hidden="false" customHeight="true" outlineLevel="0" collapsed="false">
      <c r="A2655" s="115" t="n">
        <v>3381120.01</v>
      </c>
      <c r="B2655" s="115" t="n">
        <v>3382400</v>
      </c>
      <c r="C2655" s="115" t="n">
        <v>76019.6000000051</v>
      </c>
    </row>
    <row r="2656" customFormat="false" ht="15" hidden="false" customHeight="true" outlineLevel="0" collapsed="false">
      <c r="A2656" s="114" t="n">
        <v>3382400.01</v>
      </c>
      <c r="B2656" s="114" t="n">
        <v>3383680</v>
      </c>
      <c r="C2656" s="114" t="n">
        <v>76048.2600000051</v>
      </c>
    </row>
    <row r="2657" customFormat="false" ht="15" hidden="false" customHeight="true" outlineLevel="0" collapsed="false">
      <c r="A2657" s="115" t="n">
        <v>3383680.01</v>
      </c>
      <c r="B2657" s="115" t="n">
        <v>3384960</v>
      </c>
      <c r="C2657" s="115" t="n">
        <v>76076.9200000051</v>
      </c>
    </row>
    <row r="2658" customFormat="false" ht="15" hidden="false" customHeight="true" outlineLevel="0" collapsed="false">
      <c r="A2658" s="114" t="n">
        <v>3384960.01</v>
      </c>
      <c r="B2658" s="114" t="n">
        <v>3386240</v>
      </c>
      <c r="C2658" s="114" t="n">
        <v>76105.5800000051</v>
      </c>
    </row>
    <row r="2659" customFormat="false" ht="15" hidden="false" customHeight="true" outlineLevel="0" collapsed="false">
      <c r="A2659" s="115" t="n">
        <v>3386240.01</v>
      </c>
      <c r="B2659" s="115" t="n">
        <v>3387520</v>
      </c>
      <c r="C2659" s="115" t="n">
        <v>76134.2400000051</v>
      </c>
    </row>
    <row r="2660" customFormat="false" ht="15" hidden="false" customHeight="true" outlineLevel="0" collapsed="false">
      <c r="A2660" s="114" t="n">
        <v>3387520.01</v>
      </c>
      <c r="B2660" s="114" t="n">
        <v>3388800</v>
      </c>
      <c r="C2660" s="114" t="n">
        <v>76162.9000000051</v>
      </c>
    </row>
    <row r="2661" customFormat="false" ht="15" hidden="false" customHeight="true" outlineLevel="0" collapsed="false">
      <c r="A2661" s="115" t="n">
        <v>3388800.01</v>
      </c>
      <c r="B2661" s="115" t="n">
        <v>3390080</v>
      </c>
      <c r="C2661" s="115" t="n">
        <v>76191.5600000051</v>
      </c>
    </row>
    <row r="2662" customFormat="false" ht="15" hidden="false" customHeight="true" outlineLevel="0" collapsed="false">
      <c r="A2662" s="114" t="n">
        <v>3390080.01</v>
      </c>
      <c r="B2662" s="114" t="n">
        <v>3391360</v>
      </c>
      <c r="C2662" s="114" t="n">
        <v>76220.2200000051</v>
      </c>
    </row>
    <row r="2663" customFormat="false" ht="15" hidden="false" customHeight="true" outlineLevel="0" collapsed="false">
      <c r="A2663" s="115" t="n">
        <v>3391360.01</v>
      </c>
      <c r="B2663" s="115" t="n">
        <v>3392640</v>
      </c>
      <c r="C2663" s="115" t="n">
        <v>76248.8800000051</v>
      </c>
    </row>
    <row r="2664" customFormat="false" ht="15" hidden="false" customHeight="true" outlineLevel="0" collapsed="false">
      <c r="A2664" s="114" t="n">
        <v>3392640.01</v>
      </c>
      <c r="B2664" s="114" t="n">
        <v>3393920</v>
      </c>
      <c r="C2664" s="114" t="n">
        <v>76277.5400000051</v>
      </c>
    </row>
    <row r="2665" customFormat="false" ht="15" hidden="false" customHeight="true" outlineLevel="0" collapsed="false">
      <c r="A2665" s="115" t="n">
        <v>3393920.01</v>
      </c>
      <c r="B2665" s="115" t="n">
        <v>3395200</v>
      </c>
      <c r="C2665" s="115" t="n">
        <v>76306.2000000052</v>
      </c>
    </row>
    <row r="2666" customFormat="false" ht="15" hidden="false" customHeight="true" outlineLevel="0" collapsed="false">
      <c r="A2666" s="114" t="n">
        <v>3395200.01</v>
      </c>
      <c r="B2666" s="114" t="n">
        <v>3396480</v>
      </c>
      <c r="C2666" s="114" t="n">
        <v>76334.8600000052</v>
      </c>
    </row>
    <row r="2667" customFormat="false" ht="15" hidden="false" customHeight="true" outlineLevel="0" collapsed="false">
      <c r="A2667" s="115" t="n">
        <v>3396480.01</v>
      </c>
      <c r="B2667" s="115" t="n">
        <v>3397760</v>
      </c>
      <c r="C2667" s="115" t="n">
        <v>76363.5200000052</v>
      </c>
    </row>
    <row r="2668" customFormat="false" ht="15" hidden="false" customHeight="true" outlineLevel="0" collapsed="false">
      <c r="A2668" s="114" t="n">
        <v>3397760.01</v>
      </c>
      <c r="B2668" s="114" t="n">
        <v>3399040</v>
      </c>
      <c r="C2668" s="114" t="n">
        <v>76392.1800000052</v>
      </c>
    </row>
    <row r="2669" customFormat="false" ht="15" hidden="false" customHeight="true" outlineLevel="0" collapsed="false">
      <c r="A2669" s="115" t="n">
        <v>3399040.01</v>
      </c>
      <c r="B2669" s="115" t="n">
        <v>3400320</v>
      </c>
      <c r="C2669" s="115" t="n">
        <v>76420.8400000052</v>
      </c>
    </row>
    <row r="2670" customFormat="false" ht="15" hidden="false" customHeight="true" outlineLevel="0" collapsed="false">
      <c r="A2670" s="114" t="n">
        <v>3400320.01</v>
      </c>
      <c r="B2670" s="114" t="n">
        <v>3401600</v>
      </c>
      <c r="C2670" s="114" t="n">
        <v>76449.5000000052</v>
      </c>
    </row>
    <row r="2671" customFormat="false" ht="15" hidden="false" customHeight="true" outlineLevel="0" collapsed="false">
      <c r="A2671" s="115" t="n">
        <v>3401600.01</v>
      </c>
      <c r="B2671" s="115" t="n">
        <v>3402880</v>
      </c>
      <c r="C2671" s="115" t="n">
        <v>76478.1600000052</v>
      </c>
    </row>
    <row r="2672" customFormat="false" ht="15" hidden="false" customHeight="true" outlineLevel="0" collapsed="false">
      <c r="A2672" s="114" t="n">
        <v>3402880.01</v>
      </c>
      <c r="B2672" s="114" t="n">
        <v>3404160</v>
      </c>
      <c r="C2672" s="114" t="n">
        <v>76506.8200000052</v>
      </c>
    </row>
    <row r="2673" customFormat="false" ht="15" hidden="false" customHeight="true" outlineLevel="0" collapsed="false">
      <c r="A2673" s="115" t="n">
        <v>3404160.01</v>
      </c>
      <c r="B2673" s="115" t="n">
        <v>3405440</v>
      </c>
      <c r="C2673" s="115" t="n">
        <v>76535.4800000052</v>
      </c>
    </row>
    <row r="2674" customFormat="false" ht="15" hidden="false" customHeight="true" outlineLevel="0" collapsed="false">
      <c r="A2674" s="114" t="n">
        <v>3405440.01</v>
      </c>
      <c r="B2674" s="114" t="n">
        <v>3406720</v>
      </c>
      <c r="C2674" s="114" t="n">
        <v>76564.1400000052</v>
      </c>
    </row>
    <row r="2675" customFormat="false" ht="15" hidden="false" customHeight="true" outlineLevel="0" collapsed="false">
      <c r="A2675" s="115" t="n">
        <v>3406720.01</v>
      </c>
      <c r="B2675" s="115" t="n">
        <v>3408000</v>
      </c>
      <c r="C2675" s="115" t="n">
        <v>76592.8000000052</v>
      </c>
    </row>
    <row r="2676" customFormat="false" ht="15" hidden="false" customHeight="true" outlineLevel="0" collapsed="false">
      <c r="A2676" s="114" t="n">
        <v>3408000.01</v>
      </c>
      <c r="B2676" s="114" t="n">
        <v>3409280</v>
      </c>
      <c r="C2676" s="114" t="n">
        <v>76621.4600000052</v>
      </c>
    </row>
    <row r="2677" customFormat="false" ht="15" hidden="false" customHeight="true" outlineLevel="0" collapsed="false">
      <c r="A2677" s="115" t="n">
        <v>3409280.01</v>
      </c>
      <c r="B2677" s="115" t="n">
        <v>3410560</v>
      </c>
      <c r="C2677" s="115" t="n">
        <v>76650.1200000052</v>
      </c>
    </row>
    <row r="2678" customFormat="false" ht="15" hidden="false" customHeight="true" outlineLevel="0" collapsed="false">
      <c r="A2678" s="114" t="n">
        <v>3410560.01</v>
      </c>
      <c r="B2678" s="114" t="n">
        <v>3411840</v>
      </c>
      <c r="C2678" s="114" t="n">
        <v>76678.7800000052</v>
      </c>
    </row>
    <row r="2679" customFormat="false" ht="15" hidden="false" customHeight="true" outlineLevel="0" collapsed="false">
      <c r="A2679" s="115" t="n">
        <v>3411840.01</v>
      </c>
      <c r="B2679" s="115" t="n">
        <v>3413120</v>
      </c>
      <c r="C2679" s="115" t="n">
        <v>76707.4400000052</v>
      </c>
    </row>
    <row r="2680" customFormat="false" ht="15" hidden="false" customHeight="true" outlineLevel="0" collapsed="false">
      <c r="A2680" s="114" t="n">
        <v>3413120.01</v>
      </c>
      <c r="B2680" s="114" t="n">
        <v>3414400</v>
      </c>
      <c r="C2680" s="114" t="n">
        <v>76736.1000000052</v>
      </c>
    </row>
    <row r="2681" customFormat="false" ht="15" hidden="false" customHeight="true" outlineLevel="0" collapsed="false">
      <c r="A2681" s="115" t="n">
        <v>3414400.01</v>
      </c>
      <c r="B2681" s="115" t="n">
        <v>3415680</v>
      </c>
      <c r="C2681" s="115" t="n">
        <v>76764.7600000052</v>
      </c>
    </row>
    <row r="2682" customFormat="false" ht="15" hidden="false" customHeight="true" outlineLevel="0" collapsed="false">
      <c r="A2682" s="114" t="n">
        <v>3415680.01</v>
      </c>
      <c r="B2682" s="114" t="n">
        <v>3416960</v>
      </c>
      <c r="C2682" s="114" t="n">
        <v>76793.4200000052</v>
      </c>
    </row>
    <row r="2683" customFormat="false" ht="15" hidden="false" customHeight="true" outlineLevel="0" collapsed="false">
      <c r="A2683" s="115" t="n">
        <v>3416960.01</v>
      </c>
      <c r="B2683" s="115" t="n">
        <v>3418240</v>
      </c>
      <c r="C2683" s="115" t="n">
        <v>76822.0800000052</v>
      </c>
    </row>
    <row r="2684" customFormat="false" ht="15" hidden="false" customHeight="true" outlineLevel="0" collapsed="false">
      <c r="A2684" s="114" t="n">
        <v>3418240.01</v>
      </c>
      <c r="B2684" s="114" t="n">
        <v>3419520</v>
      </c>
      <c r="C2684" s="114" t="n">
        <v>76850.7400000052</v>
      </c>
    </row>
    <row r="2685" customFormat="false" ht="15" hidden="false" customHeight="true" outlineLevel="0" collapsed="false">
      <c r="A2685" s="115" t="n">
        <v>3419520.01</v>
      </c>
      <c r="B2685" s="115" t="n">
        <v>3420800</v>
      </c>
      <c r="C2685" s="115" t="n">
        <v>76879.4000000052</v>
      </c>
    </row>
    <row r="2686" customFormat="false" ht="15" hidden="false" customHeight="true" outlineLevel="0" collapsed="false">
      <c r="A2686" s="114" t="n">
        <v>3420800.01</v>
      </c>
      <c r="B2686" s="114" t="n">
        <v>3422080</v>
      </c>
      <c r="C2686" s="114" t="n">
        <v>76908.0600000052</v>
      </c>
    </row>
    <row r="2687" customFormat="false" ht="15" hidden="false" customHeight="true" outlineLevel="0" collapsed="false">
      <c r="A2687" s="115" t="n">
        <v>3422080.01</v>
      </c>
      <c r="B2687" s="115" t="n">
        <v>3423360</v>
      </c>
      <c r="C2687" s="115" t="n">
        <v>76936.7200000052</v>
      </c>
    </row>
    <row r="2688" customFormat="false" ht="15" hidden="false" customHeight="true" outlineLevel="0" collapsed="false">
      <c r="A2688" s="114" t="n">
        <v>3423360.01</v>
      </c>
      <c r="B2688" s="114" t="n">
        <v>3424640</v>
      </c>
      <c r="C2688" s="114" t="n">
        <v>76965.3800000052</v>
      </c>
    </row>
    <row r="2689" customFormat="false" ht="15" hidden="false" customHeight="true" outlineLevel="0" collapsed="false">
      <c r="A2689" s="115" t="n">
        <v>3424640.01</v>
      </c>
      <c r="B2689" s="115" t="n">
        <v>3425920</v>
      </c>
      <c r="C2689" s="115" t="n">
        <v>76994.0400000052</v>
      </c>
    </row>
    <row r="2690" customFormat="false" ht="15" hidden="false" customHeight="true" outlineLevel="0" collapsed="false">
      <c r="A2690" s="114" t="n">
        <v>3425920.01</v>
      </c>
      <c r="B2690" s="114" t="n">
        <v>3427200</v>
      </c>
      <c r="C2690" s="114" t="n">
        <v>77022.7000000052</v>
      </c>
    </row>
    <row r="2691" customFormat="false" ht="15" hidden="false" customHeight="true" outlineLevel="0" collapsed="false">
      <c r="A2691" s="115" t="n">
        <v>3427200.01</v>
      </c>
      <c r="B2691" s="115" t="n">
        <v>3428480</v>
      </c>
      <c r="C2691" s="115" t="n">
        <v>77051.3600000052</v>
      </c>
    </row>
    <row r="2692" customFormat="false" ht="15" hidden="false" customHeight="true" outlineLevel="0" collapsed="false">
      <c r="A2692" s="114" t="n">
        <v>3428480.01</v>
      </c>
      <c r="B2692" s="114" t="n">
        <v>3429760</v>
      </c>
      <c r="C2692" s="114" t="n">
        <v>77080.0200000052</v>
      </c>
    </row>
    <row r="2693" customFormat="false" ht="15" hidden="false" customHeight="true" outlineLevel="0" collapsed="false">
      <c r="A2693" s="115" t="n">
        <v>3429760.01</v>
      </c>
      <c r="B2693" s="115" t="n">
        <v>3431040</v>
      </c>
      <c r="C2693" s="115" t="n">
        <v>77108.6800000053</v>
      </c>
    </row>
    <row r="2694" customFormat="false" ht="15" hidden="false" customHeight="true" outlineLevel="0" collapsed="false">
      <c r="A2694" s="114" t="n">
        <v>3431040.01</v>
      </c>
      <c r="B2694" s="114" t="n">
        <v>3432320</v>
      </c>
      <c r="C2694" s="114" t="n">
        <v>77137.3400000053</v>
      </c>
    </row>
    <row r="2695" customFormat="false" ht="15" hidden="false" customHeight="true" outlineLevel="0" collapsed="false">
      <c r="A2695" s="115" t="n">
        <v>3432320.01</v>
      </c>
      <c r="B2695" s="115" t="n">
        <v>3433600</v>
      </c>
      <c r="C2695" s="115" t="n">
        <v>77166.0000000053</v>
      </c>
    </row>
    <row r="2696" customFormat="false" ht="15" hidden="false" customHeight="true" outlineLevel="0" collapsed="false">
      <c r="A2696" s="114" t="n">
        <v>3433600.01</v>
      </c>
      <c r="B2696" s="114" t="n">
        <v>3434880</v>
      </c>
      <c r="C2696" s="114" t="n">
        <v>77194.6600000053</v>
      </c>
    </row>
    <row r="2697" customFormat="false" ht="15" hidden="false" customHeight="true" outlineLevel="0" collapsed="false">
      <c r="A2697" s="115" t="n">
        <v>3434880.01</v>
      </c>
      <c r="B2697" s="115" t="n">
        <v>3436160</v>
      </c>
      <c r="C2697" s="115" t="n">
        <v>77223.3200000053</v>
      </c>
    </row>
    <row r="2698" customFormat="false" ht="15" hidden="false" customHeight="true" outlineLevel="0" collapsed="false">
      <c r="A2698" s="114" t="n">
        <v>3436160.01</v>
      </c>
      <c r="B2698" s="114" t="n">
        <v>3437440</v>
      </c>
      <c r="C2698" s="114" t="n">
        <v>77251.9800000053</v>
      </c>
    </row>
    <row r="2699" customFormat="false" ht="15" hidden="false" customHeight="true" outlineLevel="0" collapsed="false">
      <c r="A2699" s="115" t="n">
        <v>3437440.01</v>
      </c>
      <c r="B2699" s="115" t="n">
        <v>3438720</v>
      </c>
      <c r="C2699" s="115" t="n">
        <v>77280.6400000053</v>
      </c>
    </row>
    <row r="2700" customFormat="false" ht="15" hidden="false" customHeight="true" outlineLevel="0" collapsed="false">
      <c r="A2700" s="114" t="n">
        <v>3438720.01</v>
      </c>
      <c r="B2700" s="114" t="n">
        <v>3440000</v>
      </c>
      <c r="C2700" s="114" t="n">
        <v>77309.3000000053</v>
      </c>
    </row>
    <row r="2701" customFormat="false" ht="15" hidden="false" customHeight="true" outlineLevel="0" collapsed="false">
      <c r="A2701" s="115" t="n">
        <v>3440000.01</v>
      </c>
      <c r="B2701" s="115" t="n">
        <v>3441280</v>
      </c>
      <c r="C2701" s="115" t="n">
        <v>77337.9600000053</v>
      </c>
    </row>
    <row r="2702" customFormat="false" ht="15" hidden="false" customHeight="true" outlineLevel="0" collapsed="false">
      <c r="A2702" s="114" t="n">
        <v>3441280.01</v>
      </c>
      <c r="B2702" s="114" t="n">
        <v>3442560</v>
      </c>
      <c r="C2702" s="114" t="n">
        <v>77366.6200000053</v>
      </c>
    </row>
    <row r="2703" customFormat="false" ht="15" hidden="false" customHeight="true" outlineLevel="0" collapsed="false">
      <c r="A2703" s="115" t="n">
        <v>3442560.01</v>
      </c>
      <c r="B2703" s="115" t="n">
        <v>3443840</v>
      </c>
      <c r="C2703" s="115" t="n">
        <v>77395.2800000053</v>
      </c>
    </row>
    <row r="2704" customFormat="false" ht="15" hidden="false" customHeight="true" outlineLevel="0" collapsed="false">
      <c r="A2704" s="114" t="n">
        <v>3443840.01</v>
      </c>
      <c r="B2704" s="114" t="n">
        <v>3445120</v>
      </c>
      <c r="C2704" s="114" t="n">
        <v>77423.9400000053</v>
      </c>
    </row>
    <row r="2705" customFormat="false" ht="15" hidden="false" customHeight="true" outlineLevel="0" collapsed="false">
      <c r="A2705" s="115" t="n">
        <v>3445120.01</v>
      </c>
      <c r="B2705" s="115" t="n">
        <v>3446400</v>
      </c>
      <c r="C2705" s="115" t="n">
        <v>77452.6000000053</v>
      </c>
    </row>
    <row r="2706" customFormat="false" ht="15" hidden="false" customHeight="true" outlineLevel="0" collapsed="false">
      <c r="A2706" s="114" t="n">
        <v>3446400.01</v>
      </c>
      <c r="B2706" s="114" t="n">
        <v>3447680</v>
      </c>
      <c r="C2706" s="114" t="n">
        <v>77481.2600000053</v>
      </c>
    </row>
    <row r="2707" customFormat="false" ht="15" hidden="false" customHeight="true" outlineLevel="0" collapsed="false">
      <c r="A2707" s="115" t="n">
        <v>3447680.01</v>
      </c>
      <c r="B2707" s="115" t="n">
        <v>3448960</v>
      </c>
      <c r="C2707" s="115" t="n">
        <v>77509.9200000053</v>
      </c>
    </row>
    <row r="2708" customFormat="false" ht="15" hidden="false" customHeight="true" outlineLevel="0" collapsed="false">
      <c r="A2708" s="114" t="n">
        <v>3448960.01</v>
      </c>
      <c r="B2708" s="114" t="n">
        <v>3450240</v>
      </c>
      <c r="C2708" s="114" t="n">
        <v>77538.5800000053</v>
      </c>
    </row>
    <row r="2709" customFormat="false" ht="15" hidden="false" customHeight="true" outlineLevel="0" collapsed="false">
      <c r="A2709" s="115" t="n">
        <v>3450240.01</v>
      </c>
      <c r="B2709" s="115" t="n">
        <v>3451520</v>
      </c>
      <c r="C2709" s="115" t="n">
        <v>77567.2400000053</v>
      </c>
    </row>
    <row r="2710" customFormat="false" ht="15" hidden="false" customHeight="true" outlineLevel="0" collapsed="false">
      <c r="A2710" s="114" t="n">
        <v>3451520.01</v>
      </c>
      <c r="B2710" s="114" t="n">
        <v>3452800</v>
      </c>
      <c r="C2710" s="114" t="n">
        <v>77595.9000000053</v>
      </c>
    </row>
    <row r="2711" customFormat="false" ht="15" hidden="false" customHeight="true" outlineLevel="0" collapsed="false">
      <c r="A2711" s="115" t="n">
        <v>3452800.01</v>
      </c>
      <c r="B2711" s="115" t="n">
        <v>3454080</v>
      </c>
      <c r="C2711" s="115" t="n">
        <v>77624.5600000053</v>
      </c>
    </row>
    <row r="2712" customFormat="false" ht="15" hidden="false" customHeight="true" outlineLevel="0" collapsed="false">
      <c r="A2712" s="114" t="n">
        <v>3454080.01</v>
      </c>
      <c r="B2712" s="114" t="n">
        <v>3455360</v>
      </c>
      <c r="C2712" s="114" t="n">
        <v>77653.2200000053</v>
      </c>
    </row>
    <row r="2713" customFormat="false" ht="15" hidden="false" customHeight="true" outlineLevel="0" collapsed="false">
      <c r="A2713" s="115" t="n">
        <v>3455360.01</v>
      </c>
      <c r="B2713" s="115" t="n">
        <v>3456640</v>
      </c>
      <c r="C2713" s="115" t="n">
        <v>77681.8800000053</v>
      </c>
    </row>
    <row r="2714" customFormat="false" ht="15" hidden="false" customHeight="true" outlineLevel="0" collapsed="false">
      <c r="A2714" s="114" t="n">
        <v>3456640.01</v>
      </c>
      <c r="B2714" s="114" t="n">
        <v>3457920</v>
      </c>
      <c r="C2714" s="114" t="n">
        <v>77710.5400000053</v>
      </c>
    </row>
    <row r="2715" customFormat="false" ht="15" hidden="false" customHeight="true" outlineLevel="0" collapsed="false">
      <c r="A2715" s="115" t="n">
        <v>3457920.01</v>
      </c>
      <c r="B2715" s="115" t="n">
        <v>3459200</v>
      </c>
      <c r="C2715" s="115" t="n">
        <v>77739.2000000053</v>
      </c>
    </row>
    <row r="2716" customFormat="false" ht="15" hidden="false" customHeight="true" outlineLevel="0" collapsed="false">
      <c r="A2716" s="114" t="n">
        <v>3459200.01</v>
      </c>
      <c r="B2716" s="114" t="n">
        <v>3460480</v>
      </c>
      <c r="C2716" s="114" t="n">
        <v>77767.8600000053</v>
      </c>
    </row>
    <row r="2717" customFormat="false" ht="15" hidden="false" customHeight="true" outlineLevel="0" collapsed="false">
      <c r="A2717" s="115" t="n">
        <v>3460480.01</v>
      </c>
      <c r="B2717" s="115" t="n">
        <v>3461760</v>
      </c>
      <c r="C2717" s="115" t="n">
        <v>77796.5200000053</v>
      </c>
    </row>
    <row r="2718" customFormat="false" ht="15" hidden="false" customHeight="true" outlineLevel="0" collapsed="false">
      <c r="A2718" s="114" t="n">
        <v>3461760.01</v>
      </c>
      <c r="B2718" s="114" t="n">
        <v>3463040</v>
      </c>
      <c r="C2718" s="114" t="n">
        <v>77825.1800000053</v>
      </c>
    </row>
    <row r="2719" customFormat="false" ht="15" hidden="false" customHeight="true" outlineLevel="0" collapsed="false">
      <c r="A2719" s="115" t="n">
        <v>3463040.01</v>
      </c>
      <c r="B2719" s="115" t="n">
        <v>3464320</v>
      </c>
      <c r="C2719" s="115" t="n">
        <v>77853.8400000053</v>
      </c>
    </row>
    <row r="2720" customFormat="false" ht="15" hidden="false" customHeight="true" outlineLevel="0" collapsed="false">
      <c r="A2720" s="114" t="n">
        <v>3464320.01</v>
      </c>
      <c r="B2720" s="114" t="n">
        <v>3465600</v>
      </c>
      <c r="C2720" s="114" t="n">
        <v>77882.5000000053</v>
      </c>
    </row>
    <row r="2721" customFormat="false" ht="15" hidden="false" customHeight="true" outlineLevel="0" collapsed="false">
      <c r="A2721" s="115" t="n">
        <v>3465600.01</v>
      </c>
      <c r="B2721" s="115" t="n">
        <v>3466880</v>
      </c>
      <c r="C2721" s="115" t="n">
        <v>77911.1600000053</v>
      </c>
    </row>
    <row r="2722" customFormat="false" ht="15" hidden="false" customHeight="true" outlineLevel="0" collapsed="false">
      <c r="A2722" s="114" t="n">
        <v>3466880.01</v>
      </c>
      <c r="B2722" s="114" t="n">
        <v>3468160</v>
      </c>
      <c r="C2722" s="114" t="n">
        <v>77939.8200000054</v>
      </c>
    </row>
    <row r="2723" customFormat="false" ht="15" hidden="false" customHeight="true" outlineLevel="0" collapsed="false">
      <c r="A2723" s="115" t="n">
        <v>3468160.01</v>
      </c>
      <c r="B2723" s="115" t="n">
        <v>3469440</v>
      </c>
      <c r="C2723" s="115" t="n">
        <v>77968.4800000054</v>
      </c>
    </row>
    <row r="2724" customFormat="false" ht="15" hidden="false" customHeight="true" outlineLevel="0" collapsed="false">
      <c r="A2724" s="114" t="n">
        <v>3469440.01</v>
      </c>
      <c r="B2724" s="114" t="n">
        <v>3470720</v>
      </c>
      <c r="C2724" s="114" t="n">
        <v>77997.1400000054</v>
      </c>
    </row>
    <row r="2725" customFormat="false" ht="15" hidden="false" customHeight="true" outlineLevel="0" collapsed="false">
      <c r="A2725" s="115" t="n">
        <v>3470720.01</v>
      </c>
      <c r="B2725" s="115" t="n">
        <v>3472000</v>
      </c>
      <c r="C2725" s="115" t="n">
        <v>78025.8000000054</v>
      </c>
    </row>
    <row r="2726" customFormat="false" ht="15" hidden="false" customHeight="true" outlineLevel="0" collapsed="false">
      <c r="A2726" s="114" t="n">
        <v>3472000.01</v>
      </c>
      <c r="B2726" s="114" t="n">
        <v>3473280</v>
      </c>
      <c r="C2726" s="114" t="n">
        <v>78054.4600000054</v>
      </c>
    </row>
    <row r="2727" customFormat="false" ht="15" hidden="false" customHeight="true" outlineLevel="0" collapsed="false">
      <c r="A2727" s="115" t="n">
        <v>3473280.01</v>
      </c>
      <c r="B2727" s="115" t="n">
        <v>3474560</v>
      </c>
      <c r="C2727" s="115" t="n">
        <v>78083.1200000054</v>
      </c>
    </row>
    <row r="2728" customFormat="false" ht="15" hidden="false" customHeight="true" outlineLevel="0" collapsed="false">
      <c r="A2728" s="114" t="n">
        <v>3474560.01</v>
      </c>
      <c r="B2728" s="114" t="n">
        <v>3475840</v>
      </c>
      <c r="C2728" s="114" t="n">
        <v>78111.7800000054</v>
      </c>
    </row>
    <row r="2729" customFormat="false" ht="15" hidden="false" customHeight="true" outlineLevel="0" collapsed="false">
      <c r="A2729" s="115" t="n">
        <v>3475840.01</v>
      </c>
      <c r="B2729" s="115" t="n">
        <v>3477120</v>
      </c>
      <c r="C2729" s="115" t="n">
        <v>78140.4400000054</v>
      </c>
    </row>
    <row r="2730" customFormat="false" ht="15" hidden="false" customHeight="true" outlineLevel="0" collapsed="false">
      <c r="A2730" s="114" t="n">
        <v>3477120.01</v>
      </c>
      <c r="B2730" s="114" t="n">
        <v>3478400</v>
      </c>
      <c r="C2730" s="114" t="n">
        <v>78169.1000000054</v>
      </c>
    </row>
    <row r="2731" customFormat="false" ht="15" hidden="false" customHeight="true" outlineLevel="0" collapsed="false">
      <c r="A2731" s="115" t="n">
        <v>3478400.01</v>
      </c>
      <c r="B2731" s="115" t="n">
        <v>3479680</v>
      </c>
      <c r="C2731" s="115" t="n">
        <v>78197.7600000054</v>
      </c>
    </row>
    <row r="2732" customFormat="false" ht="15" hidden="false" customHeight="true" outlineLevel="0" collapsed="false">
      <c r="A2732" s="114" t="n">
        <v>3479680.01</v>
      </c>
      <c r="B2732" s="114" t="n">
        <v>3480960</v>
      </c>
      <c r="C2732" s="114" t="n">
        <v>78226.4200000054</v>
      </c>
    </row>
    <row r="2733" customFormat="false" ht="15" hidden="false" customHeight="true" outlineLevel="0" collapsed="false">
      <c r="A2733" s="115" t="n">
        <v>3480960.01</v>
      </c>
      <c r="B2733" s="115" t="n">
        <v>3482240</v>
      </c>
      <c r="C2733" s="115" t="n">
        <v>78255.0800000054</v>
      </c>
    </row>
    <row r="2734" customFormat="false" ht="15" hidden="false" customHeight="true" outlineLevel="0" collapsed="false">
      <c r="A2734" s="114" t="n">
        <v>3482240.01</v>
      </c>
      <c r="B2734" s="114" t="n">
        <v>3483520</v>
      </c>
      <c r="C2734" s="114" t="n">
        <v>78283.7400000054</v>
      </c>
    </row>
    <row r="2735" customFormat="false" ht="15" hidden="false" customHeight="true" outlineLevel="0" collapsed="false">
      <c r="A2735" s="115" t="n">
        <v>3483520.01</v>
      </c>
      <c r="B2735" s="115" t="n">
        <v>3484800</v>
      </c>
      <c r="C2735" s="115" t="n">
        <v>78312.4000000054</v>
      </c>
    </row>
    <row r="2736" customFormat="false" ht="15" hidden="false" customHeight="true" outlineLevel="0" collapsed="false">
      <c r="A2736" s="114" t="n">
        <v>3484800.01</v>
      </c>
      <c r="B2736" s="114" t="n">
        <v>3486080</v>
      </c>
      <c r="C2736" s="114" t="n">
        <v>78341.0600000054</v>
      </c>
    </row>
    <row r="2737" customFormat="false" ht="15" hidden="false" customHeight="true" outlineLevel="0" collapsed="false">
      <c r="A2737" s="115" t="n">
        <v>3486080.01</v>
      </c>
      <c r="B2737" s="115" t="n">
        <v>3487360</v>
      </c>
      <c r="C2737" s="115" t="n">
        <v>78369.7200000054</v>
      </c>
    </row>
    <row r="2738" customFormat="false" ht="15" hidden="false" customHeight="true" outlineLevel="0" collapsed="false">
      <c r="A2738" s="114" t="n">
        <v>3487360.01</v>
      </c>
      <c r="B2738" s="114" t="n">
        <v>3488640</v>
      </c>
      <c r="C2738" s="114" t="n">
        <v>78398.3800000054</v>
      </c>
    </row>
    <row r="2739" customFormat="false" ht="15" hidden="false" customHeight="true" outlineLevel="0" collapsed="false">
      <c r="A2739" s="115" t="n">
        <v>3488640.01</v>
      </c>
      <c r="B2739" s="115" t="n">
        <v>3489920</v>
      </c>
      <c r="C2739" s="115" t="n">
        <v>78427.0400000054</v>
      </c>
    </row>
    <row r="2740" customFormat="false" ht="15" hidden="false" customHeight="true" outlineLevel="0" collapsed="false">
      <c r="A2740" s="114" t="n">
        <v>3489920.01</v>
      </c>
      <c r="B2740" s="114" t="n">
        <v>3491200</v>
      </c>
      <c r="C2740" s="114" t="n">
        <v>78455.7000000054</v>
      </c>
    </row>
    <row r="2741" customFormat="false" ht="15" hidden="false" customHeight="true" outlineLevel="0" collapsed="false">
      <c r="A2741" s="115" t="n">
        <v>3491200.01</v>
      </c>
      <c r="B2741" s="115" t="n">
        <v>3492480</v>
      </c>
      <c r="C2741" s="115" t="n">
        <v>78484.3600000054</v>
      </c>
    </row>
    <row r="2742" customFormat="false" ht="15" hidden="false" customHeight="true" outlineLevel="0" collapsed="false">
      <c r="A2742" s="114" t="n">
        <v>3492480.01</v>
      </c>
      <c r="B2742" s="114" t="n">
        <v>3493760</v>
      </c>
      <c r="C2742" s="114" t="n">
        <v>78513.0200000054</v>
      </c>
    </row>
    <row r="2743" customFormat="false" ht="15" hidden="false" customHeight="true" outlineLevel="0" collapsed="false">
      <c r="A2743" s="115" t="n">
        <v>3493760.01</v>
      </c>
      <c r="B2743" s="115" t="n">
        <v>3495040</v>
      </c>
      <c r="C2743" s="115" t="n">
        <v>78541.6800000054</v>
      </c>
    </row>
    <row r="2744" customFormat="false" ht="15" hidden="false" customHeight="true" outlineLevel="0" collapsed="false">
      <c r="A2744" s="114" t="n">
        <v>3495040.01</v>
      </c>
      <c r="B2744" s="114" t="n">
        <v>3496320</v>
      </c>
      <c r="C2744" s="114" t="n">
        <v>78570.3400000054</v>
      </c>
    </row>
    <row r="2745" customFormat="false" ht="15" hidden="false" customHeight="true" outlineLevel="0" collapsed="false">
      <c r="A2745" s="115" t="n">
        <v>3496320.01</v>
      </c>
      <c r="B2745" s="115" t="n">
        <v>3497600</v>
      </c>
      <c r="C2745" s="115" t="n">
        <v>78599.0000000054</v>
      </c>
    </row>
    <row r="2746" customFormat="false" ht="15" hidden="false" customHeight="true" outlineLevel="0" collapsed="false">
      <c r="A2746" s="114" t="n">
        <v>3497600.01</v>
      </c>
      <c r="B2746" s="114" t="n">
        <v>3498880</v>
      </c>
      <c r="C2746" s="114" t="n">
        <v>78627.6600000054</v>
      </c>
    </row>
    <row r="2747" customFormat="false" ht="15" hidden="false" customHeight="true" outlineLevel="0" collapsed="false">
      <c r="A2747" s="115" t="n">
        <v>3498880.01</v>
      </c>
      <c r="B2747" s="115" t="n">
        <v>3500160</v>
      </c>
      <c r="C2747" s="115" t="n">
        <v>78656.3200000054</v>
      </c>
    </row>
    <row r="2748" customFormat="false" ht="15" hidden="false" customHeight="true" outlineLevel="0" collapsed="false">
      <c r="A2748" s="114" t="n">
        <v>3500160.01</v>
      </c>
      <c r="B2748" s="114" t="n">
        <v>3501440</v>
      </c>
      <c r="C2748" s="114" t="n">
        <v>78684.9800000054</v>
      </c>
    </row>
    <row r="2749" customFormat="false" ht="15" hidden="false" customHeight="true" outlineLevel="0" collapsed="false">
      <c r="A2749" s="115" t="n">
        <v>3501440.01</v>
      </c>
      <c r="B2749" s="115" t="n">
        <v>3502720</v>
      </c>
      <c r="C2749" s="115" t="n">
        <v>78713.6400000054</v>
      </c>
    </row>
    <row r="2750" customFormat="false" ht="15" hidden="false" customHeight="true" outlineLevel="0" collapsed="false">
      <c r="A2750" s="114" t="n">
        <v>3502720.01</v>
      </c>
      <c r="B2750" s="114" t="n">
        <v>3504000</v>
      </c>
      <c r="C2750" s="114" t="n">
        <v>78742.3000000055</v>
      </c>
    </row>
    <row r="2751" customFormat="false" ht="15" hidden="false" customHeight="true" outlineLevel="0" collapsed="false">
      <c r="A2751" s="115" t="n">
        <v>3504000.01</v>
      </c>
      <c r="B2751" s="115" t="n">
        <v>3505280</v>
      </c>
      <c r="C2751" s="115" t="n">
        <v>78770.9600000055</v>
      </c>
    </row>
    <row r="2752" customFormat="false" ht="15" hidden="false" customHeight="true" outlineLevel="0" collapsed="false">
      <c r="A2752" s="114" t="n">
        <v>3505280.01</v>
      </c>
      <c r="B2752" s="114" t="n">
        <v>3506560</v>
      </c>
      <c r="C2752" s="114" t="n">
        <v>78799.6200000055</v>
      </c>
    </row>
    <row r="2753" customFormat="false" ht="15" hidden="false" customHeight="true" outlineLevel="0" collapsed="false">
      <c r="A2753" s="115" t="n">
        <v>3506560.01</v>
      </c>
      <c r="B2753" s="115" t="n">
        <v>3507840</v>
      </c>
      <c r="C2753" s="115" t="n">
        <v>78828.2800000055</v>
      </c>
    </row>
    <row r="2754" customFormat="false" ht="15" hidden="false" customHeight="true" outlineLevel="0" collapsed="false">
      <c r="A2754" s="114" t="n">
        <v>3507840.01</v>
      </c>
      <c r="B2754" s="114" t="n">
        <v>3509120</v>
      </c>
      <c r="C2754" s="114" t="n">
        <v>78856.9400000055</v>
      </c>
    </row>
    <row r="2755" customFormat="false" ht="15" hidden="false" customHeight="true" outlineLevel="0" collapsed="false">
      <c r="A2755" s="115" t="n">
        <v>3509120.01</v>
      </c>
      <c r="B2755" s="115" t="n">
        <v>3510400</v>
      </c>
      <c r="C2755" s="115" t="n">
        <v>78885.6000000055</v>
      </c>
    </row>
    <row r="2756" customFormat="false" ht="15" hidden="false" customHeight="true" outlineLevel="0" collapsed="false">
      <c r="A2756" s="114" t="n">
        <v>3510400.01</v>
      </c>
      <c r="B2756" s="114" t="n">
        <v>3511680</v>
      </c>
      <c r="C2756" s="114" t="n">
        <v>78914.2600000055</v>
      </c>
    </row>
    <row r="2757" customFormat="false" ht="15" hidden="false" customHeight="true" outlineLevel="0" collapsed="false">
      <c r="A2757" s="115" t="n">
        <v>3511680.01</v>
      </c>
      <c r="B2757" s="115" t="n">
        <v>3512960</v>
      </c>
      <c r="C2757" s="115" t="n">
        <v>78942.9200000055</v>
      </c>
    </row>
    <row r="2758" customFormat="false" ht="15" hidden="false" customHeight="true" outlineLevel="0" collapsed="false">
      <c r="A2758" s="114" t="n">
        <v>3512960.01</v>
      </c>
      <c r="B2758" s="114" t="n">
        <v>3514240</v>
      </c>
      <c r="C2758" s="114" t="n">
        <v>78971.5800000055</v>
      </c>
    </row>
    <row r="2759" customFormat="false" ht="15" hidden="false" customHeight="true" outlineLevel="0" collapsed="false">
      <c r="A2759" s="115" t="n">
        <v>3514240.01</v>
      </c>
      <c r="B2759" s="115" t="n">
        <v>3515520</v>
      </c>
      <c r="C2759" s="115" t="n">
        <v>79000.2400000055</v>
      </c>
    </row>
    <row r="2760" customFormat="false" ht="15" hidden="false" customHeight="true" outlineLevel="0" collapsed="false">
      <c r="A2760" s="114" t="n">
        <v>3515520.01</v>
      </c>
      <c r="B2760" s="114" t="n">
        <v>3516800</v>
      </c>
      <c r="C2760" s="114" t="n">
        <v>79028.9000000055</v>
      </c>
    </row>
    <row r="2761" customFormat="false" ht="15" hidden="false" customHeight="true" outlineLevel="0" collapsed="false">
      <c r="A2761" s="115" t="n">
        <v>3516800.01</v>
      </c>
      <c r="B2761" s="115" t="n">
        <v>3518080</v>
      </c>
      <c r="C2761" s="115" t="n">
        <v>79057.5600000055</v>
      </c>
    </row>
    <row r="2762" customFormat="false" ht="15" hidden="false" customHeight="true" outlineLevel="0" collapsed="false">
      <c r="A2762" s="114" t="n">
        <v>3518080.01</v>
      </c>
      <c r="B2762" s="114" t="n">
        <v>3519360</v>
      </c>
      <c r="C2762" s="114" t="n">
        <v>79086.2200000055</v>
      </c>
    </row>
    <row r="2763" customFormat="false" ht="15" hidden="false" customHeight="true" outlineLevel="0" collapsed="false">
      <c r="A2763" s="115" t="n">
        <v>3519360.01</v>
      </c>
      <c r="B2763" s="115" t="n">
        <v>3520640</v>
      </c>
      <c r="C2763" s="115" t="n">
        <v>79114.8800000055</v>
      </c>
    </row>
    <row r="2764" customFormat="false" ht="15" hidden="false" customHeight="true" outlineLevel="0" collapsed="false">
      <c r="A2764" s="114" t="n">
        <v>3520640.01</v>
      </c>
      <c r="B2764" s="114" t="n">
        <v>3521920</v>
      </c>
      <c r="C2764" s="114" t="n">
        <v>79143.5400000055</v>
      </c>
    </row>
    <row r="2765" customFormat="false" ht="15" hidden="false" customHeight="true" outlineLevel="0" collapsed="false">
      <c r="A2765" s="115" t="n">
        <v>3521920.01</v>
      </c>
      <c r="B2765" s="115" t="n">
        <v>3523200</v>
      </c>
      <c r="C2765" s="115" t="n">
        <v>79172.2000000055</v>
      </c>
    </row>
    <row r="2766" customFormat="false" ht="15" hidden="false" customHeight="true" outlineLevel="0" collapsed="false">
      <c r="A2766" s="114" t="n">
        <v>3523200.01</v>
      </c>
      <c r="B2766" s="114" t="n">
        <v>3524480</v>
      </c>
      <c r="C2766" s="114" t="n">
        <v>79200.8600000055</v>
      </c>
    </row>
    <row r="2767" customFormat="false" ht="15" hidden="false" customHeight="true" outlineLevel="0" collapsed="false">
      <c r="A2767" s="115" t="n">
        <v>3524480.01</v>
      </c>
      <c r="B2767" s="115" t="n">
        <v>3525760</v>
      </c>
      <c r="C2767" s="115" t="n">
        <v>79229.5200000055</v>
      </c>
    </row>
    <row r="2768" customFormat="false" ht="15" hidden="false" customHeight="true" outlineLevel="0" collapsed="false">
      <c r="A2768" s="114" t="n">
        <v>3525760.01</v>
      </c>
      <c r="B2768" s="114" t="n">
        <v>3527040</v>
      </c>
      <c r="C2768" s="114" t="n">
        <v>79258.1800000055</v>
      </c>
    </row>
    <row r="2769" customFormat="false" ht="15" hidden="false" customHeight="true" outlineLevel="0" collapsed="false">
      <c r="A2769" s="115" t="n">
        <v>3527040.01</v>
      </c>
      <c r="B2769" s="115" t="n">
        <v>3528320</v>
      </c>
      <c r="C2769" s="115" t="n">
        <v>79286.8400000055</v>
      </c>
    </row>
    <row r="2770" customFormat="false" ht="15" hidden="false" customHeight="true" outlineLevel="0" collapsed="false">
      <c r="A2770" s="114" t="n">
        <v>3528320.01</v>
      </c>
      <c r="B2770" s="114" t="n">
        <v>3529600</v>
      </c>
      <c r="C2770" s="114" t="n">
        <v>79315.5000000055</v>
      </c>
    </row>
    <row r="2771" customFormat="false" ht="15" hidden="false" customHeight="true" outlineLevel="0" collapsed="false">
      <c r="A2771" s="115" t="n">
        <v>3529600.01</v>
      </c>
      <c r="B2771" s="115" t="n">
        <v>3530880</v>
      </c>
      <c r="C2771" s="115" t="n">
        <v>79344.1600000055</v>
      </c>
    </row>
    <row r="2772" customFormat="false" ht="15" hidden="false" customHeight="true" outlineLevel="0" collapsed="false">
      <c r="A2772" s="114" t="n">
        <v>3530880.01</v>
      </c>
      <c r="B2772" s="114" t="n">
        <v>3532160</v>
      </c>
      <c r="C2772" s="114" t="n">
        <v>79372.8200000055</v>
      </c>
    </row>
    <row r="2773" customFormat="false" ht="15" hidden="false" customHeight="true" outlineLevel="0" collapsed="false">
      <c r="A2773" s="115" t="n">
        <v>3532160.01</v>
      </c>
      <c r="B2773" s="115" t="n">
        <v>3533440</v>
      </c>
      <c r="C2773" s="115" t="n">
        <v>79401.4800000055</v>
      </c>
    </row>
    <row r="2774" customFormat="false" ht="15" hidden="false" customHeight="true" outlineLevel="0" collapsed="false">
      <c r="A2774" s="114" t="n">
        <v>3533440.01</v>
      </c>
      <c r="B2774" s="114" t="n">
        <v>3534720</v>
      </c>
      <c r="C2774" s="114" t="n">
        <v>79430.1400000055</v>
      </c>
    </row>
    <row r="2775" customFormat="false" ht="15" hidden="false" customHeight="true" outlineLevel="0" collapsed="false">
      <c r="A2775" s="115" t="n">
        <v>3534720.01</v>
      </c>
      <c r="B2775" s="115" t="n">
        <v>3536000</v>
      </c>
      <c r="C2775" s="115" t="n">
        <v>79458.8000000055</v>
      </c>
    </row>
    <row r="2776" customFormat="false" ht="15" hidden="false" customHeight="true" outlineLevel="0" collapsed="false">
      <c r="A2776" s="114" t="n">
        <v>3536000.01</v>
      </c>
      <c r="B2776" s="114" t="n">
        <v>3537280</v>
      </c>
      <c r="C2776" s="114" t="n">
        <v>79487.4600000055</v>
      </c>
    </row>
    <row r="2777" customFormat="false" ht="15" hidden="false" customHeight="true" outlineLevel="0" collapsed="false">
      <c r="A2777" s="115" t="n">
        <v>3537280.01</v>
      </c>
      <c r="B2777" s="115" t="n">
        <v>3538560</v>
      </c>
      <c r="C2777" s="115" t="n">
        <v>79516.1200000055</v>
      </c>
    </row>
    <row r="2778" customFormat="false" ht="15" hidden="false" customHeight="true" outlineLevel="0" collapsed="false">
      <c r="A2778" s="114" t="n">
        <v>3538560.01</v>
      </c>
      <c r="B2778" s="114" t="n">
        <v>3539840</v>
      </c>
      <c r="C2778" s="114" t="n">
        <v>79544.7800000055</v>
      </c>
    </row>
    <row r="2779" customFormat="false" ht="15" hidden="false" customHeight="true" outlineLevel="0" collapsed="false">
      <c r="A2779" s="115" t="n">
        <v>3539840.01</v>
      </c>
      <c r="B2779" s="115" t="n">
        <v>3541120</v>
      </c>
      <c r="C2779" s="115" t="n">
        <v>79573.4400000056</v>
      </c>
    </row>
    <row r="2780" customFormat="false" ht="15" hidden="false" customHeight="true" outlineLevel="0" collapsed="false">
      <c r="A2780" s="114" t="n">
        <v>3541120.01</v>
      </c>
      <c r="B2780" s="114" t="n">
        <v>3542400</v>
      </c>
      <c r="C2780" s="114" t="n">
        <v>79602.1000000056</v>
      </c>
    </row>
    <row r="2781" customFormat="false" ht="15" hidden="false" customHeight="true" outlineLevel="0" collapsed="false">
      <c r="A2781" s="115" t="n">
        <v>3542400.01</v>
      </c>
      <c r="B2781" s="115" t="n">
        <v>3543680</v>
      </c>
      <c r="C2781" s="115" t="n">
        <v>79630.7600000056</v>
      </c>
    </row>
    <row r="2782" customFormat="false" ht="15" hidden="false" customHeight="true" outlineLevel="0" collapsed="false">
      <c r="A2782" s="114" t="n">
        <v>3543680.01</v>
      </c>
      <c r="B2782" s="114" t="n">
        <v>3544960</v>
      </c>
      <c r="C2782" s="114" t="n">
        <v>79659.4200000056</v>
      </c>
    </row>
    <row r="2783" customFormat="false" ht="15" hidden="false" customHeight="true" outlineLevel="0" collapsed="false">
      <c r="A2783" s="115" t="n">
        <v>3544960.01</v>
      </c>
      <c r="B2783" s="115" t="n">
        <v>3546240</v>
      </c>
      <c r="C2783" s="115" t="n">
        <v>79688.0800000056</v>
      </c>
    </row>
    <row r="2784" customFormat="false" ht="15" hidden="false" customHeight="true" outlineLevel="0" collapsed="false">
      <c r="A2784" s="114" t="n">
        <v>3546240.01</v>
      </c>
      <c r="B2784" s="114" t="n">
        <v>3547520</v>
      </c>
      <c r="C2784" s="114" t="n">
        <v>79716.7400000056</v>
      </c>
    </row>
    <row r="2785" customFormat="false" ht="15" hidden="false" customHeight="true" outlineLevel="0" collapsed="false">
      <c r="A2785" s="115" t="n">
        <v>3547520.01</v>
      </c>
      <c r="B2785" s="115" t="n">
        <v>3548800</v>
      </c>
      <c r="C2785" s="115" t="n">
        <v>79745.4000000056</v>
      </c>
    </row>
    <row r="2786" customFormat="false" ht="15" hidden="false" customHeight="true" outlineLevel="0" collapsed="false">
      <c r="A2786" s="114" t="n">
        <v>3548800.01</v>
      </c>
      <c r="B2786" s="114" t="n">
        <v>3550080</v>
      </c>
      <c r="C2786" s="114" t="n">
        <v>79774.0600000056</v>
      </c>
    </row>
    <row r="2787" customFormat="false" ht="15" hidden="false" customHeight="true" outlineLevel="0" collapsed="false">
      <c r="A2787" s="115" t="n">
        <v>3550080.01</v>
      </c>
      <c r="B2787" s="115" t="n">
        <v>3551360</v>
      </c>
      <c r="C2787" s="115" t="n">
        <v>79802.7200000056</v>
      </c>
    </row>
    <row r="2788" customFormat="false" ht="15" hidden="false" customHeight="true" outlineLevel="0" collapsed="false">
      <c r="A2788" s="114" t="n">
        <v>3551360.01</v>
      </c>
      <c r="B2788" s="114" t="n">
        <v>3552640</v>
      </c>
      <c r="C2788" s="114" t="n">
        <v>79831.3800000056</v>
      </c>
    </row>
    <row r="2789" customFormat="false" ht="15" hidden="false" customHeight="true" outlineLevel="0" collapsed="false">
      <c r="A2789" s="115" t="n">
        <v>3552640.01</v>
      </c>
      <c r="B2789" s="115" t="n">
        <v>3553920</v>
      </c>
      <c r="C2789" s="115" t="n">
        <v>79860.0400000056</v>
      </c>
    </row>
    <row r="2790" customFormat="false" ht="15" hidden="false" customHeight="true" outlineLevel="0" collapsed="false">
      <c r="A2790" s="114" t="n">
        <v>3553920.01</v>
      </c>
      <c r="B2790" s="114" t="n">
        <v>3555200</v>
      </c>
      <c r="C2790" s="114" t="n">
        <v>79888.7000000056</v>
      </c>
    </row>
    <row r="2791" customFormat="false" ht="15" hidden="false" customHeight="true" outlineLevel="0" collapsed="false">
      <c r="A2791" s="115" t="n">
        <v>3555200.01</v>
      </c>
      <c r="B2791" s="115" t="n">
        <v>3556480</v>
      </c>
      <c r="C2791" s="115" t="n">
        <v>79917.3600000056</v>
      </c>
    </row>
    <row r="2792" customFormat="false" ht="15" hidden="false" customHeight="true" outlineLevel="0" collapsed="false">
      <c r="A2792" s="114" t="n">
        <v>3556480.01</v>
      </c>
      <c r="B2792" s="114" t="n">
        <v>3557760</v>
      </c>
      <c r="C2792" s="114" t="n">
        <v>79946.0200000056</v>
      </c>
    </row>
    <row r="2793" customFormat="false" ht="15" hidden="false" customHeight="true" outlineLevel="0" collapsed="false">
      <c r="A2793" s="115" t="n">
        <v>3557760.01</v>
      </c>
      <c r="B2793" s="115" t="n">
        <v>3559040</v>
      </c>
      <c r="C2793" s="115" t="n">
        <v>79974.6800000056</v>
      </c>
    </row>
    <row r="2794" customFormat="false" ht="15" hidden="false" customHeight="true" outlineLevel="0" collapsed="false">
      <c r="A2794" s="114" t="n">
        <v>3559040.01</v>
      </c>
      <c r="B2794" s="114" t="n">
        <v>3560320</v>
      </c>
      <c r="C2794" s="114" t="n">
        <v>80003.3400000056</v>
      </c>
    </row>
    <row r="2795" customFormat="false" ht="15" hidden="false" customHeight="true" outlineLevel="0" collapsed="false">
      <c r="A2795" s="115" t="n">
        <v>3560320.01</v>
      </c>
      <c r="B2795" s="115" t="n">
        <v>3561600</v>
      </c>
      <c r="C2795" s="115" t="n">
        <v>80032.0000000056</v>
      </c>
    </row>
    <row r="2796" customFormat="false" ht="15" hidden="false" customHeight="true" outlineLevel="0" collapsed="false">
      <c r="A2796" s="114" t="n">
        <v>3561600.01</v>
      </c>
      <c r="B2796" s="114" t="n">
        <v>3562880</v>
      </c>
      <c r="C2796" s="114" t="n">
        <v>80060.6600000056</v>
      </c>
    </row>
    <row r="2797" customFormat="false" ht="15" hidden="false" customHeight="true" outlineLevel="0" collapsed="false">
      <c r="A2797" s="115" t="n">
        <v>3562880.01</v>
      </c>
      <c r="B2797" s="115" t="n">
        <v>3564160</v>
      </c>
      <c r="C2797" s="115" t="n">
        <v>80089.3200000056</v>
      </c>
    </row>
    <row r="2798" customFormat="false" ht="15" hidden="false" customHeight="true" outlineLevel="0" collapsed="false">
      <c r="A2798" s="114" t="n">
        <v>3564160.01</v>
      </c>
      <c r="B2798" s="114" t="n">
        <v>3565440</v>
      </c>
      <c r="C2798" s="114" t="n">
        <v>80117.9800000056</v>
      </c>
    </row>
    <row r="2799" customFormat="false" ht="15" hidden="false" customHeight="true" outlineLevel="0" collapsed="false">
      <c r="A2799" s="115" t="n">
        <v>3565440.01</v>
      </c>
      <c r="B2799" s="115" t="n">
        <v>3566720</v>
      </c>
      <c r="C2799" s="115" t="n">
        <v>80146.6400000056</v>
      </c>
    </row>
    <row r="2800" customFormat="false" ht="15" hidden="false" customHeight="true" outlineLevel="0" collapsed="false">
      <c r="A2800" s="114" t="n">
        <v>3566720.01</v>
      </c>
      <c r="B2800" s="114" t="n">
        <v>3568000</v>
      </c>
      <c r="C2800" s="114" t="n">
        <v>80175.3000000056</v>
      </c>
    </row>
    <row r="2801" customFormat="false" ht="15" hidden="false" customHeight="true" outlineLevel="0" collapsed="false">
      <c r="A2801" s="115" t="n">
        <v>3568000.01</v>
      </c>
      <c r="B2801" s="115" t="n">
        <v>3569280</v>
      </c>
      <c r="C2801" s="115" t="n">
        <v>80203.9600000056</v>
      </c>
    </row>
    <row r="2802" customFormat="false" ht="15" hidden="false" customHeight="true" outlineLevel="0" collapsed="false">
      <c r="A2802" s="114" t="n">
        <v>3569280.01</v>
      </c>
      <c r="B2802" s="114" t="n">
        <v>3570560</v>
      </c>
      <c r="C2802" s="114" t="n">
        <v>80232.6200000056</v>
      </c>
    </row>
    <row r="2803" customFormat="false" ht="15" hidden="false" customHeight="true" outlineLevel="0" collapsed="false">
      <c r="A2803" s="115" t="n">
        <v>3570560.01</v>
      </c>
      <c r="B2803" s="115" t="n">
        <v>3571840</v>
      </c>
      <c r="C2803" s="115" t="n">
        <v>80261.2800000056</v>
      </c>
    </row>
    <row r="2804" customFormat="false" ht="15" hidden="false" customHeight="true" outlineLevel="0" collapsed="false">
      <c r="A2804" s="114" t="n">
        <v>3571840.01</v>
      </c>
      <c r="B2804" s="114" t="n">
        <v>3573120</v>
      </c>
      <c r="C2804" s="114" t="n">
        <v>80289.9400000056</v>
      </c>
    </row>
    <row r="2805" customFormat="false" ht="15" hidden="false" customHeight="true" outlineLevel="0" collapsed="false">
      <c r="A2805" s="115" t="n">
        <v>3573120.01</v>
      </c>
      <c r="B2805" s="115" t="n">
        <v>3574400</v>
      </c>
      <c r="C2805" s="115" t="n">
        <v>80318.6000000056</v>
      </c>
    </row>
    <row r="2806" customFormat="false" ht="15" hidden="false" customHeight="true" outlineLevel="0" collapsed="false">
      <c r="A2806" s="114" t="n">
        <v>3574400.01</v>
      </c>
      <c r="B2806" s="114" t="n">
        <v>3575680</v>
      </c>
      <c r="C2806" s="114" t="n">
        <v>80347.2600000056</v>
      </c>
    </row>
    <row r="2807" customFormat="false" ht="15" hidden="false" customHeight="true" outlineLevel="0" collapsed="false">
      <c r="A2807" s="115" t="n">
        <v>3575680.01</v>
      </c>
      <c r="B2807" s="115" t="n">
        <v>3576960</v>
      </c>
      <c r="C2807" s="115" t="n">
        <v>80375.9200000056</v>
      </c>
    </row>
    <row r="2808" customFormat="false" ht="15" hidden="false" customHeight="true" outlineLevel="0" collapsed="false">
      <c r="A2808" s="114" t="n">
        <v>3576960.01</v>
      </c>
      <c r="B2808" s="114" t="n">
        <v>3578240</v>
      </c>
      <c r="C2808" s="114" t="n">
        <v>80404.5800000057</v>
      </c>
    </row>
    <row r="2809" customFormat="false" ht="15" hidden="false" customHeight="true" outlineLevel="0" collapsed="false">
      <c r="A2809" s="115" t="n">
        <v>3578240.01</v>
      </c>
      <c r="B2809" s="115" t="n">
        <v>3579520</v>
      </c>
      <c r="C2809" s="115" t="n">
        <v>80433.2400000057</v>
      </c>
    </row>
    <row r="2810" customFormat="false" ht="15" hidden="false" customHeight="true" outlineLevel="0" collapsed="false">
      <c r="A2810" s="114" t="n">
        <v>3579520.01</v>
      </c>
      <c r="B2810" s="114" t="n">
        <v>3580800</v>
      </c>
      <c r="C2810" s="114" t="n">
        <v>80461.9000000057</v>
      </c>
    </row>
    <row r="2811" customFormat="false" ht="15" hidden="false" customHeight="true" outlineLevel="0" collapsed="false">
      <c r="A2811" s="115" t="n">
        <v>3580800.01</v>
      </c>
      <c r="B2811" s="115" t="n">
        <v>3582080</v>
      </c>
      <c r="C2811" s="115" t="n">
        <v>80490.5600000057</v>
      </c>
    </row>
    <row r="2812" customFormat="false" ht="15" hidden="false" customHeight="true" outlineLevel="0" collapsed="false">
      <c r="A2812" s="114" t="n">
        <v>3582080.01</v>
      </c>
      <c r="B2812" s="114" t="n">
        <v>3583360</v>
      </c>
      <c r="C2812" s="114" t="n">
        <v>80519.2200000057</v>
      </c>
    </row>
    <row r="2813" customFormat="false" ht="15" hidden="false" customHeight="true" outlineLevel="0" collapsed="false">
      <c r="A2813" s="115" t="n">
        <v>3583360.01</v>
      </c>
      <c r="B2813" s="115" t="n">
        <v>3584640</v>
      </c>
      <c r="C2813" s="115" t="n">
        <v>80547.8800000057</v>
      </c>
    </row>
    <row r="2814" customFormat="false" ht="15" hidden="false" customHeight="true" outlineLevel="0" collapsed="false">
      <c r="A2814" s="114" t="n">
        <v>3584640.01</v>
      </c>
      <c r="B2814" s="114" t="n">
        <v>3585920</v>
      </c>
      <c r="C2814" s="114" t="n">
        <v>80576.5400000057</v>
      </c>
    </row>
    <row r="2815" customFormat="false" ht="15" hidden="false" customHeight="true" outlineLevel="0" collapsed="false">
      <c r="A2815" s="115" t="n">
        <v>3585920.01</v>
      </c>
      <c r="B2815" s="115" t="n">
        <v>3587200</v>
      </c>
      <c r="C2815" s="115" t="n">
        <v>80605.2000000057</v>
      </c>
    </row>
    <row r="2816" customFormat="false" ht="15" hidden="false" customHeight="true" outlineLevel="0" collapsed="false">
      <c r="A2816" s="114" t="n">
        <v>3587200.01</v>
      </c>
      <c r="B2816" s="114" t="n">
        <v>3588480</v>
      </c>
      <c r="C2816" s="114" t="n">
        <v>80633.8600000057</v>
      </c>
    </row>
    <row r="2817" customFormat="false" ht="15" hidden="false" customHeight="true" outlineLevel="0" collapsed="false">
      <c r="A2817" s="115" t="n">
        <v>3588480.01</v>
      </c>
      <c r="B2817" s="115" t="n">
        <v>3589760</v>
      </c>
      <c r="C2817" s="115" t="n">
        <v>80662.5200000057</v>
      </c>
    </row>
    <row r="2818" customFormat="false" ht="15" hidden="false" customHeight="true" outlineLevel="0" collapsed="false">
      <c r="A2818" s="114" t="n">
        <v>3589760.01</v>
      </c>
      <c r="B2818" s="114" t="n">
        <v>3591040</v>
      </c>
      <c r="C2818" s="114" t="n">
        <v>80691.1800000057</v>
      </c>
    </row>
    <row r="2819" customFormat="false" ht="15" hidden="false" customHeight="true" outlineLevel="0" collapsed="false">
      <c r="A2819" s="115" t="n">
        <v>3591040.01</v>
      </c>
      <c r="B2819" s="115" t="n">
        <v>3592320</v>
      </c>
      <c r="C2819" s="115" t="n">
        <v>80719.8400000057</v>
      </c>
    </row>
    <row r="2820" customFormat="false" ht="15" hidden="false" customHeight="true" outlineLevel="0" collapsed="false">
      <c r="A2820" s="114" t="n">
        <v>3592320.01</v>
      </c>
      <c r="B2820" s="114" t="n">
        <v>3593600</v>
      </c>
      <c r="C2820" s="114" t="n">
        <v>80748.5000000057</v>
      </c>
    </row>
    <row r="2821" customFormat="false" ht="15" hidden="false" customHeight="true" outlineLevel="0" collapsed="false">
      <c r="A2821" s="115" t="n">
        <v>3593600.01</v>
      </c>
      <c r="B2821" s="115" t="n">
        <v>3594880</v>
      </c>
      <c r="C2821" s="115" t="n">
        <v>80777.1600000057</v>
      </c>
    </row>
    <row r="2822" customFormat="false" ht="15" hidden="false" customHeight="true" outlineLevel="0" collapsed="false">
      <c r="A2822" s="114" t="n">
        <v>3594880.01</v>
      </c>
      <c r="B2822" s="114" t="n">
        <v>3596160</v>
      </c>
      <c r="C2822" s="114" t="n">
        <v>80805.8200000057</v>
      </c>
    </row>
    <row r="2823" customFormat="false" ht="15" hidden="false" customHeight="true" outlineLevel="0" collapsed="false">
      <c r="A2823" s="115" t="n">
        <v>3596160.01</v>
      </c>
      <c r="B2823" s="115" t="n">
        <v>3597440</v>
      </c>
      <c r="C2823" s="115" t="n">
        <v>80834.4800000057</v>
      </c>
    </row>
    <row r="2824" customFormat="false" ht="15" hidden="false" customHeight="true" outlineLevel="0" collapsed="false">
      <c r="A2824" s="114" t="n">
        <v>3597440.01</v>
      </c>
      <c r="B2824" s="114" t="n">
        <v>3598720</v>
      </c>
      <c r="C2824" s="114" t="n">
        <v>80863.1400000057</v>
      </c>
    </row>
    <row r="2825" customFormat="false" ht="15" hidden="false" customHeight="true" outlineLevel="0" collapsed="false">
      <c r="A2825" s="115" t="n">
        <v>3598720.01</v>
      </c>
      <c r="B2825" s="115" t="n">
        <v>3600000</v>
      </c>
      <c r="C2825" s="115" t="n">
        <v>80891.8000000057</v>
      </c>
    </row>
    <row r="2826" customFormat="false" ht="15" hidden="false" customHeight="true" outlineLevel="0" collapsed="false">
      <c r="A2826" s="114" t="n">
        <v>3600000.01</v>
      </c>
      <c r="B2826" s="114" t="n">
        <v>3601280</v>
      </c>
      <c r="C2826" s="114" t="n">
        <v>80920.4600000057</v>
      </c>
    </row>
    <row r="2827" customFormat="false" ht="15" hidden="false" customHeight="true" outlineLevel="0" collapsed="false">
      <c r="A2827" s="115" t="n">
        <v>3601280.01</v>
      </c>
      <c r="B2827" s="115" t="n">
        <v>3602560</v>
      </c>
      <c r="C2827" s="115" t="n">
        <v>80949.1200000057</v>
      </c>
    </row>
    <row r="2828" customFormat="false" ht="15" hidden="false" customHeight="true" outlineLevel="0" collapsed="false">
      <c r="A2828" s="114" t="n">
        <v>3602560.01</v>
      </c>
      <c r="B2828" s="114" t="n">
        <v>3603840</v>
      </c>
      <c r="C2828" s="114" t="n">
        <v>80977.7800000057</v>
      </c>
    </row>
    <row r="2829" customFormat="false" ht="15" hidden="false" customHeight="true" outlineLevel="0" collapsed="false">
      <c r="A2829" s="115" t="n">
        <v>3603840.01</v>
      </c>
      <c r="B2829" s="115" t="n">
        <v>3605120</v>
      </c>
      <c r="C2829" s="115" t="n">
        <v>81006.4400000057</v>
      </c>
    </row>
    <row r="2830" customFormat="false" ht="15" hidden="false" customHeight="true" outlineLevel="0" collapsed="false">
      <c r="A2830" s="114" t="n">
        <v>3605120.01</v>
      </c>
      <c r="B2830" s="114" t="n">
        <v>3606400</v>
      </c>
      <c r="C2830" s="114" t="n">
        <v>81035.1000000057</v>
      </c>
    </row>
    <row r="2831" customFormat="false" ht="15" hidden="false" customHeight="true" outlineLevel="0" collapsed="false">
      <c r="A2831" s="115" t="n">
        <v>3606400.01</v>
      </c>
      <c r="B2831" s="115" t="n">
        <v>3607680</v>
      </c>
      <c r="C2831" s="115" t="n">
        <v>81063.7600000057</v>
      </c>
    </row>
    <row r="2832" customFormat="false" ht="15" hidden="false" customHeight="true" outlineLevel="0" collapsed="false">
      <c r="A2832" s="114" t="n">
        <v>3607680.01</v>
      </c>
      <c r="B2832" s="114" t="n">
        <v>3608960</v>
      </c>
      <c r="C2832" s="114" t="n">
        <v>81092.4200000057</v>
      </c>
    </row>
    <row r="2833" customFormat="false" ht="15" hidden="false" customHeight="true" outlineLevel="0" collapsed="false">
      <c r="A2833" s="115" t="n">
        <v>3608960.01</v>
      </c>
      <c r="B2833" s="115" t="n">
        <v>3610240</v>
      </c>
      <c r="C2833" s="115" t="n">
        <v>81121.0800000057</v>
      </c>
    </row>
    <row r="2834" customFormat="false" ht="15" hidden="false" customHeight="true" outlineLevel="0" collapsed="false">
      <c r="A2834" s="114" t="n">
        <v>3610240.01</v>
      </c>
      <c r="B2834" s="114" t="n">
        <v>3611520</v>
      </c>
      <c r="C2834" s="114" t="n">
        <v>81149.7400000057</v>
      </c>
    </row>
    <row r="2835" customFormat="false" ht="15" hidden="false" customHeight="true" outlineLevel="0" collapsed="false">
      <c r="A2835" s="115" t="n">
        <v>3611520.01</v>
      </c>
      <c r="B2835" s="115" t="n">
        <v>3612800</v>
      </c>
      <c r="C2835" s="115" t="n">
        <v>81178.4000000057</v>
      </c>
    </row>
    <row r="2836" customFormat="false" ht="15" hidden="false" customHeight="true" outlineLevel="0" collapsed="false">
      <c r="A2836" s="114" t="n">
        <v>3612800.01</v>
      </c>
      <c r="B2836" s="114" t="n">
        <v>3614080</v>
      </c>
      <c r="C2836" s="114" t="n">
        <v>81207.0600000058</v>
      </c>
    </row>
    <row r="2837" customFormat="false" ht="15" hidden="false" customHeight="true" outlineLevel="0" collapsed="false">
      <c r="A2837" s="115" t="n">
        <v>3614080.01</v>
      </c>
      <c r="B2837" s="115" t="n">
        <v>3615360</v>
      </c>
      <c r="C2837" s="115" t="n">
        <v>81235.7200000058</v>
      </c>
    </row>
    <row r="2838" customFormat="false" ht="15" hidden="false" customHeight="true" outlineLevel="0" collapsed="false">
      <c r="A2838" s="114" t="n">
        <v>3615360.01</v>
      </c>
      <c r="B2838" s="114" t="n">
        <v>3616640</v>
      </c>
      <c r="C2838" s="114" t="n">
        <v>81264.3800000058</v>
      </c>
    </row>
    <row r="2839" customFormat="false" ht="15" hidden="false" customHeight="true" outlineLevel="0" collapsed="false">
      <c r="A2839" s="115" t="n">
        <v>3616640.01</v>
      </c>
      <c r="B2839" s="115" t="n">
        <v>3617920</v>
      </c>
      <c r="C2839" s="115" t="n">
        <v>81293.0400000058</v>
      </c>
    </row>
    <row r="2840" customFormat="false" ht="15" hidden="false" customHeight="true" outlineLevel="0" collapsed="false">
      <c r="A2840" s="114" t="n">
        <v>3617920.01</v>
      </c>
      <c r="B2840" s="114" t="n">
        <v>3619200</v>
      </c>
      <c r="C2840" s="114" t="n">
        <v>81321.7000000058</v>
      </c>
    </row>
    <row r="2841" customFormat="false" ht="15" hidden="false" customHeight="true" outlineLevel="0" collapsed="false">
      <c r="A2841" s="115" t="n">
        <v>3619200.01</v>
      </c>
      <c r="B2841" s="115" t="n">
        <v>3620480</v>
      </c>
      <c r="C2841" s="115" t="n">
        <v>81350.3600000058</v>
      </c>
    </row>
    <row r="2842" customFormat="false" ht="15" hidden="false" customHeight="true" outlineLevel="0" collapsed="false">
      <c r="A2842" s="114" t="n">
        <v>3620480.01</v>
      </c>
      <c r="B2842" s="114" t="n">
        <v>3621760</v>
      </c>
      <c r="C2842" s="114" t="n">
        <v>81379.0200000058</v>
      </c>
    </row>
    <row r="2843" customFormat="false" ht="15" hidden="false" customHeight="true" outlineLevel="0" collapsed="false">
      <c r="A2843" s="115" t="n">
        <v>3621760.01</v>
      </c>
      <c r="B2843" s="115" t="n">
        <v>3623040</v>
      </c>
      <c r="C2843" s="115" t="n">
        <v>81407.6800000058</v>
      </c>
    </row>
    <row r="2844" customFormat="false" ht="15" hidden="false" customHeight="true" outlineLevel="0" collapsed="false">
      <c r="A2844" s="114" t="n">
        <v>3623040.01</v>
      </c>
      <c r="B2844" s="114" t="n">
        <v>3624320</v>
      </c>
      <c r="C2844" s="114" t="n">
        <v>81436.3400000058</v>
      </c>
    </row>
    <row r="2845" customFormat="false" ht="15" hidden="false" customHeight="true" outlineLevel="0" collapsed="false">
      <c r="A2845" s="115" t="n">
        <v>3624320.01</v>
      </c>
      <c r="B2845" s="115" t="n">
        <v>3625600</v>
      </c>
      <c r="C2845" s="115" t="n">
        <v>81465.0000000058</v>
      </c>
    </row>
    <row r="2846" customFormat="false" ht="15" hidden="false" customHeight="true" outlineLevel="0" collapsed="false">
      <c r="A2846" s="114" t="n">
        <v>3625600.01</v>
      </c>
      <c r="B2846" s="114" t="n">
        <v>3626880</v>
      </c>
      <c r="C2846" s="114" t="n">
        <v>81493.6600000058</v>
      </c>
    </row>
    <row r="2847" customFormat="false" ht="15" hidden="false" customHeight="true" outlineLevel="0" collapsed="false">
      <c r="A2847" s="115" t="n">
        <v>3626880.01</v>
      </c>
      <c r="B2847" s="115" t="n">
        <v>3628160</v>
      </c>
      <c r="C2847" s="115" t="n">
        <v>81522.3200000058</v>
      </c>
    </row>
    <row r="2848" customFormat="false" ht="15" hidden="false" customHeight="true" outlineLevel="0" collapsed="false">
      <c r="A2848" s="114" t="n">
        <v>3628160.01</v>
      </c>
      <c r="B2848" s="114" t="n">
        <v>3629440</v>
      </c>
      <c r="C2848" s="114" t="n">
        <v>81550.9800000058</v>
      </c>
    </row>
    <row r="2849" customFormat="false" ht="15" hidden="false" customHeight="true" outlineLevel="0" collapsed="false">
      <c r="A2849" s="115" t="n">
        <v>3629440.01</v>
      </c>
      <c r="B2849" s="115" t="n">
        <v>3630720</v>
      </c>
      <c r="C2849" s="115" t="n">
        <v>81579.6400000058</v>
      </c>
    </row>
    <row r="2850" customFormat="false" ht="15" hidden="false" customHeight="true" outlineLevel="0" collapsed="false">
      <c r="A2850" s="114" t="n">
        <v>3630720.01</v>
      </c>
      <c r="B2850" s="114" t="n">
        <v>3632000</v>
      </c>
      <c r="C2850" s="114" t="n">
        <v>81608.3000000058</v>
      </c>
    </row>
    <row r="2851" customFormat="false" ht="15" hidden="false" customHeight="true" outlineLevel="0" collapsed="false">
      <c r="A2851" s="115" t="n">
        <v>3632000.01</v>
      </c>
      <c r="B2851" s="115" t="n">
        <v>3633280</v>
      </c>
      <c r="C2851" s="115" t="n">
        <v>81636.9600000058</v>
      </c>
    </row>
    <row r="2852" customFormat="false" ht="15" hidden="false" customHeight="true" outlineLevel="0" collapsed="false">
      <c r="A2852" s="114" t="n">
        <v>3633280.01</v>
      </c>
      <c r="B2852" s="114" t="n">
        <v>3634560</v>
      </c>
      <c r="C2852" s="114" t="n">
        <v>81665.6200000058</v>
      </c>
    </row>
    <row r="2853" customFormat="false" ht="15" hidden="false" customHeight="true" outlineLevel="0" collapsed="false">
      <c r="A2853" s="115" t="n">
        <v>3634560.01</v>
      </c>
      <c r="B2853" s="115" t="n">
        <v>3635840</v>
      </c>
      <c r="C2853" s="115" t="n">
        <v>81694.2800000058</v>
      </c>
    </row>
    <row r="2854" customFormat="false" ht="15" hidden="false" customHeight="true" outlineLevel="0" collapsed="false">
      <c r="A2854" s="114" t="n">
        <v>3635840.01</v>
      </c>
      <c r="B2854" s="114" t="n">
        <v>3637120</v>
      </c>
      <c r="C2854" s="114" t="n">
        <v>81722.9400000058</v>
      </c>
    </row>
    <row r="2855" customFormat="false" ht="15" hidden="false" customHeight="true" outlineLevel="0" collapsed="false">
      <c r="A2855" s="115" t="n">
        <v>3637120.01</v>
      </c>
      <c r="B2855" s="115" t="n">
        <v>3638400</v>
      </c>
      <c r="C2855" s="115" t="n">
        <v>81751.6000000058</v>
      </c>
    </row>
    <row r="2856" customFormat="false" ht="15" hidden="false" customHeight="true" outlineLevel="0" collapsed="false">
      <c r="A2856" s="114" t="n">
        <v>3638400.01</v>
      </c>
      <c r="B2856" s="114" t="n">
        <v>3639680</v>
      </c>
      <c r="C2856" s="114" t="n">
        <v>81780.2600000058</v>
      </c>
    </row>
    <row r="2857" customFormat="false" ht="15" hidden="false" customHeight="true" outlineLevel="0" collapsed="false">
      <c r="A2857" s="115" t="n">
        <v>3639680.01</v>
      </c>
      <c r="B2857" s="115" t="n">
        <v>3640960</v>
      </c>
      <c r="C2857" s="115" t="n">
        <v>81808.9200000058</v>
      </c>
    </row>
    <row r="2858" customFormat="false" ht="15" hidden="false" customHeight="true" outlineLevel="0" collapsed="false">
      <c r="A2858" s="114" t="n">
        <v>3640960.01</v>
      </c>
      <c r="B2858" s="114" t="n">
        <v>3642240</v>
      </c>
      <c r="C2858" s="114" t="n">
        <v>81837.5800000058</v>
      </c>
    </row>
    <row r="2859" customFormat="false" ht="15" hidden="false" customHeight="true" outlineLevel="0" collapsed="false">
      <c r="A2859" s="115" t="n">
        <v>3642240.01</v>
      </c>
      <c r="B2859" s="115" t="n">
        <v>3643520</v>
      </c>
      <c r="C2859" s="115" t="n">
        <v>81866.2400000058</v>
      </c>
    </row>
    <row r="2860" customFormat="false" ht="15" hidden="false" customHeight="true" outlineLevel="0" collapsed="false">
      <c r="A2860" s="114" t="n">
        <v>3643520.01</v>
      </c>
      <c r="B2860" s="114" t="n">
        <v>3644800</v>
      </c>
      <c r="C2860" s="114" t="n">
        <v>81894.9000000058</v>
      </c>
    </row>
    <row r="2861" customFormat="false" ht="15" hidden="false" customHeight="true" outlineLevel="0" collapsed="false">
      <c r="A2861" s="115" t="n">
        <v>3644800.01</v>
      </c>
      <c r="B2861" s="115" t="n">
        <v>3646080</v>
      </c>
      <c r="C2861" s="115" t="n">
        <v>81923.5600000058</v>
      </c>
    </row>
    <row r="2862" customFormat="false" ht="15" hidden="false" customHeight="true" outlineLevel="0" collapsed="false">
      <c r="A2862" s="114" t="n">
        <v>3646080.01</v>
      </c>
      <c r="B2862" s="114" t="n">
        <v>3647360</v>
      </c>
      <c r="C2862" s="114" t="n">
        <v>81952.2200000058</v>
      </c>
    </row>
    <row r="2863" customFormat="false" ht="15" hidden="false" customHeight="true" outlineLevel="0" collapsed="false">
      <c r="A2863" s="115" t="n">
        <v>3647360.01</v>
      </c>
      <c r="B2863" s="115" t="n">
        <v>3648640</v>
      </c>
      <c r="C2863" s="115" t="n">
        <v>81980.8800000058</v>
      </c>
    </row>
    <row r="2864" customFormat="false" ht="15" hidden="false" customHeight="true" outlineLevel="0" collapsed="false">
      <c r="A2864" s="114" t="n">
        <v>3648640.01</v>
      </c>
      <c r="B2864" s="114" t="n">
        <v>3649920</v>
      </c>
      <c r="C2864" s="114" t="n">
        <v>82009.5400000058</v>
      </c>
    </row>
    <row r="2865" customFormat="false" ht="15" hidden="false" customHeight="true" outlineLevel="0" collapsed="false">
      <c r="A2865" s="115" t="n">
        <v>3649920.01</v>
      </c>
      <c r="B2865" s="115" t="n">
        <v>3651200</v>
      </c>
      <c r="C2865" s="115" t="n">
        <v>82038.2000000059</v>
      </c>
    </row>
    <row r="2866" customFormat="false" ht="15" hidden="false" customHeight="true" outlineLevel="0" collapsed="false">
      <c r="A2866" s="114" t="n">
        <v>3651200.01</v>
      </c>
      <c r="B2866" s="114" t="n">
        <v>3652480</v>
      </c>
      <c r="C2866" s="114" t="n">
        <v>82066.8600000059</v>
      </c>
    </row>
    <row r="2867" customFormat="false" ht="15" hidden="false" customHeight="true" outlineLevel="0" collapsed="false">
      <c r="A2867" s="115" t="n">
        <v>3652480.01</v>
      </c>
      <c r="B2867" s="115" t="n">
        <v>3653760</v>
      </c>
      <c r="C2867" s="115" t="n">
        <v>82095.5200000059</v>
      </c>
    </row>
    <row r="2868" customFormat="false" ht="15" hidden="false" customHeight="true" outlineLevel="0" collapsed="false">
      <c r="A2868" s="114" t="n">
        <v>3653760.01</v>
      </c>
      <c r="B2868" s="114" t="n">
        <v>3655040</v>
      </c>
      <c r="C2868" s="114" t="n">
        <v>82124.1800000059</v>
      </c>
    </row>
    <row r="2869" customFormat="false" ht="15" hidden="false" customHeight="true" outlineLevel="0" collapsed="false">
      <c r="A2869" s="115" t="n">
        <v>3655040.01</v>
      </c>
      <c r="B2869" s="115" t="n">
        <v>3656320</v>
      </c>
      <c r="C2869" s="115" t="n">
        <v>82152.8400000059</v>
      </c>
    </row>
    <row r="2870" customFormat="false" ht="15" hidden="false" customHeight="true" outlineLevel="0" collapsed="false">
      <c r="A2870" s="114" t="n">
        <v>3656320.01</v>
      </c>
      <c r="B2870" s="114" t="n">
        <v>3657600</v>
      </c>
      <c r="C2870" s="114" t="n">
        <v>82181.5000000059</v>
      </c>
    </row>
    <row r="2871" customFormat="false" ht="15" hidden="false" customHeight="true" outlineLevel="0" collapsed="false">
      <c r="A2871" s="115" t="n">
        <v>3657600.01</v>
      </c>
      <c r="B2871" s="115" t="n">
        <v>3658880</v>
      </c>
      <c r="C2871" s="115" t="n">
        <v>82210.1600000059</v>
      </c>
    </row>
    <row r="2872" customFormat="false" ht="15" hidden="false" customHeight="true" outlineLevel="0" collapsed="false">
      <c r="A2872" s="114" t="n">
        <v>3658880.01</v>
      </c>
      <c r="B2872" s="114" t="n">
        <v>3660160</v>
      </c>
      <c r="C2872" s="114" t="n">
        <v>82238.8200000059</v>
      </c>
    </row>
    <row r="2873" customFormat="false" ht="15" hidden="false" customHeight="true" outlineLevel="0" collapsed="false">
      <c r="A2873" s="115" t="n">
        <v>3660160.01</v>
      </c>
      <c r="B2873" s="115" t="n">
        <v>3661440</v>
      </c>
      <c r="C2873" s="115" t="n">
        <v>82267.4800000059</v>
      </c>
    </row>
    <row r="2874" customFormat="false" ht="15" hidden="false" customHeight="true" outlineLevel="0" collapsed="false">
      <c r="A2874" s="114" t="n">
        <v>3661440.01</v>
      </c>
      <c r="B2874" s="114" t="n">
        <v>3662720</v>
      </c>
      <c r="C2874" s="114" t="n">
        <v>82296.1400000059</v>
      </c>
    </row>
    <row r="2875" customFormat="false" ht="15" hidden="false" customHeight="true" outlineLevel="0" collapsed="false">
      <c r="A2875" s="115" t="n">
        <v>3662720.01</v>
      </c>
      <c r="B2875" s="115" t="n">
        <v>3664000</v>
      </c>
      <c r="C2875" s="115" t="n">
        <v>82324.8000000059</v>
      </c>
    </row>
    <row r="2876" customFormat="false" ht="15" hidden="false" customHeight="true" outlineLevel="0" collapsed="false">
      <c r="A2876" s="114" t="n">
        <v>3664000.01</v>
      </c>
      <c r="B2876" s="114" t="n">
        <v>3665280</v>
      </c>
      <c r="C2876" s="114" t="n">
        <v>82353.4600000059</v>
      </c>
    </row>
    <row r="2877" customFormat="false" ht="15" hidden="false" customHeight="true" outlineLevel="0" collapsed="false">
      <c r="A2877" s="115" t="n">
        <v>3665280.01</v>
      </c>
      <c r="B2877" s="115" t="n">
        <v>3666560</v>
      </c>
      <c r="C2877" s="115" t="n">
        <v>82382.1200000059</v>
      </c>
    </row>
    <row r="2878" customFormat="false" ht="15" hidden="false" customHeight="true" outlineLevel="0" collapsed="false">
      <c r="A2878" s="114" t="n">
        <v>3666560.01</v>
      </c>
      <c r="B2878" s="114" t="n">
        <v>3667840</v>
      </c>
      <c r="C2878" s="114" t="n">
        <v>82410.7800000059</v>
      </c>
    </row>
    <row r="2879" customFormat="false" ht="15" hidden="false" customHeight="true" outlineLevel="0" collapsed="false">
      <c r="A2879" s="115" t="n">
        <v>3667840.01</v>
      </c>
      <c r="B2879" s="115" t="n">
        <v>3669120</v>
      </c>
      <c r="C2879" s="115" t="n">
        <v>82439.4400000059</v>
      </c>
    </row>
    <row r="2880" customFormat="false" ht="15" hidden="false" customHeight="true" outlineLevel="0" collapsed="false">
      <c r="A2880" s="114" t="n">
        <v>3669120.01</v>
      </c>
      <c r="B2880" s="114" t="n">
        <v>3670400</v>
      </c>
      <c r="C2880" s="114" t="n">
        <v>82468.1000000059</v>
      </c>
    </row>
    <row r="2881" customFormat="false" ht="15" hidden="false" customHeight="true" outlineLevel="0" collapsed="false">
      <c r="A2881" s="115" t="n">
        <v>3670400.01</v>
      </c>
      <c r="B2881" s="115" t="n">
        <v>3671680</v>
      </c>
      <c r="C2881" s="115" t="n">
        <v>82496.7600000059</v>
      </c>
    </row>
    <row r="2882" customFormat="false" ht="15" hidden="false" customHeight="true" outlineLevel="0" collapsed="false">
      <c r="A2882" s="114" t="n">
        <v>3671680.01</v>
      </c>
      <c r="B2882" s="114" t="n">
        <v>3672960</v>
      </c>
      <c r="C2882" s="114" t="n">
        <v>82525.4200000059</v>
      </c>
    </row>
    <row r="2883" customFormat="false" ht="15" hidden="false" customHeight="true" outlineLevel="0" collapsed="false">
      <c r="A2883" s="115" t="n">
        <v>3672960.01</v>
      </c>
      <c r="B2883" s="115" t="n">
        <v>3674240</v>
      </c>
      <c r="C2883" s="115" t="n">
        <v>82554.0800000059</v>
      </c>
    </row>
    <row r="2884" customFormat="false" ht="15" hidden="false" customHeight="true" outlineLevel="0" collapsed="false">
      <c r="A2884" s="114" t="n">
        <v>3674240.01</v>
      </c>
      <c r="B2884" s="114" t="n">
        <v>3675520</v>
      </c>
      <c r="C2884" s="114" t="n">
        <v>82582.7400000059</v>
      </c>
    </row>
    <row r="2885" customFormat="false" ht="15" hidden="false" customHeight="true" outlineLevel="0" collapsed="false">
      <c r="A2885" s="115" t="n">
        <v>3675520.01</v>
      </c>
      <c r="B2885" s="115" t="n">
        <v>3676800</v>
      </c>
      <c r="C2885" s="115" t="n">
        <v>82611.4000000059</v>
      </c>
    </row>
    <row r="2886" customFormat="false" ht="15" hidden="false" customHeight="true" outlineLevel="0" collapsed="false">
      <c r="A2886" s="114" t="n">
        <v>3676800.01</v>
      </c>
      <c r="B2886" s="114" t="n">
        <v>3678080</v>
      </c>
      <c r="C2886" s="114" t="n">
        <v>82640.0600000059</v>
      </c>
    </row>
    <row r="2887" customFormat="false" ht="15" hidden="false" customHeight="true" outlineLevel="0" collapsed="false">
      <c r="A2887" s="115" t="n">
        <v>3678080.01</v>
      </c>
      <c r="B2887" s="115" t="n">
        <v>3679360</v>
      </c>
      <c r="C2887" s="115" t="n">
        <v>82668.7200000059</v>
      </c>
    </row>
    <row r="2888" customFormat="false" ht="15" hidden="false" customHeight="true" outlineLevel="0" collapsed="false">
      <c r="A2888" s="114" t="n">
        <v>3679360.01</v>
      </c>
      <c r="B2888" s="114" t="n">
        <v>3680640</v>
      </c>
      <c r="C2888" s="114" t="n">
        <v>82697.3800000059</v>
      </c>
    </row>
    <row r="2889" customFormat="false" ht="15" hidden="false" customHeight="true" outlineLevel="0" collapsed="false">
      <c r="A2889" s="115" t="n">
        <v>3680640.01</v>
      </c>
      <c r="B2889" s="115" t="n">
        <v>3681920</v>
      </c>
      <c r="C2889" s="115" t="n">
        <v>82726.0400000059</v>
      </c>
    </row>
    <row r="2890" customFormat="false" ht="15" hidden="false" customHeight="true" outlineLevel="0" collapsed="false">
      <c r="A2890" s="114" t="n">
        <v>3681920.01</v>
      </c>
      <c r="B2890" s="114" t="n">
        <v>3683200</v>
      </c>
      <c r="C2890" s="114" t="n">
        <v>82754.7000000059</v>
      </c>
    </row>
    <row r="2891" customFormat="false" ht="15" hidden="false" customHeight="true" outlineLevel="0" collapsed="false">
      <c r="A2891" s="115" t="n">
        <v>3683200.01</v>
      </c>
      <c r="B2891" s="115" t="n">
        <v>3684480</v>
      </c>
      <c r="C2891" s="115" t="n">
        <v>82783.3600000059</v>
      </c>
    </row>
    <row r="2892" customFormat="false" ht="15" hidden="false" customHeight="true" outlineLevel="0" collapsed="false">
      <c r="A2892" s="114" t="n">
        <v>3684480.01</v>
      </c>
      <c r="B2892" s="114" t="n">
        <v>3685760</v>
      </c>
      <c r="C2892" s="114" t="n">
        <v>82812.0200000059</v>
      </c>
    </row>
    <row r="2893" customFormat="false" ht="15" hidden="false" customHeight="true" outlineLevel="0" collapsed="false">
      <c r="A2893" s="115" t="n">
        <v>3685760.01</v>
      </c>
      <c r="B2893" s="115" t="n">
        <v>3687040</v>
      </c>
      <c r="C2893" s="115" t="n">
        <v>82840.6800000059</v>
      </c>
    </row>
    <row r="2894" customFormat="false" ht="15" hidden="false" customHeight="true" outlineLevel="0" collapsed="false">
      <c r="A2894" s="114" t="n">
        <v>3687040.01</v>
      </c>
      <c r="B2894" s="114" t="n">
        <v>3688320</v>
      </c>
      <c r="C2894" s="114" t="n">
        <v>82869.340000006</v>
      </c>
    </row>
    <row r="2895" customFormat="false" ht="15" hidden="false" customHeight="true" outlineLevel="0" collapsed="false">
      <c r="A2895" s="115" t="n">
        <v>3688320.01</v>
      </c>
      <c r="B2895" s="115" t="n">
        <v>3689600</v>
      </c>
      <c r="C2895" s="115" t="n">
        <v>82898.000000006</v>
      </c>
    </row>
    <row r="2896" customFormat="false" ht="15" hidden="false" customHeight="true" outlineLevel="0" collapsed="false">
      <c r="A2896" s="114" t="n">
        <v>3689600.01</v>
      </c>
      <c r="B2896" s="114" t="n">
        <v>3690880</v>
      </c>
      <c r="C2896" s="114" t="n">
        <v>82926.660000006</v>
      </c>
    </row>
    <row r="2897" customFormat="false" ht="15" hidden="false" customHeight="true" outlineLevel="0" collapsed="false">
      <c r="A2897" s="115" t="n">
        <v>3690880.01</v>
      </c>
      <c r="B2897" s="115" t="n">
        <v>3692160</v>
      </c>
      <c r="C2897" s="115" t="n">
        <v>82955.320000006</v>
      </c>
    </row>
    <row r="2898" customFormat="false" ht="15" hidden="false" customHeight="true" outlineLevel="0" collapsed="false">
      <c r="A2898" s="114" t="n">
        <v>3692160.01</v>
      </c>
      <c r="B2898" s="114" t="n">
        <v>3693440</v>
      </c>
      <c r="C2898" s="114" t="n">
        <v>82983.980000006</v>
      </c>
    </row>
    <row r="2899" customFormat="false" ht="15" hidden="false" customHeight="true" outlineLevel="0" collapsed="false">
      <c r="A2899" s="115" t="n">
        <v>3693440.01</v>
      </c>
      <c r="B2899" s="115" t="n">
        <v>3694720</v>
      </c>
      <c r="C2899" s="115" t="n">
        <v>83012.640000006</v>
      </c>
    </row>
    <row r="2900" customFormat="false" ht="15" hidden="false" customHeight="true" outlineLevel="0" collapsed="false">
      <c r="A2900" s="114" t="n">
        <v>3694720.01</v>
      </c>
      <c r="B2900" s="114" t="n">
        <v>3696000</v>
      </c>
      <c r="C2900" s="114" t="n">
        <v>83041.300000006</v>
      </c>
    </row>
    <row r="2901" customFormat="false" ht="15" hidden="false" customHeight="true" outlineLevel="0" collapsed="false">
      <c r="A2901" s="115" t="n">
        <v>3696000.01</v>
      </c>
      <c r="B2901" s="115" t="n">
        <v>3697280</v>
      </c>
      <c r="C2901" s="115" t="n">
        <v>83069.960000006</v>
      </c>
    </row>
    <row r="2902" customFormat="false" ht="15" hidden="false" customHeight="true" outlineLevel="0" collapsed="false">
      <c r="A2902" s="114" t="n">
        <v>3697280.01</v>
      </c>
      <c r="B2902" s="114" t="n">
        <v>3698560</v>
      </c>
      <c r="C2902" s="114" t="n">
        <v>83098.620000006</v>
      </c>
    </row>
    <row r="2903" customFormat="false" ht="15" hidden="false" customHeight="true" outlineLevel="0" collapsed="false">
      <c r="A2903" s="115" t="n">
        <v>3698560.01</v>
      </c>
      <c r="B2903" s="115" t="n">
        <v>3699840</v>
      </c>
      <c r="C2903" s="115" t="n">
        <v>83127.280000006</v>
      </c>
    </row>
    <row r="2904" customFormat="false" ht="15" hidden="false" customHeight="true" outlineLevel="0" collapsed="false">
      <c r="A2904" s="114" t="n">
        <v>3699840.01</v>
      </c>
      <c r="B2904" s="114" t="n">
        <v>3701120</v>
      </c>
      <c r="C2904" s="114" t="n">
        <v>83155.940000006</v>
      </c>
    </row>
    <row r="2905" customFormat="false" ht="15" hidden="false" customHeight="true" outlineLevel="0" collapsed="false">
      <c r="A2905" s="115" t="n">
        <v>3701120.01</v>
      </c>
      <c r="B2905" s="115" t="n">
        <v>3702400</v>
      </c>
      <c r="C2905" s="115" t="n">
        <v>83184.600000006</v>
      </c>
    </row>
    <row r="2906" customFormat="false" ht="15" hidden="false" customHeight="true" outlineLevel="0" collapsed="false">
      <c r="A2906" s="114" t="n">
        <v>3702400.01</v>
      </c>
      <c r="B2906" s="114" t="n">
        <v>3703680</v>
      </c>
      <c r="C2906" s="114" t="n">
        <v>83213.260000006</v>
      </c>
    </row>
    <row r="2907" customFormat="false" ht="15" hidden="false" customHeight="true" outlineLevel="0" collapsed="false">
      <c r="A2907" s="115" t="n">
        <v>3703680.01</v>
      </c>
      <c r="B2907" s="115" t="n">
        <v>3704960</v>
      </c>
      <c r="C2907" s="115" t="n">
        <v>83241.920000006</v>
      </c>
    </row>
    <row r="2908" customFormat="false" ht="15" hidden="false" customHeight="true" outlineLevel="0" collapsed="false">
      <c r="A2908" s="114" t="n">
        <v>3704960.01</v>
      </c>
      <c r="B2908" s="114" t="n">
        <v>3706240</v>
      </c>
      <c r="C2908" s="114" t="n">
        <v>83270.580000006</v>
      </c>
    </row>
    <row r="2909" customFormat="false" ht="15" hidden="false" customHeight="true" outlineLevel="0" collapsed="false">
      <c r="A2909" s="115" t="n">
        <v>3706240.01</v>
      </c>
      <c r="B2909" s="115" t="n">
        <v>3707520</v>
      </c>
      <c r="C2909" s="115" t="n">
        <v>83299.240000006</v>
      </c>
    </row>
    <row r="2910" customFormat="false" ht="15" hidden="false" customHeight="true" outlineLevel="0" collapsed="false">
      <c r="A2910" s="114" t="n">
        <v>3707520.01</v>
      </c>
      <c r="B2910" s="114" t="n">
        <v>3708800</v>
      </c>
      <c r="C2910" s="114" t="n">
        <v>83327.900000006</v>
      </c>
    </row>
    <row r="2911" customFormat="false" ht="15" hidden="false" customHeight="true" outlineLevel="0" collapsed="false">
      <c r="A2911" s="115" t="n">
        <v>3708800.01</v>
      </c>
      <c r="B2911" s="115" t="n">
        <v>3710080</v>
      </c>
      <c r="C2911" s="115" t="n">
        <v>83356.560000006</v>
      </c>
    </row>
    <row r="2912" customFormat="false" ht="15" hidden="false" customHeight="true" outlineLevel="0" collapsed="false">
      <c r="A2912" s="114" t="n">
        <v>3710080.01</v>
      </c>
      <c r="B2912" s="114" t="n">
        <v>3711360</v>
      </c>
      <c r="C2912" s="114" t="n">
        <v>83385.220000006</v>
      </c>
    </row>
    <row r="2913" customFormat="false" ht="15" hidden="false" customHeight="true" outlineLevel="0" collapsed="false">
      <c r="A2913" s="115" t="n">
        <v>3711360.01</v>
      </c>
      <c r="B2913" s="115" t="n">
        <v>3712640</v>
      </c>
      <c r="C2913" s="115" t="n">
        <v>83413.880000006</v>
      </c>
    </row>
    <row r="2914" customFormat="false" ht="15" hidden="false" customHeight="true" outlineLevel="0" collapsed="false">
      <c r="A2914" s="114" t="n">
        <v>3712640.01</v>
      </c>
      <c r="B2914" s="114" t="n">
        <v>3713920</v>
      </c>
      <c r="C2914" s="114" t="n">
        <v>83442.540000006</v>
      </c>
    </row>
    <row r="2915" customFormat="false" ht="15" hidden="false" customHeight="true" outlineLevel="0" collapsed="false">
      <c r="A2915" s="115" t="n">
        <v>3713920.01</v>
      </c>
      <c r="B2915" s="115" t="n">
        <v>3715200</v>
      </c>
      <c r="C2915" s="115" t="n">
        <v>83471.200000006</v>
      </c>
    </row>
    <row r="2916" customFormat="false" ht="15" hidden="false" customHeight="true" outlineLevel="0" collapsed="false">
      <c r="A2916" s="114" t="n">
        <v>3715200.01</v>
      </c>
      <c r="B2916" s="114" t="n">
        <v>3716480</v>
      </c>
      <c r="C2916" s="114" t="n">
        <v>83499.860000006</v>
      </c>
    </row>
    <row r="2917" customFormat="false" ht="15" hidden="false" customHeight="true" outlineLevel="0" collapsed="false">
      <c r="A2917" s="115" t="n">
        <v>3716480.01</v>
      </c>
      <c r="B2917" s="115" t="n">
        <v>3717760</v>
      </c>
      <c r="C2917" s="115" t="n">
        <v>83528.520000006</v>
      </c>
    </row>
    <row r="2918" customFormat="false" ht="15" hidden="false" customHeight="true" outlineLevel="0" collapsed="false">
      <c r="A2918" s="114" t="n">
        <v>3717760.01</v>
      </c>
      <c r="B2918" s="114" t="n">
        <v>3719040</v>
      </c>
      <c r="C2918" s="114" t="n">
        <v>83557.180000006</v>
      </c>
    </row>
    <row r="2919" customFormat="false" ht="15" hidden="false" customHeight="true" outlineLevel="0" collapsed="false">
      <c r="A2919" s="115" t="n">
        <v>3719040.01</v>
      </c>
      <c r="B2919" s="115" t="n">
        <v>3720320</v>
      </c>
      <c r="C2919" s="115" t="n">
        <v>83585.840000006</v>
      </c>
    </row>
    <row r="2920" customFormat="false" ht="15" hidden="false" customHeight="true" outlineLevel="0" collapsed="false">
      <c r="A2920" s="114" t="n">
        <v>3720320.01</v>
      </c>
      <c r="B2920" s="114" t="n">
        <v>3721600</v>
      </c>
      <c r="C2920" s="114" t="n">
        <v>83614.500000006</v>
      </c>
    </row>
    <row r="2921" customFormat="false" ht="15" hidden="false" customHeight="true" outlineLevel="0" collapsed="false">
      <c r="A2921" s="115" t="n">
        <v>3721600.01</v>
      </c>
      <c r="B2921" s="115" t="n">
        <v>3722880</v>
      </c>
      <c r="C2921" s="115" t="n">
        <v>83643.160000006</v>
      </c>
    </row>
    <row r="2922" customFormat="false" ht="15" hidden="false" customHeight="true" outlineLevel="0" collapsed="false">
      <c r="A2922" s="114" t="n">
        <v>3722880.01</v>
      </c>
      <c r="B2922" s="114" t="n">
        <v>3724160</v>
      </c>
      <c r="C2922" s="114" t="n">
        <v>83671.8200000061</v>
      </c>
    </row>
    <row r="2923" customFormat="false" ht="15" hidden="false" customHeight="true" outlineLevel="0" collapsed="false">
      <c r="A2923" s="115" t="n">
        <v>3724160.01</v>
      </c>
      <c r="B2923" s="115" t="n">
        <v>3725440</v>
      </c>
      <c r="C2923" s="115" t="n">
        <v>83700.4800000061</v>
      </c>
    </row>
    <row r="2924" customFormat="false" ht="15" hidden="false" customHeight="true" outlineLevel="0" collapsed="false">
      <c r="A2924" s="114" t="n">
        <v>3725440.01</v>
      </c>
      <c r="B2924" s="114" t="n">
        <v>3726720</v>
      </c>
      <c r="C2924" s="114" t="n">
        <v>83729.1400000061</v>
      </c>
    </row>
    <row r="2925" customFormat="false" ht="15" hidden="false" customHeight="true" outlineLevel="0" collapsed="false">
      <c r="A2925" s="115" t="n">
        <v>3726720.01</v>
      </c>
      <c r="B2925" s="115" t="n">
        <v>3728000</v>
      </c>
      <c r="C2925" s="115" t="n">
        <v>83757.8000000061</v>
      </c>
    </row>
    <row r="2926" customFormat="false" ht="15" hidden="false" customHeight="true" outlineLevel="0" collapsed="false">
      <c r="A2926" s="114" t="n">
        <v>3728000.01</v>
      </c>
      <c r="B2926" s="114" t="n">
        <v>3729280</v>
      </c>
      <c r="C2926" s="114" t="n">
        <v>83786.4600000061</v>
      </c>
    </row>
    <row r="2927" customFormat="false" ht="15" hidden="false" customHeight="true" outlineLevel="0" collapsed="false">
      <c r="A2927" s="115" t="n">
        <v>3729280.01</v>
      </c>
      <c r="B2927" s="115" t="n">
        <v>3730560</v>
      </c>
      <c r="C2927" s="115" t="n">
        <v>83815.1200000061</v>
      </c>
    </row>
    <row r="2928" customFormat="false" ht="15" hidden="false" customHeight="true" outlineLevel="0" collapsed="false">
      <c r="A2928" s="114" t="n">
        <v>3730560.01</v>
      </c>
      <c r="B2928" s="114" t="n">
        <v>3731840</v>
      </c>
      <c r="C2928" s="114" t="n">
        <v>83843.7800000061</v>
      </c>
    </row>
    <row r="2929" customFormat="false" ht="15" hidden="false" customHeight="true" outlineLevel="0" collapsed="false">
      <c r="A2929" s="115" t="n">
        <v>3731840.01</v>
      </c>
      <c r="B2929" s="115" t="n">
        <v>3733120</v>
      </c>
      <c r="C2929" s="115" t="n">
        <v>83872.4400000061</v>
      </c>
    </row>
    <row r="2930" customFormat="false" ht="15" hidden="false" customHeight="true" outlineLevel="0" collapsed="false">
      <c r="A2930" s="114" t="n">
        <v>3733120.01</v>
      </c>
      <c r="B2930" s="114" t="n">
        <v>3734400</v>
      </c>
      <c r="C2930" s="114" t="n">
        <v>83901.1000000061</v>
      </c>
    </row>
    <row r="2931" customFormat="false" ht="15" hidden="false" customHeight="true" outlineLevel="0" collapsed="false">
      <c r="A2931" s="115" t="n">
        <v>3734400.01</v>
      </c>
      <c r="B2931" s="115" t="n">
        <v>3735680</v>
      </c>
      <c r="C2931" s="115" t="n">
        <v>83929.7600000061</v>
      </c>
    </row>
    <row r="2932" customFormat="false" ht="15" hidden="false" customHeight="true" outlineLevel="0" collapsed="false">
      <c r="A2932" s="114" t="n">
        <v>3735680.01</v>
      </c>
      <c r="B2932" s="114" t="n">
        <v>3736960</v>
      </c>
      <c r="C2932" s="114" t="n">
        <v>83958.4200000061</v>
      </c>
    </row>
    <row r="2933" customFormat="false" ht="15" hidden="false" customHeight="true" outlineLevel="0" collapsed="false">
      <c r="A2933" s="115" t="n">
        <v>3736960.01</v>
      </c>
      <c r="B2933" s="115" t="n">
        <v>3738240</v>
      </c>
      <c r="C2933" s="115" t="n">
        <v>83987.0800000061</v>
      </c>
    </row>
    <row r="2934" customFormat="false" ht="15" hidden="false" customHeight="true" outlineLevel="0" collapsed="false">
      <c r="A2934" s="114" t="n">
        <v>3738240.01</v>
      </c>
      <c r="B2934" s="114" t="n">
        <v>3739520</v>
      </c>
      <c r="C2934" s="114" t="n">
        <v>84015.7400000061</v>
      </c>
    </row>
    <row r="2935" customFormat="false" ht="15" hidden="false" customHeight="true" outlineLevel="0" collapsed="false">
      <c r="A2935" s="115" t="n">
        <v>3739520.01</v>
      </c>
      <c r="B2935" s="115" t="n">
        <v>3740800</v>
      </c>
      <c r="C2935" s="115" t="n">
        <v>84044.4000000061</v>
      </c>
    </row>
    <row r="2936" customFormat="false" ht="15" hidden="false" customHeight="true" outlineLevel="0" collapsed="false">
      <c r="A2936" s="114" t="n">
        <v>3740800.01</v>
      </c>
      <c r="B2936" s="114" t="n">
        <v>3742080</v>
      </c>
      <c r="C2936" s="114" t="n">
        <v>84073.0600000061</v>
      </c>
    </row>
    <row r="2937" customFormat="false" ht="15" hidden="false" customHeight="true" outlineLevel="0" collapsed="false">
      <c r="A2937" s="115" t="n">
        <v>3742080.01</v>
      </c>
      <c r="B2937" s="115" t="n">
        <v>3743360</v>
      </c>
      <c r="C2937" s="115" t="n">
        <v>84101.7200000061</v>
      </c>
    </row>
    <row r="2938" customFormat="false" ht="15" hidden="false" customHeight="true" outlineLevel="0" collapsed="false">
      <c r="A2938" s="114" t="n">
        <v>3743360.01</v>
      </c>
      <c r="B2938" s="114" t="n">
        <v>3744640</v>
      </c>
      <c r="C2938" s="114" t="n">
        <v>84130.3800000061</v>
      </c>
    </row>
    <row r="2939" customFormat="false" ht="15" hidden="false" customHeight="true" outlineLevel="0" collapsed="false">
      <c r="A2939" s="115" t="n">
        <v>3744640.01</v>
      </c>
      <c r="B2939" s="115" t="n">
        <v>3745920</v>
      </c>
      <c r="C2939" s="115" t="n">
        <v>84159.0400000061</v>
      </c>
    </row>
    <row r="2940" customFormat="false" ht="15" hidden="false" customHeight="true" outlineLevel="0" collapsed="false">
      <c r="A2940" s="114" t="n">
        <v>3745920.01</v>
      </c>
      <c r="B2940" s="114" t="n">
        <v>3747200</v>
      </c>
      <c r="C2940" s="114" t="n">
        <v>84187.7000000061</v>
      </c>
    </row>
    <row r="2941" customFormat="false" ht="15" hidden="false" customHeight="true" outlineLevel="0" collapsed="false">
      <c r="A2941" s="115" t="n">
        <v>3747200.01</v>
      </c>
      <c r="B2941" s="115" t="n">
        <v>3748480</v>
      </c>
      <c r="C2941" s="115" t="n">
        <v>84216.3600000061</v>
      </c>
    </row>
    <row r="2942" customFormat="false" ht="15" hidden="false" customHeight="true" outlineLevel="0" collapsed="false">
      <c r="A2942" s="114" t="n">
        <v>3748480.01</v>
      </c>
      <c r="B2942" s="114" t="n">
        <v>3749760</v>
      </c>
      <c r="C2942" s="114" t="n">
        <v>84245.0200000061</v>
      </c>
    </row>
    <row r="2943" customFormat="false" ht="15" hidden="false" customHeight="true" outlineLevel="0" collapsed="false">
      <c r="A2943" s="115" t="n">
        <v>3749760.01</v>
      </c>
      <c r="B2943" s="115" t="n">
        <v>3751040</v>
      </c>
      <c r="C2943" s="115" t="n">
        <v>84273.6800000061</v>
      </c>
    </row>
    <row r="2944" customFormat="false" ht="15" hidden="false" customHeight="true" outlineLevel="0" collapsed="false">
      <c r="A2944" s="114" t="n">
        <v>3751040.01</v>
      </c>
      <c r="B2944" s="114" t="n">
        <v>3752320</v>
      </c>
      <c r="C2944" s="114" t="n">
        <v>84302.3400000061</v>
      </c>
    </row>
    <row r="2945" customFormat="false" ht="15" hidden="false" customHeight="true" outlineLevel="0" collapsed="false">
      <c r="A2945" s="115" t="n">
        <v>3752320.01</v>
      </c>
      <c r="B2945" s="115" t="n">
        <v>3753600</v>
      </c>
      <c r="C2945" s="115" t="n">
        <v>84331.0000000061</v>
      </c>
    </row>
    <row r="2946" customFormat="false" ht="15" hidden="false" customHeight="true" outlineLevel="0" collapsed="false">
      <c r="A2946" s="114" t="n">
        <v>3753600.01</v>
      </c>
      <c r="B2946" s="114" t="n">
        <v>3754880</v>
      </c>
      <c r="C2946" s="114" t="n">
        <v>84359.6600000061</v>
      </c>
    </row>
    <row r="2947" customFormat="false" ht="15" hidden="false" customHeight="true" outlineLevel="0" collapsed="false">
      <c r="A2947" s="115" t="n">
        <v>3754880.01</v>
      </c>
      <c r="B2947" s="115" t="n">
        <v>3756160</v>
      </c>
      <c r="C2947" s="115" t="n">
        <v>84388.3200000061</v>
      </c>
    </row>
    <row r="2948" customFormat="false" ht="15" hidden="false" customHeight="true" outlineLevel="0" collapsed="false">
      <c r="A2948" s="114" t="n">
        <v>3756160.01</v>
      </c>
      <c r="B2948" s="114" t="n">
        <v>3757440</v>
      </c>
      <c r="C2948" s="114" t="n">
        <v>84416.9800000061</v>
      </c>
    </row>
    <row r="2949" customFormat="false" ht="15" hidden="false" customHeight="true" outlineLevel="0" collapsed="false">
      <c r="A2949" s="115" t="n">
        <v>3757440.01</v>
      </c>
      <c r="B2949" s="115" t="n">
        <v>3758720</v>
      </c>
      <c r="C2949" s="115" t="n">
        <v>84445.6400000061</v>
      </c>
    </row>
    <row r="2950" customFormat="false" ht="15" hidden="false" customHeight="true" outlineLevel="0" collapsed="false">
      <c r="A2950" s="114" t="n">
        <v>3758720.01</v>
      </c>
      <c r="B2950" s="114" t="n">
        <v>3760000</v>
      </c>
      <c r="C2950" s="114" t="n">
        <v>84474.3000000061</v>
      </c>
    </row>
    <row r="2951" customFormat="false" ht="15" hidden="false" customHeight="true" outlineLevel="0" collapsed="false">
      <c r="A2951" s="115" t="n">
        <v>3760000.01</v>
      </c>
      <c r="B2951" s="115" t="n">
        <v>3761280</v>
      </c>
      <c r="C2951" s="115" t="n">
        <v>84502.9600000062</v>
      </c>
    </row>
    <row r="2952" customFormat="false" ht="15" hidden="false" customHeight="true" outlineLevel="0" collapsed="false">
      <c r="A2952" s="114" t="n">
        <v>3761280.01</v>
      </c>
      <c r="B2952" s="114" t="n">
        <v>3762560</v>
      </c>
      <c r="C2952" s="114" t="n">
        <v>84531.6200000062</v>
      </c>
    </row>
    <row r="2953" customFormat="false" ht="15" hidden="false" customHeight="true" outlineLevel="0" collapsed="false">
      <c r="A2953" s="115" t="n">
        <v>3762560.01</v>
      </c>
      <c r="B2953" s="115" t="n">
        <v>3763840</v>
      </c>
      <c r="C2953" s="115" t="n">
        <v>84560.2800000062</v>
      </c>
    </row>
    <row r="2954" customFormat="false" ht="15" hidden="false" customHeight="true" outlineLevel="0" collapsed="false">
      <c r="A2954" s="114" t="n">
        <v>3763840.01</v>
      </c>
      <c r="B2954" s="114" t="n">
        <v>3765120</v>
      </c>
      <c r="C2954" s="114" t="n">
        <v>84588.9400000062</v>
      </c>
    </row>
    <row r="2955" customFormat="false" ht="15" hidden="false" customHeight="true" outlineLevel="0" collapsed="false">
      <c r="A2955" s="115" t="n">
        <v>3765120.01</v>
      </c>
      <c r="B2955" s="115" t="n">
        <v>3766400</v>
      </c>
      <c r="C2955" s="115" t="n">
        <v>84617.6000000062</v>
      </c>
    </row>
    <row r="2956" customFormat="false" ht="15" hidden="false" customHeight="true" outlineLevel="0" collapsed="false">
      <c r="A2956" s="114" t="n">
        <v>3766400.01</v>
      </c>
      <c r="B2956" s="114" t="n">
        <v>3767680</v>
      </c>
      <c r="C2956" s="114" t="n">
        <v>84646.2600000062</v>
      </c>
    </row>
    <row r="2957" customFormat="false" ht="15" hidden="false" customHeight="true" outlineLevel="0" collapsed="false">
      <c r="A2957" s="115" t="n">
        <v>3767680.01</v>
      </c>
      <c r="B2957" s="115" t="n">
        <v>3768960</v>
      </c>
      <c r="C2957" s="115" t="n">
        <v>84674.9200000062</v>
      </c>
    </row>
    <row r="2958" customFormat="false" ht="15" hidden="false" customHeight="true" outlineLevel="0" collapsed="false">
      <c r="A2958" s="114" t="n">
        <v>3768960.01</v>
      </c>
      <c r="B2958" s="114" t="n">
        <v>3770240</v>
      </c>
      <c r="C2958" s="114" t="n">
        <v>84703.5800000062</v>
      </c>
    </row>
    <row r="2959" customFormat="false" ht="15" hidden="false" customHeight="true" outlineLevel="0" collapsed="false">
      <c r="A2959" s="115" t="n">
        <v>3770240.01</v>
      </c>
      <c r="B2959" s="115" t="n">
        <v>3771520</v>
      </c>
      <c r="C2959" s="115" t="n">
        <v>84732.2400000062</v>
      </c>
    </row>
    <row r="2960" customFormat="false" ht="15" hidden="false" customHeight="true" outlineLevel="0" collapsed="false">
      <c r="A2960" s="114" t="n">
        <v>3771520.01</v>
      </c>
      <c r="B2960" s="114" t="n">
        <v>3772800</v>
      </c>
      <c r="C2960" s="114" t="n">
        <v>84760.9000000062</v>
      </c>
    </row>
    <row r="2961" customFormat="false" ht="15" hidden="false" customHeight="true" outlineLevel="0" collapsed="false">
      <c r="A2961" s="115" t="n">
        <v>3772800.01</v>
      </c>
      <c r="B2961" s="115" t="n">
        <v>3774080</v>
      </c>
      <c r="C2961" s="115" t="n">
        <v>84789.5600000062</v>
      </c>
    </row>
    <row r="2962" customFormat="false" ht="15" hidden="false" customHeight="true" outlineLevel="0" collapsed="false">
      <c r="A2962" s="114" t="n">
        <v>3774080.01</v>
      </c>
      <c r="B2962" s="114" t="n">
        <v>3775360</v>
      </c>
      <c r="C2962" s="114" t="n">
        <v>84818.2200000062</v>
      </c>
    </row>
    <row r="2963" customFormat="false" ht="15" hidden="false" customHeight="true" outlineLevel="0" collapsed="false">
      <c r="A2963" s="115" t="n">
        <v>3775360.01</v>
      </c>
      <c r="B2963" s="115" t="n">
        <v>3776640</v>
      </c>
      <c r="C2963" s="115" t="n">
        <v>84846.8800000062</v>
      </c>
    </row>
    <row r="2964" customFormat="false" ht="15" hidden="false" customHeight="true" outlineLevel="0" collapsed="false">
      <c r="A2964" s="114" t="n">
        <v>3776640.01</v>
      </c>
      <c r="B2964" s="114" t="n">
        <v>3777920</v>
      </c>
      <c r="C2964" s="114" t="n">
        <v>84875.5400000062</v>
      </c>
    </row>
    <row r="2965" customFormat="false" ht="15" hidden="false" customHeight="true" outlineLevel="0" collapsed="false">
      <c r="A2965" s="115" t="n">
        <v>3777920.01</v>
      </c>
      <c r="B2965" s="115" t="n">
        <v>3779200</v>
      </c>
      <c r="C2965" s="115" t="n">
        <v>84904.2000000062</v>
      </c>
    </row>
    <row r="2966" customFormat="false" ht="15" hidden="false" customHeight="true" outlineLevel="0" collapsed="false">
      <c r="A2966" s="114" t="n">
        <v>3779200.01</v>
      </c>
      <c r="B2966" s="114" t="n">
        <v>3780480</v>
      </c>
      <c r="C2966" s="114" t="n">
        <v>84932.8600000062</v>
      </c>
    </row>
    <row r="2967" customFormat="false" ht="15" hidden="false" customHeight="true" outlineLevel="0" collapsed="false">
      <c r="A2967" s="115" t="n">
        <v>3780480.01</v>
      </c>
      <c r="B2967" s="115" t="n">
        <v>3781760</v>
      </c>
      <c r="C2967" s="115" t="n">
        <v>84961.5200000062</v>
      </c>
    </row>
    <row r="2968" customFormat="false" ht="15" hidden="false" customHeight="true" outlineLevel="0" collapsed="false">
      <c r="A2968" s="114" t="n">
        <v>3781760.01</v>
      </c>
      <c r="B2968" s="114" t="n">
        <v>3783040</v>
      </c>
      <c r="C2968" s="114" t="n">
        <v>84990.1800000062</v>
      </c>
    </row>
    <row r="2969" customFormat="false" ht="15" hidden="false" customHeight="true" outlineLevel="0" collapsed="false">
      <c r="A2969" s="115" t="n">
        <v>3783040.01</v>
      </c>
      <c r="B2969" s="115" t="n">
        <v>3784320</v>
      </c>
      <c r="C2969" s="115" t="n">
        <v>85018.8400000062</v>
      </c>
    </row>
    <row r="2970" customFormat="false" ht="15" hidden="false" customHeight="true" outlineLevel="0" collapsed="false">
      <c r="A2970" s="114" t="n">
        <v>3784320.01</v>
      </c>
      <c r="B2970" s="114" t="n">
        <v>3785600</v>
      </c>
      <c r="C2970" s="114" t="n">
        <v>85047.5000000062</v>
      </c>
    </row>
    <row r="2971" customFormat="false" ht="15" hidden="false" customHeight="true" outlineLevel="0" collapsed="false">
      <c r="A2971" s="115" t="n">
        <v>3785600.01</v>
      </c>
      <c r="B2971" s="115" t="n">
        <v>3786880</v>
      </c>
      <c r="C2971" s="115" t="n">
        <v>85076.1600000062</v>
      </c>
    </row>
    <row r="2972" customFormat="false" ht="15" hidden="false" customHeight="true" outlineLevel="0" collapsed="false">
      <c r="A2972" s="114" t="n">
        <v>3786880.01</v>
      </c>
      <c r="B2972" s="114" t="n">
        <v>3788160</v>
      </c>
      <c r="C2972" s="114" t="n">
        <v>85104.8200000062</v>
      </c>
    </row>
    <row r="2973" customFormat="false" ht="15" hidden="false" customHeight="true" outlineLevel="0" collapsed="false">
      <c r="A2973" s="115" t="n">
        <v>3788160.01</v>
      </c>
      <c r="B2973" s="115" t="n">
        <v>3789440</v>
      </c>
      <c r="C2973" s="115" t="n">
        <v>85133.4800000062</v>
      </c>
    </row>
    <row r="2974" customFormat="false" ht="15" hidden="false" customHeight="true" outlineLevel="0" collapsed="false">
      <c r="A2974" s="114" t="n">
        <v>3789440.01</v>
      </c>
      <c r="B2974" s="114" t="n">
        <v>3790720</v>
      </c>
      <c r="C2974" s="114" t="n">
        <v>85162.1400000062</v>
      </c>
    </row>
    <row r="2975" customFormat="false" ht="15" hidden="false" customHeight="true" outlineLevel="0" collapsed="false">
      <c r="A2975" s="115" t="n">
        <v>3790720.01</v>
      </c>
      <c r="B2975" s="115" t="n">
        <v>3792000</v>
      </c>
      <c r="C2975" s="115" t="n">
        <v>85190.8000000062</v>
      </c>
    </row>
    <row r="2976" customFormat="false" ht="15" hidden="false" customHeight="true" outlineLevel="0" collapsed="false">
      <c r="A2976" s="114" t="n">
        <v>3792000.01</v>
      </c>
      <c r="B2976" s="114" t="n">
        <v>3793280</v>
      </c>
      <c r="C2976" s="114" t="n">
        <v>85219.4600000062</v>
      </c>
    </row>
    <row r="2977" customFormat="false" ht="15" hidden="false" customHeight="true" outlineLevel="0" collapsed="false">
      <c r="A2977" s="115" t="n">
        <v>3793280.01</v>
      </c>
      <c r="B2977" s="115" t="n">
        <v>3794560</v>
      </c>
      <c r="C2977" s="115" t="n">
        <v>85248.1200000062</v>
      </c>
    </row>
    <row r="2978" customFormat="false" ht="15" hidden="false" customHeight="true" outlineLevel="0" collapsed="false">
      <c r="A2978" s="114" t="n">
        <v>3794560.01</v>
      </c>
      <c r="B2978" s="114" t="n">
        <v>3795840</v>
      </c>
      <c r="C2978" s="114" t="n">
        <v>85276.7800000062</v>
      </c>
    </row>
    <row r="2979" customFormat="false" ht="15" hidden="false" customHeight="true" outlineLevel="0" collapsed="false">
      <c r="A2979" s="115" t="n">
        <v>3795840.01</v>
      </c>
      <c r="B2979" s="115" t="n">
        <v>3797120</v>
      </c>
      <c r="C2979" s="115" t="n">
        <v>85305.4400000063</v>
      </c>
    </row>
    <row r="2980" customFormat="false" ht="15" hidden="false" customHeight="true" outlineLevel="0" collapsed="false">
      <c r="A2980" s="114" t="n">
        <v>3797120.01</v>
      </c>
      <c r="B2980" s="114" t="n">
        <v>3798400</v>
      </c>
      <c r="C2980" s="114" t="n">
        <v>85334.1000000063</v>
      </c>
    </row>
    <row r="2981" customFormat="false" ht="15" hidden="false" customHeight="true" outlineLevel="0" collapsed="false">
      <c r="A2981" s="115" t="n">
        <v>3798400.01</v>
      </c>
      <c r="B2981" s="115" t="n">
        <v>3799680</v>
      </c>
      <c r="C2981" s="115" t="n">
        <v>85362.7600000063</v>
      </c>
    </row>
    <row r="2982" customFormat="false" ht="15" hidden="false" customHeight="true" outlineLevel="0" collapsed="false">
      <c r="A2982" s="114" t="n">
        <v>3799680.01</v>
      </c>
      <c r="B2982" s="114" t="n">
        <v>3800960</v>
      </c>
      <c r="C2982" s="114" t="n">
        <v>85391.4200000063</v>
      </c>
    </row>
    <row r="2983" customFormat="false" ht="15" hidden="false" customHeight="true" outlineLevel="0" collapsed="false">
      <c r="A2983" s="115" t="n">
        <v>3800960.01</v>
      </c>
      <c r="B2983" s="115" t="n">
        <v>3802240</v>
      </c>
      <c r="C2983" s="115" t="n">
        <v>85420.0800000063</v>
      </c>
    </row>
    <row r="2984" customFormat="false" ht="15" hidden="false" customHeight="true" outlineLevel="0" collapsed="false">
      <c r="A2984" s="114" t="n">
        <v>3802240.01</v>
      </c>
      <c r="B2984" s="114" t="n">
        <v>3803520</v>
      </c>
      <c r="C2984" s="114" t="n">
        <v>85448.7400000063</v>
      </c>
    </row>
    <row r="2985" customFormat="false" ht="15" hidden="false" customHeight="true" outlineLevel="0" collapsed="false">
      <c r="A2985" s="115" t="n">
        <v>3803520.01</v>
      </c>
      <c r="B2985" s="115" t="n">
        <v>3804800</v>
      </c>
      <c r="C2985" s="115" t="n">
        <v>85477.4000000063</v>
      </c>
    </row>
    <row r="2986" customFormat="false" ht="15" hidden="false" customHeight="true" outlineLevel="0" collapsed="false">
      <c r="A2986" s="114" t="n">
        <v>3804800.01</v>
      </c>
      <c r="B2986" s="114" t="n">
        <v>3806080</v>
      </c>
      <c r="C2986" s="114" t="n">
        <v>85506.0600000063</v>
      </c>
    </row>
    <row r="2987" customFormat="false" ht="15" hidden="false" customHeight="true" outlineLevel="0" collapsed="false">
      <c r="A2987" s="115" t="n">
        <v>3806080.01</v>
      </c>
      <c r="B2987" s="115" t="n">
        <v>3807360</v>
      </c>
      <c r="C2987" s="115" t="n">
        <v>85534.7200000063</v>
      </c>
    </row>
    <row r="2988" customFormat="false" ht="15" hidden="false" customHeight="true" outlineLevel="0" collapsed="false">
      <c r="A2988" s="114" t="n">
        <v>3807360.01</v>
      </c>
      <c r="B2988" s="114" t="n">
        <v>3808640</v>
      </c>
      <c r="C2988" s="114" t="n">
        <v>85563.3800000063</v>
      </c>
    </row>
    <row r="2989" customFormat="false" ht="15" hidden="false" customHeight="true" outlineLevel="0" collapsed="false">
      <c r="A2989" s="115" t="n">
        <v>3808640.01</v>
      </c>
      <c r="B2989" s="115" t="n">
        <v>3809920</v>
      </c>
      <c r="C2989" s="115" t="n">
        <v>85592.0400000063</v>
      </c>
    </row>
    <row r="2990" customFormat="false" ht="15" hidden="false" customHeight="true" outlineLevel="0" collapsed="false">
      <c r="A2990" s="114" t="n">
        <v>3809920.01</v>
      </c>
      <c r="B2990" s="114" t="n">
        <v>3811200</v>
      </c>
      <c r="C2990" s="114" t="n">
        <v>85620.7000000063</v>
      </c>
    </row>
    <row r="2991" customFormat="false" ht="15" hidden="false" customHeight="true" outlineLevel="0" collapsed="false">
      <c r="A2991" s="115" t="n">
        <v>3811200.01</v>
      </c>
      <c r="B2991" s="115" t="n">
        <v>3812480</v>
      </c>
      <c r="C2991" s="115" t="n">
        <v>85649.3600000063</v>
      </c>
    </row>
    <row r="2992" customFormat="false" ht="15" hidden="false" customHeight="true" outlineLevel="0" collapsed="false">
      <c r="A2992" s="114" t="n">
        <v>3812480.01</v>
      </c>
      <c r="B2992" s="114" t="n">
        <v>3813760</v>
      </c>
      <c r="C2992" s="114" t="n">
        <v>85678.0200000063</v>
      </c>
    </row>
    <row r="2993" customFormat="false" ht="15" hidden="false" customHeight="true" outlineLevel="0" collapsed="false">
      <c r="A2993" s="115" t="n">
        <v>3813760.01</v>
      </c>
      <c r="B2993" s="115" t="n">
        <v>3815040</v>
      </c>
      <c r="C2993" s="115" t="n">
        <v>85706.6800000063</v>
      </c>
    </row>
    <row r="2994" customFormat="false" ht="15" hidden="false" customHeight="true" outlineLevel="0" collapsed="false">
      <c r="A2994" s="114" t="n">
        <v>3815040.01</v>
      </c>
      <c r="B2994" s="114" t="n">
        <v>3816320</v>
      </c>
      <c r="C2994" s="114" t="n">
        <v>85735.3400000063</v>
      </c>
    </row>
    <row r="2995" customFormat="false" ht="15" hidden="false" customHeight="true" outlineLevel="0" collapsed="false">
      <c r="A2995" s="115" t="n">
        <v>3816320.01</v>
      </c>
      <c r="B2995" s="115" t="n">
        <v>3817600</v>
      </c>
      <c r="C2995" s="115" t="n">
        <v>85764.0000000063</v>
      </c>
    </row>
    <row r="2996" customFormat="false" ht="15" hidden="false" customHeight="true" outlineLevel="0" collapsed="false">
      <c r="A2996" s="114" t="n">
        <v>3817600.01</v>
      </c>
      <c r="B2996" s="114" t="n">
        <v>3818880</v>
      </c>
      <c r="C2996" s="114" t="n">
        <v>85792.6600000063</v>
      </c>
    </row>
    <row r="2997" customFormat="false" ht="15" hidden="false" customHeight="true" outlineLevel="0" collapsed="false">
      <c r="A2997" s="115" t="n">
        <v>3818880.01</v>
      </c>
      <c r="B2997" s="115" t="n">
        <v>3820160</v>
      </c>
      <c r="C2997" s="115" t="n">
        <v>85821.3200000063</v>
      </c>
    </row>
    <row r="2998" customFormat="false" ht="15" hidden="false" customHeight="true" outlineLevel="0" collapsed="false">
      <c r="A2998" s="114" t="n">
        <v>3820160.01</v>
      </c>
      <c r="B2998" s="114" t="n">
        <v>3821440</v>
      </c>
      <c r="C2998" s="114" t="n">
        <v>85849.9800000063</v>
      </c>
    </row>
    <row r="2999" customFormat="false" ht="15" hidden="false" customHeight="true" outlineLevel="0" collapsed="false">
      <c r="A2999" s="115" t="n">
        <v>3821440.01</v>
      </c>
      <c r="B2999" s="115" t="n">
        <v>3822720</v>
      </c>
      <c r="C2999" s="115" t="n">
        <v>85878.6400000063</v>
      </c>
    </row>
    <row r="3000" customFormat="false" ht="15" hidden="false" customHeight="true" outlineLevel="0" collapsed="false">
      <c r="A3000" s="114" t="n">
        <v>3822720.01</v>
      </c>
      <c r="B3000" s="114" t="n">
        <v>3824000</v>
      </c>
      <c r="C3000" s="114" t="n">
        <v>85907.3000000063</v>
      </c>
    </row>
    <row r="3001" customFormat="false" ht="15" hidden="false" customHeight="true" outlineLevel="0" collapsed="false">
      <c r="A3001" s="115" t="n">
        <v>3824000.01</v>
      </c>
      <c r="B3001" s="115" t="n">
        <v>3825280</v>
      </c>
      <c r="C3001" s="115" t="n">
        <v>85935.9600000063</v>
      </c>
    </row>
    <row r="3002" customFormat="false" ht="15" hidden="false" customHeight="true" outlineLevel="0" collapsed="false">
      <c r="A3002" s="114" t="n">
        <v>3825280.01</v>
      </c>
      <c r="B3002" s="114" t="n">
        <v>3826560</v>
      </c>
      <c r="C3002" s="114" t="n">
        <v>85964.6200000063</v>
      </c>
    </row>
    <row r="3003" customFormat="false" ht="15" hidden="false" customHeight="true" outlineLevel="0" collapsed="false">
      <c r="A3003" s="115" t="n">
        <v>3826560.01</v>
      </c>
      <c r="B3003" s="115" t="n">
        <v>3827840</v>
      </c>
      <c r="C3003" s="115" t="n">
        <v>85993.2800000063</v>
      </c>
    </row>
    <row r="3004" customFormat="false" ht="15" hidden="false" customHeight="true" outlineLevel="0" collapsed="false">
      <c r="A3004" s="114" t="n">
        <v>3827840.01</v>
      </c>
      <c r="B3004" s="114" t="n">
        <v>3829120</v>
      </c>
      <c r="C3004" s="114" t="n">
        <v>86021.9400000063</v>
      </c>
    </row>
    <row r="3005" customFormat="false" ht="15" hidden="false" customHeight="true" outlineLevel="0" collapsed="false">
      <c r="A3005" s="115" t="n">
        <v>3829120.01</v>
      </c>
      <c r="B3005" s="115" t="n">
        <v>3830400</v>
      </c>
      <c r="C3005" s="115" t="n">
        <v>86050.6000000063</v>
      </c>
    </row>
    <row r="3006" customFormat="false" ht="15" hidden="false" customHeight="true" outlineLevel="0" collapsed="false">
      <c r="A3006" s="114" t="n">
        <v>3830400.01</v>
      </c>
      <c r="B3006" s="114" t="n">
        <v>3831680</v>
      </c>
      <c r="C3006" s="114" t="n">
        <v>86079.2600000063</v>
      </c>
    </row>
    <row r="3007" customFormat="false" ht="15" hidden="false" customHeight="true" outlineLevel="0" collapsed="false">
      <c r="A3007" s="115" t="n">
        <v>3831680.01</v>
      </c>
      <c r="B3007" s="115" t="n">
        <v>3832960</v>
      </c>
      <c r="C3007" s="115" t="n">
        <v>86107.9200000063</v>
      </c>
    </row>
    <row r="3008" customFormat="false" ht="15" hidden="false" customHeight="true" outlineLevel="0" collapsed="false">
      <c r="A3008" s="114" t="n">
        <v>3832960.01</v>
      </c>
      <c r="B3008" s="114" t="n">
        <v>3834240</v>
      </c>
      <c r="C3008" s="114" t="n">
        <v>86136.5800000064</v>
      </c>
    </row>
    <row r="3009" customFormat="false" ht="15" hidden="false" customHeight="true" outlineLevel="0" collapsed="false">
      <c r="A3009" s="115" t="n">
        <v>3834240.01</v>
      </c>
      <c r="B3009" s="115" t="n">
        <v>3835520</v>
      </c>
      <c r="C3009" s="115" t="n">
        <v>86165.2400000064</v>
      </c>
    </row>
    <row r="3010" customFormat="false" ht="15" hidden="false" customHeight="true" outlineLevel="0" collapsed="false">
      <c r="A3010" s="114" t="n">
        <v>3835520.01</v>
      </c>
      <c r="B3010" s="114" t="n">
        <v>3836800</v>
      </c>
      <c r="C3010" s="114" t="n">
        <v>86193.9000000064</v>
      </c>
    </row>
    <row r="3011" customFormat="false" ht="15" hidden="false" customHeight="true" outlineLevel="0" collapsed="false">
      <c r="A3011" s="115" t="n">
        <v>3836800.01</v>
      </c>
      <c r="B3011" s="115" t="n">
        <v>3838080</v>
      </c>
      <c r="C3011" s="115" t="n">
        <v>86222.5600000064</v>
      </c>
    </row>
    <row r="3012" customFormat="false" ht="15" hidden="false" customHeight="true" outlineLevel="0" collapsed="false">
      <c r="A3012" s="114" t="n">
        <v>3838080.01</v>
      </c>
      <c r="B3012" s="114" t="n">
        <v>3839360</v>
      </c>
      <c r="C3012" s="114" t="n">
        <v>86251.2200000064</v>
      </c>
    </row>
    <row r="3013" customFormat="false" ht="15" hidden="false" customHeight="true" outlineLevel="0" collapsed="false">
      <c r="A3013" s="115" t="n">
        <v>3839360.01</v>
      </c>
      <c r="B3013" s="115" t="n">
        <v>3840640</v>
      </c>
      <c r="C3013" s="115" t="n">
        <v>86279.8800000064</v>
      </c>
    </row>
    <row r="3014" customFormat="false" ht="15" hidden="false" customHeight="true" outlineLevel="0" collapsed="false">
      <c r="A3014" s="114" t="n">
        <v>3840640.01</v>
      </c>
      <c r="B3014" s="114" t="n">
        <v>3841920</v>
      </c>
      <c r="C3014" s="114" t="n">
        <v>86308.5400000064</v>
      </c>
    </row>
    <row r="3015" customFormat="false" ht="15" hidden="false" customHeight="true" outlineLevel="0" collapsed="false">
      <c r="A3015" s="115" t="n">
        <v>3841920.01</v>
      </c>
      <c r="B3015" s="115" t="n">
        <v>3843200</v>
      </c>
      <c r="C3015" s="115" t="n">
        <v>86337.2000000064</v>
      </c>
    </row>
    <row r="3016" customFormat="false" ht="15" hidden="false" customHeight="true" outlineLevel="0" collapsed="false">
      <c r="A3016" s="114" t="n">
        <v>3843200.01</v>
      </c>
      <c r="B3016" s="114" t="n">
        <v>3844480</v>
      </c>
      <c r="C3016" s="114" t="n">
        <v>86365.8600000064</v>
      </c>
    </row>
    <row r="3017" customFormat="false" ht="15" hidden="false" customHeight="true" outlineLevel="0" collapsed="false">
      <c r="A3017" s="115" t="n">
        <v>3844480.01</v>
      </c>
      <c r="B3017" s="115" t="n">
        <v>3845760</v>
      </c>
      <c r="C3017" s="115" t="n">
        <v>86394.5200000064</v>
      </c>
    </row>
    <row r="3018" customFormat="false" ht="15" hidden="false" customHeight="true" outlineLevel="0" collapsed="false">
      <c r="A3018" s="114" t="n">
        <v>3845760.01</v>
      </c>
      <c r="B3018" s="114" t="n">
        <v>3847040</v>
      </c>
      <c r="C3018" s="114" t="n">
        <v>86423.1800000064</v>
      </c>
    </row>
    <row r="3019" customFormat="false" ht="15" hidden="false" customHeight="true" outlineLevel="0" collapsed="false">
      <c r="A3019" s="115" t="n">
        <v>3847040.01</v>
      </c>
      <c r="B3019" s="115" t="n">
        <v>3848320</v>
      </c>
      <c r="C3019" s="115" t="n">
        <v>86451.8400000064</v>
      </c>
    </row>
    <row r="3020" customFormat="false" ht="15" hidden="false" customHeight="true" outlineLevel="0" collapsed="false">
      <c r="A3020" s="114" t="n">
        <v>3848320.01</v>
      </c>
      <c r="B3020" s="114" t="n">
        <v>3849600</v>
      </c>
      <c r="C3020" s="114" t="n">
        <v>86480.5000000064</v>
      </c>
    </row>
    <row r="3021" customFormat="false" ht="15" hidden="false" customHeight="true" outlineLevel="0" collapsed="false">
      <c r="A3021" s="115" t="n">
        <v>3849600.01</v>
      </c>
      <c r="B3021" s="115" t="n">
        <v>3850880</v>
      </c>
      <c r="C3021" s="115" t="n">
        <v>86509.1600000064</v>
      </c>
    </row>
    <row r="3022" customFormat="false" ht="15" hidden="false" customHeight="true" outlineLevel="0" collapsed="false">
      <c r="A3022" s="114" t="n">
        <v>3850880.01</v>
      </c>
      <c r="B3022" s="114" t="n">
        <v>3852160</v>
      </c>
      <c r="C3022" s="114" t="n">
        <v>86537.8200000064</v>
      </c>
    </row>
    <row r="3023" customFormat="false" ht="15" hidden="false" customHeight="true" outlineLevel="0" collapsed="false">
      <c r="A3023" s="115" t="n">
        <v>3852160.01</v>
      </c>
      <c r="B3023" s="115" t="n">
        <v>3853440</v>
      </c>
      <c r="C3023" s="115" t="n">
        <v>86566.4800000064</v>
      </c>
    </row>
    <row r="3024" customFormat="false" ht="15" hidden="false" customHeight="true" outlineLevel="0" collapsed="false">
      <c r="A3024" s="114" t="n">
        <v>3853440.01</v>
      </c>
      <c r="B3024" s="114" t="n">
        <v>3854720</v>
      </c>
      <c r="C3024" s="114" t="n">
        <v>86595.1400000064</v>
      </c>
    </row>
    <row r="3025" customFormat="false" ht="15" hidden="false" customHeight="true" outlineLevel="0" collapsed="false">
      <c r="A3025" s="115" t="n">
        <v>3854720.01</v>
      </c>
      <c r="B3025" s="115" t="n">
        <v>3856000</v>
      </c>
      <c r="C3025" s="115" t="n">
        <v>86623.8000000064</v>
      </c>
    </row>
    <row r="3026" customFormat="false" ht="15" hidden="false" customHeight="true" outlineLevel="0" collapsed="false">
      <c r="A3026" s="114" t="n">
        <v>3856000.01</v>
      </c>
      <c r="B3026" s="114" t="n">
        <v>3857280</v>
      </c>
      <c r="C3026" s="114" t="n">
        <v>86652.4600000064</v>
      </c>
    </row>
    <row r="3027" customFormat="false" ht="15" hidden="false" customHeight="true" outlineLevel="0" collapsed="false">
      <c r="A3027" s="115" t="n">
        <v>3857280.01</v>
      </c>
      <c r="B3027" s="115" t="n">
        <v>3858560</v>
      </c>
      <c r="C3027" s="115" t="n">
        <v>86681.1200000064</v>
      </c>
    </row>
    <row r="3028" customFormat="false" ht="15" hidden="false" customHeight="true" outlineLevel="0" collapsed="false">
      <c r="A3028" s="114" t="n">
        <v>3858560.01</v>
      </c>
      <c r="B3028" s="114" t="n">
        <v>3859840</v>
      </c>
      <c r="C3028" s="114" t="n">
        <v>86709.7800000064</v>
      </c>
    </row>
    <row r="3029" customFormat="false" ht="15" hidden="false" customHeight="true" outlineLevel="0" collapsed="false">
      <c r="A3029" s="115" t="n">
        <v>3859840.01</v>
      </c>
      <c r="B3029" s="115" t="n">
        <v>3861120</v>
      </c>
      <c r="C3029" s="115" t="n">
        <v>86738.4400000064</v>
      </c>
    </row>
    <row r="3030" customFormat="false" ht="15" hidden="false" customHeight="true" outlineLevel="0" collapsed="false">
      <c r="A3030" s="114" t="n">
        <v>3861120.01</v>
      </c>
      <c r="B3030" s="114" t="n">
        <v>3862400</v>
      </c>
      <c r="C3030" s="114" t="n">
        <v>86767.1000000064</v>
      </c>
    </row>
    <row r="3031" customFormat="false" ht="15" hidden="false" customHeight="true" outlineLevel="0" collapsed="false">
      <c r="A3031" s="115" t="n">
        <v>3862400.01</v>
      </c>
      <c r="B3031" s="115" t="n">
        <v>3863680</v>
      </c>
      <c r="C3031" s="115" t="n">
        <v>86795.7600000064</v>
      </c>
    </row>
    <row r="3032" customFormat="false" ht="15" hidden="false" customHeight="true" outlineLevel="0" collapsed="false">
      <c r="A3032" s="114" t="n">
        <v>3863680.01</v>
      </c>
      <c r="B3032" s="114" t="n">
        <v>3864960</v>
      </c>
      <c r="C3032" s="114" t="n">
        <v>86824.4200000064</v>
      </c>
    </row>
    <row r="3033" customFormat="false" ht="15" hidden="false" customHeight="true" outlineLevel="0" collapsed="false">
      <c r="A3033" s="115" t="n">
        <v>3864960.01</v>
      </c>
      <c r="B3033" s="115" t="n">
        <v>3866240</v>
      </c>
      <c r="C3033" s="115" t="n">
        <v>86853.0800000064</v>
      </c>
    </row>
    <row r="3034" customFormat="false" ht="15" hidden="false" customHeight="true" outlineLevel="0" collapsed="false">
      <c r="A3034" s="114" t="n">
        <v>3866240.01</v>
      </c>
      <c r="B3034" s="114" t="n">
        <v>3867520</v>
      </c>
      <c r="C3034" s="114" t="n">
        <v>86881.7400000064</v>
      </c>
    </row>
    <row r="3035" customFormat="false" ht="15" hidden="false" customHeight="true" outlineLevel="0" collapsed="false">
      <c r="A3035" s="115" t="n">
        <v>3867520.01</v>
      </c>
      <c r="B3035" s="115" t="n">
        <v>3868800</v>
      </c>
      <c r="C3035" s="115" t="n">
        <v>86910.4000000064</v>
      </c>
    </row>
    <row r="3036" customFormat="false" ht="15" hidden="false" customHeight="true" outlineLevel="0" collapsed="false">
      <c r="A3036" s="114" t="n">
        <v>3868800.01</v>
      </c>
      <c r="B3036" s="114" t="n">
        <v>3870080</v>
      </c>
      <c r="C3036" s="114" t="n">
        <v>86939.0600000064</v>
      </c>
    </row>
    <row r="3037" customFormat="false" ht="15" hidden="false" customHeight="true" outlineLevel="0" collapsed="false">
      <c r="A3037" s="115" t="n">
        <v>3870080.01</v>
      </c>
      <c r="B3037" s="115" t="n">
        <v>3871360</v>
      </c>
      <c r="C3037" s="115" t="n">
        <v>86967.7200000065</v>
      </c>
    </row>
    <row r="3038" customFormat="false" ht="15" hidden="false" customHeight="true" outlineLevel="0" collapsed="false">
      <c r="A3038" s="114" t="n">
        <v>3871360.01</v>
      </c>
      <c r="B3038" s="114" t="n">
        <v>3872640</v>
      </c>
      <c r="C3038" s="114" t="n">
        <v>86996.3800000065</v>
      </c>
    </row>
    <row r="3039" customFormat="false" ht="15" hidden="false" customHeight="true" outlineLevel="0" collapsed="false">
      <c r="A3039" s="115" t="n">
        <v>3872640.01</v>
      </c>
      <c r="B3039" s="115" t="n">
        <v>3873920</v>
      </c>
      <c r="C3039" s="115" t="n">
        <v>87025.0400000065</v>
      </c>
    </row>
    <row r="3040" customFormat="false" ht="15" hidden="false" customHeight="true" outlineLevel="0" collapsed="false">
      <c r="A3040" s="114" t="n">
        <v>3873920.01</v>
      </c>
      <c r="B3040" s="114" t="n">
        <v>3875200</v>
      </c>
      <c r="C3040" s="114" t="n">
        <v>87053.7000000065</v>
      </c>
    </row>
    <row r="3041" customFormat="false" ht="15" hidden="false" customHeight="true" outlineLevel="0" collapsed="false">
      <c r="A3041" s="115" t="n">
        <v>3875200.01</v>
      </c>
      <c r="B3041" s="115" t="n">
        <v>3876480</v>
      </c>
      <c r="C3041" s="115" t="n">
        <v>87082.3600000065</v>
      </c>
    </row>
    <row r="3042" customFormat="false" ht="15" hidden="false" customHeight="true" outlineLevel="0" collapsed="false">
      <c r="A3042" s="114" t="n">
        <v>3876480.01</v>
      </c>
      <c r="B3042" s="114" t="n">
        <v>3877760</v>
      </c>
      <c r="C3042" s="114" t="n">
        <v>87111.0200000065</v>
      </c>
    </row>
    <row r="3043" customFormat="false" ht="15" hidden="false" customHeight="true" outlineLevel="0" collapsed="false">
      <c r="A3043" s="115" t="n">
        <v>3877760.01</v>
      </c>
      <c r="B3043" s="115" t="n">
        <v>3879040</v>
      </c>
      <c r="C3043" s="115" t="n">
        <v>87139.6800000065</v>
      </c>
    </row>
    <row r="3044" customFormat="false" ht="15" hidden="false" customHeight="true" outlineLevel="0" collapsed="false">
      <c r="A3044" s="114" t="n">
        <v>3879040.01</v>
      </c>
      <c r="B3044" s="114" t="n">
        <v>3880320</v>
      </c>
      <c r="C3044" s="114" t="n">
        <v>87168.3400000065</v>
      </c>
    </row>
    <row r="3045" customFormat="false" ht="15" hidden="false" customHeight="true" outlineLevel="0" collapsed="false">
      <c r="A3045" s="115" t="n">
        <v>3880320.01</v>
      </c>
      <c r="B3045" s="115" t="n">
        <v>3881600</v>
      </c>
      <c r="C3045" s="115" t="n">
        <v>87197.0000000065</v>
      </c>
    </row>
    <row r="3046" customFormat="false" ht="15" hidden="false" customHeight="true" outlineLevel="0" collapsed="false">
      <c r="A3046" s="114" t="n">
        <v>3881600.01</v>
      </c>
      <c r="B3046" s="114" t="n">
        <v>3882880</v>
      </c>
      <c r="C3046" s="114" t="n">
        <v>87225.6600000065</v>
      </c>
    </row>
    <row r="3047" customFormat="false" ht="15" hidden="false" customHeight="true" outlineLevel="0" collapsed="false">
      <c r="A3047" s="115" t="n">
        <v>3882880.01</v>
      </c>
      <c r="B3047" s="115" t="n">
        <v>3884160</v>
      </c>
      <c r="C3047" s="115" t="n">
        <v>87254.3200000065</v>
      </c>
    </row>
    <row r="3048" customFormat="false" ht="15" hidden="false" customHeight="true" outlineLevel="0" collapsed="false">
      <c r="A3048" s="114" t="n">
        <v>3884160.01</v>
      </c>
      <c r="B3048" s="114" t="n">
        <v>3885440</v>
      </c>
      <c r="C3048" s="114" t="n">
        <v>87282.9800000065</v>
      </c>
    </row>
    <row r="3049" customFormat="false" ht="15" hidden="false" customHeight="true" outlineLevel="0" collapsed="false">
      <c r="A3049" s="115" t="n">
        <v>3885440.01</v>
      </c>
      <c r="B3049" s="115" t="n">
        <v>3886720</v>
      </c>
      <c r="C3049" s="115" t="n">
        <v>87311.6400000065</v>
      </c>
    </row>
    <row r="3050" customFormat="false" ht="15" hidden="false" customHeight="true" outlineLevel="0" collapsed="false">
      <c r="A3050" s="114" t="n">
        <v>3886720.01</v>
      </c>
      <c r="B3050" s="114" t="n">
        <v>3888000</v>
      </c>
      <c r="C3050" s="114" t="n">
        <v>87340.3000000065</v>
      </c>
    </row>
    <row r="3051" customFormat="false" ht="15" hidden="false" customHeight="true" outlineLevel="0" collapsed="false">
      <c r="A3051" s="115" t="n">
        <v>3888000.01</v>
      </c>
      <c r="B3051" s="115" t="n">
        <v>3889280</v>
      </c>
      <c r="C3051" s="115" t="n">
        <v>87368.9600000065</v>
      </c>
    </row>
    <row r="3052" customFormat="false" ht="15" hidden="false" customHeight="true" outlineLevel="0" collapsed="false">
      <c r="A3052" s="114" t="n">
        <v>3889280.01</v>
      </c>
      <c r="B3052" s="114" t="n">
        <v>3890560</v>
      </c>
      <c r="C3052" s="114" t="n">
        <v>87397.6200000065</v>
      </c>
    </row>
    <row r="3053" customFormat="false" ht="15" hidden="false" customHeight="true" outlineLevel="0" collapsed="false">
      <c r="A3053" s="115" t="n">
        <v>3890560.01</v>
      </c>
      <c r="B3053" s="115" t="n">
        <v>3891840</v>
      </c>
      <c r="C3053" s="115" t="n">
        <v>87426.2800000065</v>
      </c>
    </row>
    <row r="3054" customFormat="false" ht="15" hidden="false" customHeight="true" outlineLevel="0" collapsed="false">
      <c r="A3054" s="114" t="n">
        <v>3891840.01</v>
      </c>
      <c r="B3054" s="114" t="n">
        <v>3893120</v>
      </c>
      <c r="C3054" s="114" t="n">
        <v>87454.9400000065</v>
      </c>
    </row>
    <row r="3055" customFormat="false" ht="15" hidden="false" customHeight="true" outlineLevel="0" collapsed="false">
      <c r="A3055" s="115" t="n">
        <v>3893120.01</v>
      </c>
      <c r="B3055" s="115" t="n">
        <v>3894400</v>
      </c>
      <c r="C3055" s="115" t="n">
        <v>87483.6000000065</v>
      </c>
    </row>
    <row r="3056" customFormat="false" ht="15" hidden="false" customHeight="true" outlineLevel="0" collapsed="false">
      <c r="A3056" s="114" t="n">
        <v>3894400.01</v>
      </c>
      <c r="B3056" s="114" t="n">
        <v>3895680</v>
      </c>
      <c r="C3056" s="114" t="n">
        <v>87512.2600000065</v>
      </c>
    </row>
    <row r="3057" customFormat="false" ht="15" hidden="false" customHeight="true" outlineLevel="0" collapsed="false">
      <c r="A3057" s="115" t="n">
        <v>3895680.01</v>
      </c>
      <c r="B3057" s="115" t="n">
        <v>3896960</v>
      </c>
      <c r="C3057" s="115" t="n">
        <v>87540.9200000065</v>
      </c>
    </row>
    <row r="3058" customFormat="false" ht="15" hidden="false" customHeight="true" outlineLevel="0" collapsed="false">
      <c r="A3058" s="114" t="n">
        <v>3896960.01</v>
      </c>
      <c r="B3058" s="114" t="n">
        <v>3898240</v>
      </c>
      <c r="C3058" s="114" t="n">
        <v>87569.5800000065</v>
      </c>
    </row>
    <row r="3059" customFormat="false" ht="15" hidden="false" customHeight="true" outlineLevel="0" collapsed="false">
      <c r="A3059" s="115" t="n">
        <v>3898240.01</v>
      </c>
      <c r="B3059" s="115" t="n">
        <v>3899520</v>
      </c>
      <c r="C3059" s="115" t="n">
        <v>87598.2400000065</v>
      </c>
    </row>
    <row r="3060" customFormat="false" ht="15" hidden="false" customHeight="true" outlineLevel="0" collapsed="false">
      <c r="A3060" s="114" t="n">
        <v>3899520.01</v>
      </c>
      <c r="B3060" s="114" t="n">
        <v>3900800</v>
      </c>
      <c r="C3060" s="114" t="n">
        <v>87626.9000000065</v>
      </c>
    </row>
    <row r="3061" customFormat="false" ht="15" hidden="false" customHeight="true" outlineLevel="0" collapsed="false">
      <c r="A3061" s="115" t="n">
        <v>3900800.01</v>
      </c>
      <c r="B3061" s="115" t="n">
        <v>3902080</v>
      </c>
      <c r="C3061" s="115" t="n">
        <v>87655.5600000065</v>
      </c>
    </row>
    <row r="3062" customFormat="false" ht="15" hidden="false" customHeight="true" outlineLevel="0" collapsed="false">
      <c r="A3062" s="114" t="n">
        <v>3902080.01</v>
      </c>
      <c r="B3062" s="114" t="n">
        <v>3903360</v>
      </c>
      <c r="C3062" s="114" t="n">
        <v>87684.2200000065</v>
      </c>
    </row>
    <row r="3063" customFormat="false" ht="15" hidden="false" customHeight="true" outlineLevel="0" collapsed="false">
      <c r="A3063" s="115" t="n">
        <v>3903360.01</v>
      </c>
      <c r="B3063" s="115" t="n">
        <v>3904640</v>
      </c>
      <c r="C3063" s="115" t="n">
        <v>87712.8800000065</v>
      </c>
    </row>
    <row r="3064" customFormat="false" ht="15" hidden="false" customHeight="true" outlineLevel="0" collapsed="false">
      <c r="A3064" s="114" t="n">
        <v>3904640.01</v>
      </c>
      <c r="B3064" s="114" t="n">
        <v>3905920</v>
      </c>
      <c r="C3064" s="114" t="n">
        <v>87741.5400000065</v>
      </c>
    </row>
    <row r="3065" customFormat="false" ht="15" hidden="false" customHeight="true" outlineLevel="0" collapsed="false">
      <c r="A3065" s="115" t="n">
        <v>3905920.01</v>
      </c>
      <c r="B3065" s="115" t="n">
        <v>3907200</v>
      </c>
      <c r="C3065" s="115" t="n">
        <v>87770.2000000066</v>
      </c>
    </row>
    <row r="3066" customFormat="false" ht="15" hidden="false" customHeight="true" outlineLevel="0" collapsed="false">
      <c r="A3066" s="114" t="n">
        <v>3907200.01</v>
      </c>
      <c r="B3066" s="114" t="n">
        <v>3908480</v>
      </c>
      <c r="C3066" s="114" t="n">
        <v>87798.8600000066</v>
      </c>
    </row>
    <row r="3067" customFormat="false" ht="15" hidden="false" customHeight="true" outlineLevel="0" collapsed="false">
      <c r="A3067" s="115" t="n">
        <v>3908480.01</v>
      </c>
      <c r="B3067" s="115" t="n">
        <v>3909760</v>
      </c>
      <c r="C3067" s="115" t="n">
        <v>87827.5200000066</v>
      </c>
    </row>
    <row r="3068" customFormat="false" ht="15" hidden="false" customHeight="true" outlineLevel="0" collapsed="false">
      <c r="A3068" s="114" t="n">
        <v>3909760.01</v>
      </c>
      <c r="B3068" s="114" t="n">
        <v>3911040</v>
      </c>
      <c r="C3068" s="114" t="n">
        <v>87856.1800000066</v>
      </c>
    </row>
    <row r="3069" customFormat="false" ht="15" hidden="false" customHeight="true" outlineLevel="0" collapsed="false">
      <c r="A3069" s="115" t="n">
        <v>3911040.01</v>
      </c>
      <c r="B3069" s="115" t="n">
        <v>3912320</v>
      </c>
      <c r="C3069" s="115" t="n">
        <v>87884.8400000066</v>
      </c>
    </row>
    <row r="3070" customFormat="false" ht="15" hidden="false" customHeight="true" outlineLevel="0" collapsed="false">
      <c r="A3070" s="114" t="n">
        <v>3912320.01</v>
      </c>
      <c r="B3070" s="114" t="n">
        <v>3913600</v>
      </c>
      <c r="C3070" s="114" t="n">
        <v>87913.5000000066</v>
      </c>
    </row>
    <row r="3071" customFormat="false" ht="15" hidden="false" customHeight="true" outlineLevel="0" collapsed="false">
      <c r="A3071" s="115" t="n">
        <v>3913600.01</v>
      </c>
      <c r="B3071" s="115" t="n">
        <v>3914880</v>
      </c>
      <c r="C3071" s="115" t="n">
        <v>87942.1600000066</v>
      </c>
    </row>
    <row r="3072" customFormat="false" ht="15" hidden="false" customHeight="true" outlineLevel="0" collapsed="false">
      <c r="A3072" s="114" t="n">
        <v>3914880.01</v>
      </c>
      <c r="B3072" s="114" t="n">
        <v>3916160</v>
      </c>
      <c r="C3072" s="114" t="n">
        <v>87970.8200000066</v>
      </c>
    </row>
    <row r="3073" customFormat="false" ht="15" hidden="false" customHeight="true" outlineLevel="0" collapsed="false">
      <c r="A3073" s="115" t="n">
        <v>3916160.01</v>
      </c>
      <c r="B3073" s="115" t="n">
        <v>3917440</v>
      </c>
      <c r="C3073" s="115" t="n">
        <v>87999.4800000066</v>
      </c>
    </row>
    <row r="3074" customFormat="false" ht="15" hidden="false" customHeight="true" outlineLevel="0" collapsed="false">
      <c r="A3074" s="114" t="n">
        <v>3917440.01</v>
      </c>
      <c r="B3074" s="114" t="n">
        <v>3918720</v>
      </c>
      <c r="C3074" s="114" t="n">
        <v>88028.1400000066</v>
      </c>
    </row>
    <row r="3075" customFormat="false" ht="15" hidden="false" customHeight="true" outlineLevel="0" collapsed="false">
      <c r="A3075" s="115" t="n">
        <v>3918720.01</v>
      </c>
      <c r="B3075" s="115" t="n">
        <v>3920000</v>
      </c>
      <c r="C3075" s="115" t="n">
        <v>88056.8000000066</v>
      </c>
    </row>
    <row r="3076" customFormat="false" ht="15" hidden="false" customHeight="true" outlineLevel="0" collapsed="false">
      <c r="A3076" s="114" t="n">
        <v>3920000.01</v>
      </c>
      <c r="B3076" s="114" t="n">
        <v>3921280</v>
      </c>
      <c r="C3076" s="114" t="n">
        <v>88085.4600000066</v>
      </c>
    </row>
    <row r="3077" customFormat="false" ht="15" hidden="false" customHeight="true" outlineLevel="0" collapsed="false">
      <c r="A3077" s="115" t="n">
        <v>3921280.01</v>
      </c>
      <c r="B3077" s="115" t="n">
        <v>3922560</v>
      </c>
      <c r="C3077" s="115" t="n">
        <v>88114.1200000066</v>
      </c>
    </row>
    <row r="3078" customFormat="false" ht="15" hidden="false" customHeight="true" outlineLevel="0" collapsed="false">
      <c r="A3078" s="114" t="n">
        <v>3922560.01</v>
      </c>
      <c r="B3078" s="114" t="n">
        <v>3923840</v>
      </c>
      <c r="C3078" s="114" t="n">
        <v>88142.7800000066</v>
      </c>
    </row>
    <row r="3079" customFormat="false" ht="15" hidden="false" customHeight="true" outlineLevel="0" collapsed="false">
      <c r="A3079" s="115" t="n">
        <v>3923840.01</v>
      </c>
      <c r="B3079" s="115" t="n">
        <v>3925120</v>
      </c>
      <c r="C3079" s="115" t="n">
        <v>88171.4400000066</v>
      </c>
    </row>
    <row r="3080" customFormat="false" ht="15" hidden="false" customHeight="true" outlineLevel="0" collapsed="false">
      <c r="A3080" s="114" t="n">
        <v>3925120.01</v>
      </c>
      <c r="B3080" s="114" t="n">
        <v>3926400</v>
      </c>
      <c r="C3080" s="114" t="n">
        <v>88200.1000000066</v>
      </c>
    </row>
    <row r="3081" customFormat="false" ht="15" hidden="false" customHeight="true" outlineLevel="0" collapsed="false">
      <c r="A3081" s="115" t="n">
        <v>3926400.01</v>
      </c>
      <c r="B3081" s="115" t="n">
        <v>3927680</v>
      </c>
      <c r="C3081" s="115" t="n">
        <v>88228.7600000066</v>
      </c>
    </row>
    <row r="3082" customFormat="false" ht="15" hidden="false" customHeight="true" outlineLevel="0" collapsed="false">
      <c r="A3082" s="114" t="n">
        <v>3927680.01</v>
      </c>
      <c r="B3082" s="114" t="n">
        <v>3928960</v>
      </c>
      <c r="C3082" s="114" t="n">
        <v>88257.4200000066</v>
      </c>
    </row>
    <row r="3083" customFormat="false" ht="15" hidden="false" customHeight="true" outlineLevel="0" collapsed="false">
      <c r="A3083" s="115" t="n">
        <v>3928960.01</v>
      </c>
      <c r="B3083" s="115" t="n">
        <v>3930240</v>
      </c>
      <c r="C3083" s="115" t="n">
        <v>88286.0800000066</v>
      </c>
    </row>
    <row r="3084" customFormat="false" ht="15" hidden="false" customHeight="true" outlineLevel="0" collapsed="false">
      <c r="A3084" s="114" t="n">
        <v>3930240.01</v>
      </c>
      <c r="B3084" s="114" t="n">
        <v>3931520</v>
      </c>
      <c r="C3084" s="114" t="n">
        <v>88314.7400000066</v>
      </c>
    </row>
    <row r="3085" customFormat="false" ht="15" hidden="false" customHeight="true" outlineLevel="0" collapsed="false">
      <c r="A3085" s="115" t="n">
        <v>3931520.01</v>
      </c>
      <c r="B3085" s="115" t="n">
        <v>3932800</v>
      </c>
      <c r="C3085" s="115" t="n">
        <v>88343.4000000066</v>
      </c>
    </row>
    <row r="3086" customFormat="false" ht="15" hidden="false" customHeight="true" outlineLevel="0" collapsed="false">
      <c r="A3086" s="114" t="n">
        <v>3932800.01</v>
      </c>
      <c r="B3086" s="114" t="n">
        <v>3934080</v>
      </c>
      <c r="C3086" s="114" t="n">
        <v>88372.0600000066</v>
      </c>
    </row>
    <row r="3087" customFormat="false" ht="15" hidden="false" customHeight="true" outlineLevel="0" collapsed="false">
      <c r="A3087" s="115" t="n">
        <v>3934080.01</v>
      </c>
      <c r="B3087" s="115" t="n">
        <v>3935360</v>
      </c>
      <c r="C3087" s="115" t="n">
        <v>88400.7200000066</v>
      </c>
    </row>
    <row r="3088" customFormat="false" ht="15" hidden="false" customHeight="true" outlineLevel="0" collapsed="false">
      <c r="A3088" s="114" t="n">
        <v>3935360.01</v>
      </c>
      <c r="B3088" s="114" t="n">
        <v>3936640</v>
      </c>
      <c r="C3088" s="114" t="n">
        <v>88429.3800000066</v>
      </c>
    </row>
    <row r="3089" customFormat="false" ht="15" hidden="false" customHeight="true" outlineLevel="0" collapsed="false">
      <c r="A3089" s="115" t="n">
        <v>3936640.01</v>
      </c>
      <c r="B3089" s="115" t="n">
        <v>3937920</v>
      </c>
      <c r="C3089" s="115" t="n">
        <v>88458.0400000066</v>
      </c>
    </row>
    <row r="3090" customFormat="false" ht="15" hidden="false" customHeight="true" outlineLevel="0" collapsed="false">
      <c r="A3090" s="114" t="n">
        <v>3937920.01</v>
      </c>
      <c r="B3090" s="114" t="n">
        <v>3939200</v>
      </c>
      <c r="C3090" s="114" t="n">
        <v>88486.7000000066</v>
      </c>
    </row>
    <row r="3091" customFormat="false" ht="15" hidden="false" customHeight="true" outlineLevel="0" collapsed="false">
      <c r="A3091" s="115" t="n">
        <v>3939200.01</v>
      </c>
      <c r="B3091" s="115" t="n">
        <v>3940480</v>
      </c>
      <c r="C3091" s="115" t="n">
        <v>88515.3600000066</v>
      </c>
    </row>
    <row r="3092" customFormat="false" ht="15" hidden="false" customHeight="true" outlineLevel="0" collapsed="false">
      <c r="A3092" s="114" t="n">
        <v>3940480.01</v>
      </c>
      <c r="B3092" s="114" t="n">
        <v>3941760</v>
      </c>
      <c r="C3092" s="114" t="n">
        <v>88544.0200000066</v>
      </c>
    </row>
    <row r="3093" customFormat="false" ht="15" hidden="false" customHeight="true" outlineLevel="0" collapsed="false">
      <c r="A3093" s="115" t="n">
        <v>3941760.01</v>
      </c>
      <c r="B3093" s="115" t="n">
        <v>3943040</v>
      </c>
      <c r="C3093" s="115" t="n">
        <v>88572.6800000066</v>
      </c>
    </row>
    <row r="3094" customFormat="false" ht="15" hidden="false" customHeight="true" outlineLevel="0" collapsed="false">
      <c r="A3094" s="114" t="n">
        <v>3943040.01</v>
      </c>
      <c r="B3094" s="114" t="n">
        <v>3944320</v>
      </c>
      <c r="C3094" s="114" t="n">
        <v>88601.3400000067</v>
      </c>
    </row>
    <row r="3095" customFormat="false" ht="15" hidden="false" customHeight="true" outlineLevel="0" collapsed="false">
      <c r="A3095" s="115" t="n">
        <v>3944320.01</v>
      </c>
      <c r="B3095" s="115" t="n">
        <v>3945600</v>
      </c>
      <c r="C3095" s="115" t="n">
        <v>88630.0000000067</v>
      </c>
    </row>
    <row r="3096" customFormat="false" ht="15" hidden="false" customHeight="true" outlineLevel="0" collapsed="false">
      <c r="A3096" s="114" t="n">
        <v>3945600.01</v>
      </c>
      <c r="B3096" s="114" t="n">
        <v>3946880</v>
      </c>
      <c r="C3096" s="114" t="n">
        <v>88658.6600000067</v>
      </c>
    </row>
    <row r="3097" customFormat="false" ht="15" hidden="false" customHeight="true" outlineLevel="0" collapsed="false">
      <c r="A3097" s="115" t="n">
        <v>3946880.01</v>
      </c>
      <c r="B3097" s="115" t="n">
        <v>3948160</v>
      </c>
      <c r="C3097" s="115" t="n">
        <v>88687.3200000067</v>
      </c>
    </row>
    <row r="3098" customFormat="false" ht="15" hidden="false" customHeight="true" outlineLevel="0" collapsed="false">
      <c r="A3098" s="114" t="n">
        <v>3948160.01</v>
      </c>
      <c r="B3098" s="114" t="n">
        <v>3949440</v>
      </c>
      <c r="C3098" s="114" t="n">
        <v>88715.9800000067</v>
      </c>
    </row>
    <row r="3099" customFormat="false" ht="15" hidden="false" customHeight="true" outlineLevel="0" collapsed="false">
      <c r="A3099" s="115" t="n">
        <v>3949440.01</v>
      </c>
      <c r="B3099" s="115" t="n">
        <v>3950720</v>
      </c>
      <c r="C3099" s="115" t="n">
        <v>88744.6400000067</v>
      </c>
    </row>
    <row r="3100" customFormat="false" ht="15" hidden="false" customHeight="true" outlineLevel="0" collapsed="false">
      <c r="A3100" s="114" t="n">
        <v>3950720.01</v>
      </c>
      <c r="B3100" s="114" t="n">
        <v>3952000</v>
      </c>
      <c r="C3100" s="114" t="n">
        <v>88773.3000000067</v>
      </c>
    </row>
    <row r="3101" customFormat="false" ht="15" hidden="false" customHeight="true" outlineLevel="0" collapsed="false">
      <c r="A3101" s="115" t="n">
        <v>3952000.01</v>
      </c>
      <c r="B3101" s="115" t="n">
        <v>3953280</v>
      </c>
      <c r="C3101" s="115" t="n">
        <v>88801.9600000067</v>
      </c>
    </row>
    <row r="3102" customFormat="false" ht="15" hidden="false" customHeight="true" outlineLevel="0" collapsed="false">
      <c r="A3102" s="114" t="n">
        <v>3953280.01</v>
      </c>
      <c r="B3102" s="114" t="n">
        <v>3954560</v>
      </c>
      <c r="C3102" s="114" t="n">
        <v>88830.6200000067</v>
      </c>
    </row>
    <row r="3103" customFormat="false" ht="15" hidden="false" customHeight="true" outlineLevel="0" collapsed="false">
      <c r="A3103" s="115" t="n">
        <v>3954560.01</v>
      </c>
      <c r="B3103" s="115" t="n">
        <v>3955840</v>
      </c>
      <c r="C3103" s="115" t="n">
        <v>88859.2800000067</v>
      </c>
    </row>
    <row r="3104" customFormat="false" ht="15" hidden="false" customHeight="true" outlineLevel="0" collapsed="false">
      <c r="A3104" s="114" t="n">
        <v>3955840.01</v>
      </c>
      <c r="B3104" s="114" t="n">
        <v>3957120</v>
      </c>
      <c r="C3104" s="114" t="n">
        <v>88887.9400000067</v>
      </c>
    </row>
    <row r="3105" customFormat="false" ht="15" hidden="false" customHeight="true" outlineLevel="0" collapsed="false">
      <c r="A3105" s="115" t="n">
        <v>3957120.01</v>
      </c>
      <c r="B3105" s="115" t="n">
        <v>3958400</v>
      </c>
      <c r="C3105" s="115" t="n">
        <v>88916.6000000067</v>
      </c>
    </row>
    <row r="3106" customFormat="false" ht="15" hidden="false" customHeight="true" outlineLevel="0" collapsed="false">
      <c r="A3106" s="114" t="n">
        <v>3958400.01</v>
      </c>
      <c r="B3106" s="114" t="n">
        <v>3959680</v>
      </c>
      <c r="C3106" s="114" t="n">
        <v>88945.2600000067</v>
      </c>
    </row>
    <row r="3107" customFormat="false" ht="15" hidden="false" customHeight="true" outlineLevel="0" collapsed="false">
      <c r="A3107" s="115" t="n">
        <v>3959680.01</v>
      </c>
      <c r="B3107" s="115" t="n">
        <v>3960960</v>
      </c>
      <c r="C3107" s="115" t="n">
        <v>88973.9200000067</v>
      </c>
    </row>
    <row r="3108" customFormat="false" ht="15" hidden="false" customHeight="true" outlineLevel="0" collapsed="false">
      <c r="A3108" s="114" t="n">
        <v>3960960.01</v>
      </c>
      <c r="B3108" s="114" t="n">
        <v>3962240</v>
      </c>
      <c r="C3108" s="114" t="n">
        <v>89002.5800000067</v>
      </c>
    </row>
    <row r="3109" customFormat="false" ht="15" hidden="false" customHeight="true" outlineLevel="0" collapsed="false">
      <c r="A3109" s="115" t="n">
        <v>3962240.01</v>
      </c>
      <c r="B3109" s="115" t="n">
        <v>3963520</v>
      </c>
      <c r="C3109" s="115" t="n">
        <v>89031.2400000067</v>
      </c>
    </row>
    <row r="3110" customFormat="false" ht="15" hidden="false" customHeight="true" outlineLevel="0" collapsed="false">
      <c r="A3110" s="114" t="n">
        <v>3963520.01</v>
      </c>
      <c r="B3110" s="114" t="n">
        <v>3964800</v>
      </c>
      <c r="C3110" s="114" t="n">
        <v>89059.9000000067</v>
      </c>
    </row>
    <row r="3111" customFormat="false" ht="15" hidden="false" customHeight="true" outlineLevel="0" collapsed="false">
      <c r="A3111" s="115" t="n">
        <v>3964800.01</v>
      </c>
      <c r="B3111" s="115" t="n">
        <v>3966080</v>
      </c>
      <c r="C3111" s="115" t="n">
        <v>89088.5600000067</v>
      </c>
    </row>
    <row r="3112" customFormat="false" ht="15" hidden="false" customHeight="true" outlineLevel="0" collapsed="false">
      <c r="A3112" s="114" t="n">
        <v>3966080.01</v>
      </c>
      <c r="B3112" s="114" t="n">
        <v>3967360</v>
      </c>
      <c r="C3112" s="114" t="n">
        <v>89117.2200000067</v>
      </c>
    </row>
    <row r="3113" customFormat="false" ht="15" hidden="false" customHeight="true" outlineLevel="0" collapsed="false">
      <c r="A3113" s="115" t="n">
        <v>3967360.01</v>
      </c>
      <c r="B3113" s="115" t="n">
        <v>3968640</v>
      </c>
      <c r="C3113" s="115" t="n">
        <v>89145.8800000067</v>
      </c>
    </row>
    <row r="3114" customFormat="false" ht="15" hidden="false" customHeight="true" outlineLevel="0" collapsed="false">
      <c r="A3114" s="114" t="n">
        <v>3968640.01</v>
      </c>
      <c r="B3114" s="114" t="n">
        <v>3969920</v>
      </c>
      <c r="C3114" s="114" t="n">
        <v>89174.5400000067</v>
      </c>
    </row>
    <row r="3115" customFormat="false" ht="15" hidden="false" customHeight="true" outlineLevel="0" collapsed="false">
      <c r="A3115" s="115" t="n">
        <v>3969920.01</v>
      </c>
      <c r="B3115" s="115" t="n">
        <v>3971200</v>
      </c>
      <c r="C3115" s="115" t="n">
        <v>89203.2000000067</v>
      </c>
    </row>
    <row r="3116" customFormat="false" ht="15" hidden="false" customHeight="true" outlineLevel="0" collapsed="false">
      <c r="A3116" s="114" t="n">
        <v>3971200.01</v>
      </c>
      <c r="B3116" s="114" t="n">
        <v>3972480</v>
      </c>
      <c r="C3116" s="114" t="n">
        <v>89231.8600000067</v>
      </c>
    </row>
    <row r="3117" customFormat="false" ht="15" hidden="false" customHeight="true" outlineLevel="0" collapsed="false">
      <c r="A3117" s="115" t="n">
        <v>3972480.01</v>
      </c>
      <c r="B3117" s="115" t="n">
        <v>3973760</v>
      </c>
      <c r="C3117" s="115" t="n">
        <v>89260.5200000067</v>
      </c>
    </row>
    <row r="3118" customFormat="false" ht="15" hidden="false" customHeight="true" outlineLevel="0" collapsed="false">
      <c r="A3118" s="114" t="n">
        <v>3973760.01</v>
      </c>
      <c r="B3118" s="114" t="n">
        <v>3975040</v>
      </c>
      <c r="C3118" s="114" t="n">
        <v>89289.1800000067</v>
      </c>
    </row>
    <row r="3119" customFormat="false" ht="15" hidden="false" customHeight="true" outlineLevel="0" collapsed="false">
      <c r="A3119" s="115" t="n">
        <v>3975040.01</v>
      </c>
      <c r="B3119" s="115" t="n">
        <v>3976320</v>
      </c>
      <c r="C3119" s="115" t="n">
        <v>89317.8400000067</v>
      </c>
    </row>
    <row r="3120" customFormat="false" ht="15" hidden="false" customHeight="true" outlineLevel="0" collapsed="false">
      <c r="A3120" s="114" t="n">
        <v>3976320.01</v>
      </c>
      <c r="B3120" s="114" t="n">
        <v>3977600</v>
      </c>
      <c r="C3120" s="114" t="n">
        <v>89346.5000000067</v>
      </c>
    </row>
    <row r="3121" customFormat="false" ht="15" hidden="false" customHeight="true" outlineLevel="0" collapsed="false">
      <c r="A3121" s="115" t="n">
        <v>3977600.01</v>
      </c>
      <c r="B3121" s="115" t="n">
        <v>3978880</v>
      </c>
      <c r="C3121" s="115" t="n">
        <v>89375.1600000067</v>
      </c>
    </row>
    <row r="3122" customFormat="false" ht="15" hidden="false" customHeight="true" outlineLevel="0" collapsed="false">
      <c r="A3122" s="114" t="n">
        <v>3978880.01</v>
      </c>
      <c r="B3122" s="114" t="n">
        <v>3980160</v>
      </c>
      <c r="C3122" s="114" t="n">
        <v>89403.8200000067</v>
      </c>
    </row>
    <row r="3123" customFormat="false" ht="15" hidden="false" customHeight="true" outlineLevel="0" collapsed="false">
      <c r="A3123" s="115" t="n">
        <v>3980160.01</v>
      </c>
      <c r="B3123" s="115" t="n">
        <v>3981440</v>
      </c>
      <c r="C3123" s="115" t="n">
        <v>89432.4800000068</v>
      </c>
    </row>
    <row r="3124" customFormat="false" ht="15" hidden="false" customHeight="true" outlineLevel="0" collapsed="false">
      <c r="A3124" s="114" t="n">
        <v>3981440.01</v>
      </c>
      <c r="B3124" s="114" t="n">
        <v>3982720</v>
      </c>
      <c r="C3124" s="114" t="n">
        <v>89461.1400000068</v>
      </c>
    </row>
    <row r="3125" customFormat="false" ht="15" hidden="false" customHeight="true" outlineLevel="0" collapsed="false">
      <c r="A3125" s="115" t="n">
        <v>3982720.01</v>
      </c>
      <c r="B3125" s="115" t="n">
        <v>3984000</v>
      </c>
      <c r="C3125" s="115" t="n">
        <v>89489.8000000068</v>
      </c>
    </row>
    <row r="3126" customFormat="false" ht="15" hidden="false" customHeight="true" outlineLevel="0" collapsed="false">
      <c r="A3126" s="114" t="n">
        <v>3984000.01</v>
      </c>
      <c r="B3126" s="114" t="n">
        <v>3985280</v>
      </c>
      <c r="C3126" s="114" t="n">
        <v>89518.4600000068</v>
      </c>
    </row>
    <row r="3127" customFormat="false" ht="15" hidden="false" customHeight="true" outlineLevel="0" collapsed="false">
      <c r="A3127" s="115" t="n">
        <v>3985280.01</v>
      </c>
      <c r="B3127" s="115" t="n">
        <v>3986560</v>
      </c>
      <c r="C3127" s="115" t="n">
        <v>89547.1200000068</v>
      </c>
    </row>
    <row r="3128" customFormat="false" ht="15" hidden="false" customHeight="true" outlineLevel="0" collapsed="false">
      <c r="A3128" s="114" t="n">
        <v>3986560.01</v>
      </c>
      <c r="B3128" s="114" t="n">
        <v>3987840</v>
      </c>
      <c r="C3128" s="114" t="n">
        <v>89575.7800000068</v>
      </c>
    </row>
    <row r="3129" customFormat="false" ht="15" hidden="false" customHeight="true" outlineLevel="0" collapsed="false">
      <c r="A3129" s="115" t="n">
        <v>3987840.01</v>
      </c>
      <c r="B3129" s="115" t="n">
        <v>3989120</v>
      </c>
      <c r="C3129" s="115" t="n">
        <v>89604.4400000068</v>
      </c>
    </row>
    <row r="3130" customFormat="false" ht="15" hidden="false" customHeight="true" outlineLevel="0" collapsed="false">
      <c r="A3130" s="114" t="n">
        <v>3989120.01</v>
      </c>
      <c r="B3130" s="114" t="n">
        <v>3990400</v>
      </c>
      <c r="C3130" s="114" t="n">
        <v>89633.1000000068</v>
      </c>
    </row>
    <row r="3131" customFormat="false" ht="15" hidden="false" customHeight="true" outlineLevel="0" collapsed="false">
      <c r="A3131" s="115" t="n">
        <v>3990400.01</v>
      </c>
      <c r="B3131" s="115" t="n">
        <v>3991680</v>
      </c>
      <c r="C3131" s="115" t="n">
        <v>89661.7600000068</v>
      </c>
    </row>
    <row r="3132" customFormat="false" ht="15" hidden="false" customHeight="true" outlineLevel="0" collapsed="false">
      <c r="A3132" s="114" t="n">
        <v>3991680.01</v>
      </c>
      <c r="B3132" s="114" t="n">
        <v>3992960</v>
      </c>
      <c r="C3132" s="114" t="n">
        <v>89690.4200000068</v>
      </c>
    </row>
    <row r="3133" customFormat="false" ht="15" hidden="false" customHeight="true" outlineLevel="0" collapsed="false">
      <c r="A3133" s="115" t="n">
        <v>3992960.01</v>
      </c>
      <c r="B3133" s="115" t="n">
        <v>3994240</v>
      </c>
      <c r="C3133" s="115" t="n">
        <v>89719.0800000068</v>
      </c>
    </row>
    <row r="3134" customFormat="false" ht="15" hidden="false" customHeight="true" outlineLevel="0" collapsed="false">
      <c r="A3134" s="114" t="n">
        <v>3994240.01</v>
      </c>
      <c r="B3134" s="114" t="n">
        <v>3995520</v>
      </c>
      <c r="C3134" s="114" t="n">
        <v>89747.7400000068</v>
      </c>
    </row>
    <row r="3135" customFormat="false" ht="15" hidden="false" customHeight="true" outlineLevel="0" collapsed="false">
      <c r="A3135" s="115" t="n">
        <v>3995520.01</v>
      </c>
      <c r="B3135" s="115" t="n">
        <v>3996800</v>
      </c>
      <c r="C3135" s="115" t="n">
        <v>89776.4000000068</v>
      </c>
    </row>
    <row r="3136" customFormat="false" ht="15" hidden="false" customHeight="true" outlineLevel="0" collapsed="false">
      <c r="A3136" s="114" t="n">
        <v>3996800.01</v>
      </c>
      <c r="B3136" s="114" t="n">
        <v>3998080</v>
      </c>
      <c r="C3136" s="114" t="n">
        <v>89805.0600000068</v>
      </c>
    </row>
    <row r="3137" customFormat="false" ht="15" hidden="false" customHeight="true" outlineLevel="0" collapsed="false">
      <c r="A3137" s="115" t="n">
        <v>3998080.01</v>
      </c>
      <c r="B3137" s="115" t="n">
        <v>3999360</v>
      </c>
      <c r="C3137" s="115" t="n">
        <v>89833.7200000068</v>
      </c>
    </row>
    <row r="3138" customFormat="false" ht="15" hidden="false" customHeight="true" outlineLevel="0" collapsed="false">
      <c r="A3138" s="114" t="n">
        <v>3999360.01</v>
      </c>
      <c r="B3138" s="114" t="n">
        <v>4000640</v>
      </c>
      <c r="C3138" s="114" t="n">
        <v>89862.3800000068</v>
      </c>
    </row>
    <row r="3139" customFormat="false" ht="15" hidden="false" customHeight="true" outlineLevel="0" collapsed="false">
      <c r="A3139" s="115" t="n">
        <v>4000640.01</v>
      </c>
      <c r="B3139" s="115" t="n">
        <v>4001920</v>
      </c>
      <c r="C3139" s="115" t="n">
        <v>89891.0400000068</v>
      </c>
    </row>
    <row r="3140" customFormat="false" ht="15" hidden="false" customHeight="true" outlineLevel="0" collapsed="false">
      <c r="A3140" s="114" t="n">
        <v>4001920.01</v>
      </c>
      <c r="B3140" s="114" t="n">
        <v>4003200</v>
      </c>
      <c r="C3140" s="114" t="n">
        <v>89919.7000000068</v>
      </c>
    </row>
    <row r="3141" customFormat="false" ht="15" hidden="false" customHeight="true" outlineLevel="0" collapsed="false">
      <c r="A3141" s="115" t="n">
        <v>4003200.01</v>
      </c>
      <c r="B3141" s="115" t="n">
        <v>4004480</v>
      </c>
      <c r="C3141" s="115" t="n">
        <v>89948.3600000068</v>
      </c>
    </row>
    <row r="3142" customFormat="false" ht="15" hidden="false" customHeight="true" outlineLevel="0" collapsed="false">
      <c r="A3142" s="114" t="n">
        <v>4004480.01</v>
      </c>
      <c r="B3142" s="114" t="n">
        <v>4005760</v>
      </c>
      <c r="C3142" s="114" t="n">
        <v>89977.0200000068</v>
      </c>
    </row>
    <row r="3143" customFormat="false" ht="15" hidden="false" customHeight="true" outlineLevel="0" collapsed="false">
      <c r="A3143" s="115" t="n">
        <v>4005760.01</v>
      </c>
      <c r="B3143" s="115" t="n">
        <v>4007040</v>
      </c>
      <c r="C3143" s="115" t="n">
        <v>90005.6800000068</v>
      </c>
    </row>
    <row r="3144" customFormat="false" ht="15" hidden="false" customHeight="true" outlineLevel="0" collapsed="false">
      <c r="A3144" s="114" t="n">
        <v>4007040.01</v>
      </c>
      <c r="B3144" s="114" t="n">
        <v>4008320</v>
      </c>
      <c r="C3144" s="114" t="n">
        <v>90034.3400000068</v>
      </c>
    </row>
    <row r="3145" customFormat="false" ht="15" hidden="false" customHeight="true" outlineLevel="0" collapsed="false">
      <c r="A3145" s="115" t="n">
        <v>4008320.01</v>
      </c>
      <c r="B3145" s="115" t="n">
        <v>4009600</v>
      </c>
      <c r="C3145" s="115" t="n">
        <v>90063.0000000068</v>
      </c>
    </row>
    <row r="3146" customFormat="false" ht="15" hidden="false" customHeight="true" outlineLevel="0" collapsed="false">
      <c r="A3146" s="114" t="n">
        <v>4009600.01</v>
      </c>
      <c r="B3146" s="114" t="n">
        <v>4010880</v>
      </c>
      <c r="C3146" s="114" t="n">
        <v>90091.6600000068</v>
      </c>
    </row>
    <row r="3147" customFormat="false" ht="15" hidden="false" customHeight="true" outlineLevel="0" collapsed="false">
      <c r="A3147" s="115" t="n">
        <v>4010880.01</v>
      </c>
      <c r="B3147" s="115" t="n">
        <v>4012160</v>
      </c>
      <c r="C3147" s="115" t="n">
        <v>90120.3200000068</v>
      </c>
    </row>
    <row r="3148" customFormat="false" ht="15" hidden="false" customHeight="true" outlineLevel="0" collapsed="false">
      <c r="A3148" s="114" t="n">
        <v>4012160.01</v>
      </c>
      <c r="B3148" s="114" t="n">
        <v>4013440</v>
      </c>
      <c r="C3148" s="114" t="n">
        <v>90148.9800000068</v>
      </c>
    </row>
    <row r="3149" customFormat="false" ht="15" hidden="false" customHeight="true" outlineLevel="0" collapsed="false">
      <c r="A3149" s="115" t="n">
        <v>4013440.01</v>
      </c>
      <c r="B3149" s="115" t="n">
        <v>4014720</v>
      </c>
      <c r="C3149" s="115" t="n">
        <v>90177.6400000068</v>
      </c>
    </row>
    <row r="3150" customFormat="false" ht="15" hidden="false" customHeight="true" outlineLevel="0" collapsed="false">
      <c r="A3150" s="114" t="n">
        <v>4014720.01</v>
      </c>
      <c r="B3150" s="114" t="n">
        <v>4016000</v>
      </c>
      <c r="C3150" s="114" t="n">
        <v>90206.3000000068</v>
      </c>
    </row>
    <row r="3151" customFormat="false" ht="15" hidden="false" customHeight="true" outlineLevel="0" collapsed="false">
      <c r="A3151" s="115" t="n">
        <v>4016000.01</v>
      </c>
      <c r="B3151" s="115" t="n">
        <v>4017280</v>
      </c>
      <c r="C3151" s="115" t="n">
        <v>90234.9600000069</v>
      </c>
    </row>
    <row r="3152" customFormat="false" ht="15" hidden="false" customHeight="true" outlineLevel="0" collapsed="false">
      <c r="A3152" s="114" t="n">
        <v>4017280.01</v>
      </c>
      <c r="B3152" s="114" t="n">
        <v>4018560</v>
      </c>
      <c r="C3152" s="114" t="n">
        <v>90263.6200000069</v>
      </c>
    </row>
    <row r="3153" customFormat="false" ht="15" hidden="false" customHeight="true" outlineLevel="0" collapsed="false">
      <c r="A3153" s="115" t="n">
        <v>4018560.01</v>
      </c>
      <c r="B3153" s="115" t="n">
        <v>4019840</v>
      </c>
      <c r="C3153" s="115" t="n">
        <v>90292.2800000069</v>
      </c>
    </row>
    <row r="3154" customFormat="false" ht="15" hidden="false" customHeight="true" outlineLevel="0" collapsed="false">
      <c r="A3154" s="114" t="n">
        <v>4019840.01</v>
      </c>
      <c r="B3154" s="114" t="n">
        <v>4021120</v>
      </c>
      <c r="C3154" s="114" t="n">
        <v>90320.9400000069</v>
      </c>
    </row>
    <row r="3155" customFormat="false" ht="15" hidden="false" customHeight="true" outlineLevel="0" collapsed="false">
      <c r="A3155" s="115" t="n">
        <v>4021120.01</v>
      </c>
      <c r="B3155" s="115" t="n">
        <v>4022400</v>
      </c>
      <c r="C3155" s="115" t="n">
        <v>90349.6000000069</v>
      </c>
    </row>
    <row r="3156" customFormat="false" ht="15" hidden="false" customHeight="true" outlineLevel="0" collapsed="false">
      <c r="A3156" s="114" t="n">
        <v>4022400.01</v>
      </c>
      <c r="B3156" s="114" t="n">
        <v>4023680</v>
      </c>
      <c r="C3156" s="114" t="n">
        <v>90378.2600000069</v>
      </c>
    </row>
    <row r="3157" customFormat="false" ht="15" hidden="false" customHeight="true" outlineLevel="0" collapsed="false">
      <c r="A3157" s="115" t="n">
        <v>4023680.01</v>
      </c>
      <c r="B3157" s="115" t="n">
        <v>4024960</v>
      </c>
      <c r="C3157" s="115" t="n">
        <v>90406.9200000069</v>
      </c>
    </row>
    <row r="3158" customFormat="false" ht="15" hidden="false" customHeight="true" outlineLevel="0" collapsed="false">
      <c r="A3158" s="114" t="n">
        <v>4024960.01</v>
      </c>
      <c r="B3158" s="114" t="n">
        <v>4026240</v>
      </c>
      <c r="C3158" s="114" t="n">
        <v>90435.5800000069</v>
      </c>
    </row>
    <row r="3159" customFormat="false" ht="15" hidden="false" customHeight="true" outlineLevel="0" collapsed="false">
      <c r="A3159" s="115" t="n">
        <v>4026240.01</v>
      </c>
      <c r="B3159" s="115" t="n">
        <v>4027520</v>
      </c>
      <c r="C3159" s="115" t="n">
        <v>90464.2400000069</v>
      </c>
    </row>
    <row r="3160" customFormat="false" ht="15" hidden="false" customHeight="true" outlineLevel="0" collapsed="false">
      <c r="A3160" s="114" t="n">
        <v>4027520.01</v>
      </c>
      <c r="B3160" s="114" t="n">
        <v>4028800</v>
      </c>
      <c r="C3160" s="114" t="n">
        <v>90492.9000000069</v>
      </c>
    </row>
    <row r="3161" customFormat="false" ht="15" hidden="false" customHeight="true" outlineLevel="0" collapsed="false">
      <c r="A3161" s="115" t="n">
        <v>4028800.01</v>
      </c>
      <c r="B3161" s="115" t="n">
        <v>4030080</v>
      </c>
      <c r="C3161" s="115" t="n">
        <v>90521.5600000069</v>
      </c>
    </row>
    <row r="3162" customFormat="false" ht="15" hidden="false" customHeight="true" outlineLevel="0" collapsed="false">
      <c r="A3162" s="114" t="n">
        <v>4030080.01</v>
      </c>
      <c r="B3162" s="114" t="n">
        <v>4031360</v>
      </c>
      <c r="C3162" s="114" t="n">
        <v>90550.2200000069</v>
      </c>
    </row>
    <row r="3163" customFormat="false" ht="15" hidden="false" customHeight="true" outlineLevel="0" collapsed="false">
      <c r="A3163" s="115" t="n">
        <v>4031360.01</v>
      </c>
      <c r="B3163" s="115" t="n">
        <v>4032640</v>
      </c>
      <c r="C3163" s="115" t="n">
        <v>90578.8800000069</v>
      </c>
    </row>
    <row r="3164" customFormat="false" ht="15" hidden="false" customHeight="true" outlineLevel="0" collapsed="false">
      <c r="A3164" s="114" t="n">
        <v>4032640.01</v>
      </c>
      <c r="B3164" s="114" t="n">
        <v>4033920</v>
      </c>
      <c r="C3164" s="114" t="n">
        <v>90607.5400000069</v>
      </c>
    </row>
    <row r="3165" customFormat="false" ht="15" hidden="false" customHeight="true" outlineLevel="0" collapsed="false">
      <c r="A3165" s="115" t="n">
        <v>4033920.01</v>
      </c>
      <c r="B3165" s="115" t="n">
        <v>4035200</v>
      </c>
      <c r="C3165" s="115" t="n">
        <v>90636.2000000069</v>
      </c>
    </row>
    <row r="3166" customFormat="false" ht="15" hidden="false" customHeight="true" outlineLevel="0" collapsed="false">
      <c r="A3166" s="114" t="n">
        <v>4035200.01</v>
      </c>
      <c r="B3166" s="114" t="n">
        <v>4036480</v>
      </c>
      <c r="C3166" s="114" t="n">
        <v>90664.8600000069</v>
      </c>
    </row>
    <row r="3167" customFormat="false" ht="15" hidden="false" customHeight="true" outlineLevel="0" collapsed="false">
      <c r="A3167" s="115" t="n">
        <v>4036480.01</v>
      </c>
      <c r="B3167" s="115" t="n">
        <v>4037760</v>
      </c>
      <c r="C3167" s="115" t="n">
        <v>90693.5200000069</v>
      </c>
    </row>
    <row r="3168" customFormat="false" ht="15" hidden="false" customHeight="true" outlineLevel="0" collapsed="false">
      <c r="A3168" s="114" t="n">
        <v>4037760.01</v>
      </c>
      <c r="B3168" s="114" t="n">
        <v>4039040</v>
      </c>
      <c r="C3168" s="114" t="n">
        <v>90722.1800000069</v>
      </c>
    </row>
    <row r="3169" customFormat="false" ht="15" hidden="false" customHeight="true" outlineLevel="0" collapsed="false">
      <c r="A3169" s="115" t="n">
        <v>4039040.01</v>
      </c>
      <c r="B3169" s="115" t="n">
        <v>4040320</v>
      </c>
      <c r="C3169" s="115" t="n">
        <v>90750.8400000069</v>
      </c>
    </row>
    <row r="3170" customFormat="false" ht="15" hidden="false" customHeight="true" outlineLevel="0" collapsed="false">
      <c r="A3170" s="114" t="n">
        <v>4040320.01</v>
      </c>
      <c r="B3170" s="114" t="n">
        <v>4041600</v>
      </c>
      <c r="C3170" s="114" t="n">
        <v>90779.5000000069</v>
      </c>
    </row>
    <row r="3171" customFormat="false" ht="15" hidden="false" customHeight="true" outlineLevel="0" collapsed="false">
      <c r="A3171" s="115" t="n">
        <v>4041600.01</v>
      </c>
      <c r="B3171" s="115" t="n">
        <v>4042880</v>
      </c>
      <c r="C3171" s="115" t="n">
        <v>90808.1600000069</v>
      </c>
    </row>
    <row r="3172" customFormat="false" ht="15" hidden="false" customHeight="true" outlineLevel="0" collapsed="false">
      <c r="A3172" s="114" t="n">
        <v>4042880.01</v>
      </c>
      <c r="B3172" s="114" t="n">
        <v>4044160</v>
      </c>
      <c r="C3172" s="114" t="n">
        <v>90836.8200000069</v>
      </c>
    </row>
    <row r="3173" customFormat="false" ht="15" hidden="false" customHeight="true" outlineLevel="0" collapsed="false">
      <c r="A3173" s="115" t="n">
        <v>4044160.01</v>
      </c>
      <c r="B3173" s="115" t="n">
        <v>4045440</v>
      </c>
      <c r="C3173" s="115" t="n">
        <v>90865.4800000069</v>
      </c>
    </row>
    <row r="3174" customFormat="false" ht="15" hidden="false" customHeight="true" outlineLevel="0" collapsed="false">
      <c r="A3174" s="114" t="n">
        <v>4045440.01</v>
      </c>
      <c r="B3174" s="114" t="n">
        <v>4046720</v>
      </c>
      <c r="C3174" s="114" t="n">
        <v>90894.1400000069</v>
      </c>
    </row>
    <row r="3175" customFormat="false" ht="15" hidden="false" customHeight="true" outlineLevel="0" collapsed="false">
      <c r="A3175" s="115" t="n">
        <v>4046720.01</v>
      </c>
      <c r="B3175" s="115" t="n">
        <v>4048000</v>
      </c>
      <c r="C3175" s="115" t="n">
        <v>90922.8000000069</v>
      </c>
    </row>
    <row r="3176" customFormat="false" ht="15" hidden="false" customHeight="true" outlineLevel="0" collapsed="false">
      <c r="A3176" s="114" t="n">
        <v>4048000.01</v>
      </c>
      <c r="B3176" s="114" t="n">
        <v>4049280</v>
      </c>
      <c r="C3176" s="114" t="n">
        <v>90951.4600000069</v>
      </c>
    </row>
    <row r="3177" customFormat="false" ht="15" hidden="false" customHeight="true" outlineLevel="0" collapsed="false">
      <c r="A3177" s="115" t="n">
        <v>4049280.01</v>
      </c>
      <c r="B3177" s="115" t="n">
        <v>4050560</v>
      </c>
      <c r="C3177" s="115" t="n">
        <v>90980.1200000069</v>
      </c>
    </row>
    <row r="3178" customFormat="false" ht="15" hidden="false" customHeight="true" outlineLevel="0" collapsed="false">
      <c r="A3178" s="114" t="n">
        <v>4050560.01</v>
      </c>
      <c r="B3178" s="114" t="n">
        <v>4051840</v>
      </c>
      <c r="C3178" s="114" t="n">
        <v>91008.7800000069</v>
      </c>
    </row>
    <row r="3179" customFormat="false" ht="15" hidden="false" customHeight="true" outlineLevel="0" collapsed="false">
      <c r="A3179" s="115" t="n">
        <v>4051840.01</v>
      </c>
      <c r="B3179" s="115" t="n">
        <v>4053120</v>
      </c>
      <c r="C3179" s="115" t="n">
        <v>91037.4400000069</v>
      </c>
    </row>
    <row r="3180" customFormat="false" ht="15" hidden="false" customHeight="true" outlineLevel="0" collapsed="false">
      <c r="A3180" s="114" t="n">
        <v>4053120.01</v>
      </c>
      <c r="B3180" s="114" t="n">
        <v>4054400</v>
      </c>
      <c r="C3180" s="114" t="n">
        <v>91066.100000007</v>
      </c>
    </row>
    <row r="3181" customFormat="false" ht="15" hidden="false" customHeight="true" outlineLevel="0" collapsed="false">
      <c r="A3181" s="115" t="n">
        <v>4054400.01</v>
      </c>
      <c r="B3181" s="115" t="n">
        <v>4055680</v>
      </c>
      <c r="C3181" s="115" t="n">
        <v>91094.760000007</v>
      </c>
    </row>
    <row r="3182" customFormat="false" ht="15" hidden="false" customHeight="true" outlineLevel="0" collapsed="false">
      <c r="A3182" s="114" t="n">
        <v>4055680.01</v>
      </c>
      <c r="B3182" s="114" t="n">
        <v>4056960</v>
      </c>
      <c r="C3182" s="114" t="n">
        <v>91123.420000007</v>
      </c>
    </row>
    <row r="3183" customFormat="false" ht="15" hidden="false" customHeight="true" outlineLevel="0" collapsed="false">
      <c r="A3183" s="115" t="n">
        <v>4056960.01</v>
      </c>
      <c r="B3183" s="115" t="n">
        <v>4058240</v>
      </c>
      <c r="C3183" s="115" t="n">
        <v>91152.080000007</v>
      </c>
    </row>
    <row r="3184" customFormat="false" ht="15" hidden="false" customHeight="true" outlineLevel="0" collapsed="false">
      <c r="A3184" s="114" t="n">
        <v>4058240.01</v>
      </c>
      <c r="B3184" s="114" t="n">
        <v>4059520</v>
      </c>
      <c r="C3184" s="114" t="n">
        <v>91180.740000007</v>
      </c>
    </row>
    <row r="3185" customFormat="false" ht="15" hidden="false" customHeight="true" outlineLevel="0" collapsed="false">
      <c r="A3185" s="115" t="n">
        <v>4059520.01</v>
      </c>
      <c r="B3185" s="115" t="n">
        <v>4060800</v>
      </c>
      <c r="C3185" s="115" t="n">
        <v>91209.400000007</v>
      </c>
    </row>
    <row r="3186" customFormat="false" ht="15" hidden="false" customHeight="true" outlineLevel="0" collapsed="false">
      <c r="A3186" s="114" t="n">
        <v>4060800.01</v>
      </c>
      <c r="B3186" s="114" t="n">
        <v>4062080</v>
      </c>
      <c r="C3186" s="114" t="n">
        <v>91238.060000007</v>
      </c>
    </row>
    <row r="3187" customFormat="false" ht="15" hidden="false" customHeight="true" outlineLevel="0" collapsed="false">
      <c r="A3187" s="115" t="n">
        <v>4062080.01</v>
      </c>
      <c r="B3187" s="115" t="n">
        <v>4063360</v>
      </c>
      <c r="C3187" s="115" t="n">
        <v>91266.720000007</v>
      </c>
    </row>
    <row r="3188" customFormat="false" ht="15" hidden="false" customHeight="true" outlineLevel="0" collapsed="false">
      <c r="A3188" s="114" t="n">
        <v>4063360.01</v>
      </c>
      <c r="B3188" s="114" t="n">
        <v>4064640</v>
      </c>
      <c r="C3188" s="114" t="n">
        <v>91295.380000007</v>
      </c>
    </row>
    <row r="3189" customFormat="false" ht="15" hidden="false" customHeight="true" outlineLevel="0" collapsed="false">
      <c r="A3189" s="115" t="n">
        <v>4064640.01</v>
      </c>
      <c r="B3189" s="115" t="n">
        <v>4065920</v>
      </c>
      <c r="C3189" s="115" t="n">
        <v>91324.040000007</v>
      </c>
    </row>
    <row r="3190" customFormat="false" ht="15" hidden="false" customHeight="true" outlineLevel="0" collapsed="false">
      <c r="A3190" s="114" t="n">
        <v>4065920.01</v>
      </c>
      <c r="B3190" s="114" t="n">
        <v>4067200</v>
      </c>
      <c r="C3190" s="114" t="n">
        <v>91352.700000007</v>
      </c>
    </row>
    <row r="3191" customFormat="false" ht="15" hidden="false" customHeight="true" outlineLevel="0" collapsed="false">
      <c r="A3191" s="115" t="n">
        <v>4067200.01</v>
      </c>
      <c r="B3191" s="115" t="n">
        <v>4068480</v>
      </c>
      <c r="C3191" s="115" t="n">
        <v>91381.360000007</v>
      </c>
    </row>
    <row r="3192" customFormat="false" ht="15" hidden="false" customHeight="true" outlineLevel="0" collapsed="false">
      <c r="A3192" s="114" t="n">
        <v>4068480.01</v>
      </c>
      <c r="B3192" s="114" t="n">
        <v>4069760</v>
      </c>
      <c r="C3192" s="114" t="n">
        <v>91410.020000007</v>
      </c>
    </row>
    <row r="3193" customFormat="false" ht="15" hidden="false" customHeight="true" outlineLevel="0" collapsed="false">
      <c r="A3193" s="115" t="n">
        <v>4069760.01</v>
      </c>
      <c r="B3193" s="115" t="n">
        <v>4071040</v>
      </c>
      <c r="C3193" s="115" t="n">
        <v>91438.680000007</v>
      </c>
    </row>
    <row r="3194" customFormat="false" ht="15" hidden="false" customHeight="true" outlineLevel="0" collapsed="false">
      <c r="A3194" s="114" t="n">
        <v>4071040.01</v>
      </c>
      <c r="B3194" s="114" t="n">
        <v>4072320</v>
      </c>
      <c r="C3194" s="114" t="n">
        <v>91467.340000007</v>
      </c>
    </row>
    <row r="3195" customFormat="false" ht="15" hidden="false" customHeight="true" outlineLevel="0" collapsed="false">
      <c r="A3195" s="115" t="n">
        <v>4072320.01</v>
      </c>
      <c r="B3195" s="115" t="n">
        <v>4073600</v>
      </c>
      <c r="C3195" s="115" t="n">
        <v>91496.000000007</v>
      </c>
    </row>
    <row r="3196" customFormat="false" ht="15" hidden="false" customHeight="true" outlineLevel="0" collapsed="false">
      <c r="A3196" s="114" t="n">
        <v>4073600.01</v>
      </c>
      <c r="B3196" s="114" t="n">
        <v>4074880</v>
      </c>
      <c r="C3196" s="114" t="n">
        <v>91524.660000007</v>
      </c>
    </row>
    <row r="3197" customFormat="false" ht="15" hidden="false" customHeight="true" outlineLevel="0" collapsed="false">
      <c r="A3197" s="115" t="n">
        <v>4074880.01</v>
      </c>
      <c r="B3197" s="115" t="n">
        <v>4076160</v>
      </c>
      <c r="C3197" s="115" t="n">
        <v>91553.320000007</v>
      </c>
    </row>
    <row r="3198" customFormat="false" ht="15" hidden="false" customHeight="true" outlineLevel="0" collapsed="false">
      <c r="A3198" s="114" t="n">
        <v>4076160.01</v>
      </c>
      <c r="B3198" s="114" t="n">
        <v>4077440</v>
      </c>
      <c r="C3198" s="114" t="n">
        <v>91581.980000007</v>
      </c>
    </row>
    <row r="3199" customFormat="false" ht="15" hidden="false" customHeight="true" outlineLevel="0" collapsed="false">
      <c r="A3199" s="115" t="n">
        <v>4077440.01</v>
      </c>
      <c r="B3199" s="115" t="n">
        <v>4078720</v>
      </c>
      <c r="C3199" s="115" t="n">
        <v>91610.640000007</v>
      </c>
    </row>
    <row r="3200" customFormat="false" ht="15" hidden="false" customHeight="true" outlineLevel="0" collapsed="false">
      <c r="A3200" s="114" t="n">
        <v>4078720.01</v>
      </c>
      <c r="B3200" s="114" t="n">
        <v>4080000</v>
      </c>
      <c r="C3200" s="114" t="n">
        <v>91639.300000007</v>
      </c>
    </row>
    <row r="3201" customFormat="false" ht="15" hidden="false" customHeight="true" outlineLevel="0" collapsed="false">
      <c r="A3201" s="115" t="n">
        <v>4080000.01</v>
      </c>
      <c r="B3201" s="115" t="n">
        <v>4081280</v>
      </c>
      <c r="C3201" s="115" t="n">
        <v>91667.960000007</v>
      </c>
    </row>
    <row r="3202" customFormat="false" ht="15" hidden="false" customHeight="true" outlineLevel="0" collapsed="false">
      <c r="A3202" s="114" t="n">
        <v>4081280.01</v>
      </c>
      <c r="B3202" s="114" t="n">
        <v>4082560</v>
      </c>
      <c r="C3202" s="114" t="n">
        <v>91696.620000007</v>
      </c>
    </row>
    <row r="3203" customFormat="false" ht="15" hidden="false" customHeight="true" outlineLevel="0" collapsed="false">
      <c r="A3203" s="115" t="n">
        <v>4082560.01</v>
      </c>
      <c r="B3203" s="115" t="n">
        <v>4083840</v>
      </c>
      <c r="C3203" s="115" t="n">
        <v>91725.280000007</v>
      </c>
    </row>
    <row r="3204" customFormat="false" ht="15" hidden="false" customHeight="true" outlineLevel="0" collapsed="false">
      <c r="A3204" s="114" t="n">
        <v>4083840.01</v>
      </c>
      <c r="B3204" s="114" t="n">
        <v>4085120</v>
      </c>
      <c r="C3204" s="114" t="n">
        <v>91753.940000007</v>
      </c>
    </row>
    <row r="3205" customFormat="false" ht="15" hidden="false" customHeight="true" outlineLevel="0" collapsed="false">
      <c r="A3205" s="115" t="n">
        <v>4085120.01</v>
      </c>
      <c r="B3205" s="115" t="n">
        <v>4086400</v>
      </c>
      <c r="C3205" s="115" t="n">
        <v>91782.600000007</v>
      </c>
    </row>
    <row r="3206" customFormat="false" ht="15" hidden="false" customHeight="true" outlineLevel="0" collapsed="false">
      <c r="A3206" s="114" t="n">
        <v>4086400.01</v>
      </c>
      <c r="B3206" s="114" t="n">
        <v>4087680</v>
      </c>
      <c r="C3206" s="114" t="n">
        <v>91811.260000007</v>
      </c>
    </row>
    <row r="3207" customFormat="false" ht="15" hidden="false" customHeight="true" outlineLevel="0" collapsed="false">
      <c r="A3207" s="115" t="n">
        <v>4087680.01</v>
      </c>
      <c r="B3207" s="115" t="n">
        <v>4088960</v>
      </c>
      <c r="C3207" s="115" t="n">
        <v>91839.920000007</v>
      </c>
    </row>
    <row r="3208" customFormat="false" ht="15" hidden="false" customHeight="true" outlineLevel="0" collapsed="false">
      <c r="A3208" s="114" t="n">
        <v>4088960.01</v>
      </c>
      <c r="B3208" s="114" t="n">
        <v>4090240</v>
      </c>
      <c r="C3208" s="114" t="n">
        <v>91868.580000007</v>
      </c>
    </row>
    <row r="3209" customFormat="false" ht="15" hidden="false" customHeight="true" outlineLevel="0" collapsed="false">
      <c r="A3209" s="115" t="n">
        <v>4090240.01</v>
      </c>
      <c r="B3209" s="115" t="n">
        <v>4091520</v>
      </c>
      <c r="C3209" s="115" t="n">
        <v>91897.2400000071</v>
      </c>
    </row>
    <row r="3210" customFormat="false" ht="15" hidden="false" customHeight="true" outlineLevel="0" collapsed="false">
      <c r="A3210" s="114" t="n">
        <v>4091520.01</v>
      </c>
      <c r="B3210" s="114" t="n">
        <v>4092800</v>
      </c>
      <c r="C3210" s="114" t="n">
        <v>91925.9000000071</v>
      </c>
    </row>
    <row r="3211" customFormat="false" ht="15" hidden="false" customHeight="true" outlineLevel="0" collapsed="false">
      <c r="A3211" s="115" t="n">
        <v>4092800.01</v>
      </c>
      <c r="B3211" s="115" t="n">
        <v>4094080</v>
      </c>
      <c r="C3211" s="115" t="n">
        <v>91954.5600000071</v>
      </c>
    </row>
    <row r="3212" customFormat="false" ht="15" hidden="false" customHeight="true" outlineLevel="0" collapsed="false">
      <c r="A3212" s="114" t="n">
        <v>4094080.01</v>
      </c>
      <c r="B3212" s="114" t="n">
        <v>4095360</v>
      </c>
      <c r="C3212" s="114" t="n">
        <v>91983.2200000071</v>
      </c>
    </row>
    <row r="3213" customFormat="false" ht="15" hidden="false" customHeight="true" outlineLevel="0" collapsed="false">
      <c r="A3213" s="115" t="n">
        <v>4095360.01</v>
      </c>
      <c r="B3213" s="115" t="n">
        <v>4096640</v>
      </c>
      <c r="C3213" s="115" t="n">
        <v>92011.8800000071</v>
      </c>
    </row>
    <row r="3214" customFormat="false" ht="15" hidden="false" customHeight="true" outlineLevel="0" collapsed="false">
      <c r="A3214" s="114" t="n">
        <v>4096640.01</v>
      </c>
      <c r="B3214" s="114" t="n">
        <v>4097920</v>
      </c>
      <c r="C3214" s="114" t="n">
        <v>92040.5400000071</v>
      </c>
    </row>
    <row r="3215" customFormat="false" ht="15" hidden="false" customHeight="true" outlineLevel="0" collapsed="false">
      <c r="A3215" s="115" t="n">
        <v>4097920.01</v>
      </c>
      <c r="B3215" s="115" t="n">
        <v>4099200</v>
      </c>
      <c r="C3215" s="115" t="n">
        <v>92069.2000000071</v>
      </c>
    </row>
    <row r="3216" customFormat="false" ht="15" hidden="false" customHeight="true" outlineLevel="0" collapsed="false">
      <c r="A3216" s="114" t="n">
        <v>4099200.01</v>
      </c>
      <c r="B3216" s="114" t="n">
        <v>4100480</v>
      </c>
      <c r="C3216" s="114" t="n">
        <v>92097.8600000071</v>
      </c>
    </row>
    <row r="3217" customFormat="false" ht="15" hidden="false" customHeight="true" outlineLevel="0" collapsed="false">
      <c r="A3217" s="115" t="n">
        <v>4100480.01</v>
      </c>
      <c r="B3217" s="115" t="n">
        <v>4101760</v>
      </c>
      <c r="C3217" s="115" t="n">
        <v>92126.5200000071</v>
      </c>
    </row>
    <row r="3218" customFormat="false" ht="15" hidden="false" customHeight="true" outlineLevel="0" collapsed="false">
      <c r="A3218" s="114" t="n">
        <v>4101760.01</v>
      </c>
      <c r="B3218" s="114" t="n">
        <v>4103040</v>
      </c>
      <c r="C3218" s="114" t="n">
        <v>92155.1800000071</v>
      </c>
    </row>
    <row r="3219" customFormat="false" ht="15" hidden="false" customHeight="true" outlineLevel="0" collapsed="false">
      <c r="A3219" s="115" t="n">
        <v>4103040.01</v>
      </c>
      <c r="B3219" s="115" t="n">
        <v>4104320</v>
      </c>
      <c r="C3219" s="115" t="n">
        <v>92183.8400000071</v>
      </c>
    </row>
    <row r="3220" customFormat="false" ht="15" hidden="false" customHeight="true" outlineLevel="0" collapsed="false">
      <c r="A3220" s="114" t="n">
        <v>4104320.01</v>
      </c>
      <c r="B3220" s="114" t="n">
        <v>4105600</v>
      </c>
      <c r="C3220" s="114" t="n">
        <v>92212.5000000071</v>
      </c>
    </row>
    <row r="3221" customFormat="false" ht="15" hidden="false" customHeight="true" outlineLevel="0" collapsed="false">
      <c r="A3221" s="115" t="n">
        <v>4105600.01</v>
      </c>
      <c r="B3221" s="115" t="n">
        <v>4106880</v>
      </c>
      <c r="C3221" s="115" t="n">
        <v>92241.1600000071</v>
      </c>
    </row>
    <row r="3222" customFormat="false" ht="15" hidden="false" customHeight="true" outlineLevel="0" collapsed="false">
      <c r="A3222" s="114" t="n">
        <v>4106880.01</v>
      </c>
      <c r="B3222" s="114" t="n">
        <v>4108160</v>
      </c>
      <c r="C3222" s="114" t="n">
        <v>92269.8200000071</v>
      </c>
    </row>
    <row r="3223" customFormat="false" ht="15" hidden="false" customHeight="true" outlineLevel="0" collapsed="false">
      <c r="A3223" s="115" t="n">
        <v>4108160.01</v>
      </c>
      <c r="B3223" s="115" t="n">
        <v>4109440</v>
      </c>
      <c r="C3223" s="115" t="n">
        <v>92298.4800000071</v>
      </c>
    </row>
    <row r="3224" customFormat="false" ht="15" hidden="false" customHeight="true" outlineLevel="0" collapsed="false">
      <c r="A3224" s="114" t="n">
        <v>4109440.01</v>
      </c>
      <c r="B3224" s="114" t="n">
        <v>4110720</v>
      </c>
      <c r="C3224" s="114" t="n">
        <v>92327.1400000071</v>
      </c>
    </row>
    <row r="3225" customFormat="false" ht="15" hidden="false" customHeight="true" outlineLevel="0" collapsed="false">
      <c r="A3225" s="115" t="n">
        <v>4110720.01</v>
      </c>
      <c r="B3225" s="115" t="n">
        <v>4112000</v>
      </c>
      <c r="C3225" s="115" t="n">
        <v>92355.8000000071</v>
      </c>
    </row>
    <row r="3226" customFormat="false" ht="15" hidden="false" customHeight="true" outlineLevel="0" collapsed="false">
      <c r="A3226" s="114" t="n">
        <v>4112000.01</v>
      </c>
      <c r="B3226" s="114" t="n">
        <v>4113280</v>
      </c>
      <c r="C3226" s="114" t="n">
        <v>92384.4600000071</v>
      </c>
    </row>
    <row r="3227" customFormat="false" ht="15" hidden="false" customHeight="true" outlineLevel="0" collapsed="false">
      <c r="A3227" s="115" t="n">
        <v>4113280.01</v>
      </c>
      <c r="B3227" s="115" t="n">
        <v>4114560</v>
      </c>
      <c r="C3227" s="115" t="n">
        <v>92413.1200000071</v>
      </c>
    </row>
    <row r="3228" customFormat="false" ht="15" hidden="false" customHeight="true" outlineLevel="0" collapsed="false">
      <c r="A3228" s="114" t="n">
        <v>4114560.01</v>
      </c>
      <c r="B3228" s="114" t="n">
        <v>4115840</v>
      </c>
      <c r="C3228" s="114" t="n">
        <v>92441.7800000071</v>
      </c>
    </row>
    <row r="3229" customFormat="false" ht="15" hidden="false" customHeight="true" outlineLevel="0" collapsed="false">
      <c r="A3229" s="115" t="n">
        <v>4115840.01</v>
      </c>
      <c r="B3229" s="115" t="n">
        <v>4117120</v>
      </c>
      <c r="C3229" s="115" t="n">
        <v>92470.4400000071</v>
      </c>
    </row>
    <row r="3230" customFormat="false" ht="15" hidden="false" customHeight="true" outlineLevel="0" collapsed="false">
      <c r="A3230" s="114" t="n">
        <v>4117120.01</v>
      </c>
      <c r="B3230" s="114" t="n">
        <v>4118400</v>
      </c>
      <c r="C3230" s="114" t="n">
        <v>92499.1000000071</v>
      </c>
    </row>
    <row r="3231" customFormat="false" ht="15" hidden="false" customHeight="true" outlineLevel="0" collapsed="false">
      <c r="A3231" s="115" t="n">
        <v>4118400.01</v>
      </c>
      <c r="B3231" s="115" t="n">
        <v>4119680</v>
      </c>
      <c r="C3231" s="115" t="n">
        <v>92527.7600000071</v>
      </c>
    </row>
    <row r="3232" customFormat="false" ht="15" hidden="false" customHeight="true" outlineLevel="0" collapsed="false">
      <c r="A3232" s="114" t="n">
        <v>4119680.01</v>
      </c>
      <c r="B3232" s="114" t="n">
        <v>4120960</v>
      </c>
      <c r="C3232" s="114" t="n">
        <v>92556.4200000071</v>
      </c>
    </row>
    <row r="3233" customFormat="false" ht="15" hidden="false" customHeight="true" outlineLevel="0" collapsed="false">
      <c r="A3233" s="115" t="n">
        <v>4120960.01</v>
      </c>
      <c r="B3233" s="115" t="n">
        <v>4122240</v>
      </c>
      <c r="C3233" s="115" t="n">
        <v>92585.0800000071</v>
      </c>
    </row>
    <row r="3234" customFormat="false" ht="15" hidden="false" customHeight="true" outlineLevel="0" collapsed="false">
      <c r="A3234" s="114" t="n">
        <v>4122240.01</v>
      </c>
      <c r="B3234" s="114" t="n">
        <v>4123520</v>
      </c>
      <c r="C3234" s="114" t="n">
        <v>92613.7400000071</v>
      </c>
    </row>
    <row r="3235" customFormat="false" ht="15" hidden="false" customHeight="true" outlineLevel="0" collapsed="false">
      <c r="A3235" s="115" t="n">
        <v>4123520.01</v>
      </c>
      <c r="B3235" s="115" t="n">
        <v>4124800</v>
      </c>
      <c r="C3235" s="115" t="n">
        <v>92642.4000000071</v>
      </c>
    </row>
    <row r="3236" customFormat="false" ht="15" hidden="false" customHeight="true" outlineLevel="0" collapsed="false">
      <c r="A3236" s="114" t="n">
        <v>4124800.01</v>
      </c>
      <c r="B3236" s="114" t="n">
        <v>4126080</v>
      </c>
      <c r="C3236" s="114" t="n">
        <v>92671.0600000071</v>
      </c>
    </row>
    <row r="3237" customFormat="false" ht="15" hidden="false" customHeight="true" outlineLevel="0" collapsed="false">
      <c r="A3237" s="115" t="n">
        <v>4126080.01</v>
      </c>
      <c r="B3237" s="115" t="n">
        <v>4127360</v>
      </c>
      <c r="C3237" s="115" t="n">
        <v>92699.7200000072</v>
      </c>
    </row>
    <row r="3238" customFormat="false" ht="15" hidden="false" customHeight="true" outlineLevel="0" collapsed="false">
      <c r="A3238" s="114" t="n">
        <v>4127360.01</v>
      </c>
      <c r="B3238" s="114" t="n">
        <v>4128640</v>
      </c>
      <c r="C3238" s="114" t="n">
        <v>92728.3800000072</v>
      </c>
    </row>
    <row r="3239" customFormat="false" ht="15" hidden="false" customHeight="true" outlineLevel="0" collapsed="false">
      <c r="A3239" s="115" t="n">
        <v>4128640.01</v>
      </c>
      <c r="B3239" s="115" t="n">
        <v>4129920</v>
      </c>
      <c r="C3239" s="115" t="n">
        <v>92757.0400000072</v>
      </c>
    </row>
    <row r="3240" customFormat="false" ht="15" hidden="false" customHeight="true" outlineLevel="0" collapsed="false">
      <c r="A3240" s="114" t="n">
        <v>4129920.01</v>
      </c>
      <c r="B3240" s="114" t="n">
        <v>4131200</v>
      </c>
      <c r="C3240" s="114" t="n">
        <v>92785.7000000072</v>
      </c>
    </row>
    <row r="3241" customFormat="false" ht="15" hidden="false" customHeight="true" outlineLevel="0" collapsed="false">
      <c r="A3241" s="115" t="n">
        <v>4131200.01</v>
      </c>
      <c r="B3241" s="115" t="n">
        <v>4132480</v>
      </c>
      <c r="C3241" s="115" t="n">
        <v>92814.3600000072</v>
      </c>
    </row>
    <row r="3242" customFormat="false" ht="15" hidden="false" customHeight="true" outlineLevel="0" collapsed="false">
      <c r="A3242" s="114" t="n">
        <v>4132480.01</v>
      </c>
      <c r="B3242" s="114" t="n">
        <v>4133760</v>
      </c>
      <c r="C3242" s="114" t="n">
        <v>92843.0200000072</v>
      </c>
    </row>
    <row r="3243" customFormat="false" ht="15" hidden="false" customHeight="true" outlineLevel="0" collapsed="false">
      <c r="A3243" s="115" t="n">
        <v>4133760.01</v>
      </c>
      <c r="B3243" s="115" t="n">
        <v>4135040</v>
      </c>
      <c r="C3243" s="115" t="n">
        <v>92871.6800000072</v>
      </c>
    </row>
    <row r="3244" customFormat="false" ht="15" hidden="false" customHeight="true" outlineLevel="0" collapsed="false">
      <c r="A3244" s="114" t="n">
        <v>4135040.01</v>
      </c>
      <c r="B3244" s="114" t="n">
        <v>4136320</v>
      </c>
      <c r="C3244" s="114" t="n">
        <v>92900.3400000072</v>
      </c>
    </row>
    <row r="3245" customFormat="false" ht="15" hidden="false" customHeight="true" outlineLevel="0" collapsed="false">
      <c r="A3245" s="115" t="n">
        <v>4136320.01</v>
      </c>
      <c r="B3245" s="115" t="n">
        <v>4137600</v>
      </c>
      <c r="C3245" s="115" t="n">
        <v>92929.0000000072</v>
      </c>
    </row>
    <row r="3246" customFormat="false" ht="15" hidden="false" customHeight="true" outlineLevel="0" collapsed="false">
      <c r="A3246" s="114" t="n">
        <v>4137600.01</v>
      </c>
      <c r="B3246" s="114" t="n">
        <v>4138880</v>
      </c>
      <c r="C3246" s="114" t="n">
        <v>92957.6600000072</v>
      </c>
    </row>
    <row r="3247" customFormat="false" ht="15" hidden="false" customHeight="true" outlineLevel="0" collapsed="false">
      <c r="A3247" s="115" t="n">
        <v>4138880.01</v>
      </c>
      <c r="B3247" s="115" t="n">
        <v>4140160</v>
      </c>
      <c r="C3247" s="115" t="n">
        <v>92986.3200000072</v>
      </c>
    </row>
    <row r="3248" customFormat="false" ht="15" hidden="false" customHeight="true" outlineLevel="0" collapsed="false">
      <c r="A3248" s="114" t="n">
        <v>4140160.01</v>
      </c>
      <c r="B3248" s="114" t="n">
        <v>4141440</v>
      </c>
      <c r="C3248" s="114" t="n">
        <v>93014.9800000072</v>
      </c>
    </row>
    <row r="3249" customFormat="false" ht="15" hidden="false" customHeight="true" outlineLevel="0" collapsed="false">
      <c r="A3249" s="115" t="n">
        <v>4141440.01</v>
      </c>
      <c r="B3249" s="115" t="n">
        <v>4142720</v>
      </c>
      <c r="C3249" s="115" t="n">
        <v>93043.6400000072</v>
      </c>
    </row>
    <row r="3250" customFormat="false" ht="15" hidden="false" customHeight="true" outlineLevel="0" collapsed="false">
      <c r="A3250" s="114" t="n">
        <v>4142720.01</v>
      </c>
      <c r="B3250" s="114" t="n">
        <v>4144000</v>
      </c>
      <c r="C3250" s="114" t="n">
        <v>93072.3000000072</v>
      </c>
    </row>
    <row r="3251" customFormat="false" ht="15" hidden="false" customHeight="true" outlineLevel="0" collapsed="false">
      <c r="A3251" s="115" t="n">
        <v>4144000.01</v>
      </c>
      <c r="B3251" s="115" t="n">
        <v>4145280</v>
      </c>
      <c r="C3251" s="115" t="n">
        <v>93100.9600000072</v>
      </c>
    </row>
    <row r="3252" customFormat="false" ht="15" hidden="false" customHeight="true" outlineLevel="0" collapsed="false">
      <c r="A3252" s="114" t="n">
        <v>4145280.01</v>
      </c>
      <c r="B3252" s="114" t="n">
        <v>4146560</v>
      </c>
      <c r="C3252" s="114" t="n">
        <v>93129.6200000072</v>
      </c>
    </row>
    <row r="3253" customFormat="false" ht="15" hidden="false" customHeight="true" outlineLevel="0" collapsed="false">
      <c r="A3253" s="115" t="n">
        <v>4146560.01</v>
      </c>
      <c r="B3253" s="115" t="n">
        <v>4147840</v>
      </c>
      <c r="C3253" s="115" t="n">
        <v>93158.2800000072</v>
      </c>
    </row>
    <row r="3254" customFormat="false" ht="15" hidden="false" customHeight="true" outlineLevel="0" collapsed="false">
      <c r="A3254" s="114" t="n">
        <v>4147840.01</v>
      </c>
      <c r="B3254" s="114" t="n">
        <v>4149120</v>
      </c>
      <c r="C3254" s="114" t="n">
        <v>93186.9400000072</v>
      </c>
    </row>
    <row r="3255" customFormat="false" ht="15" hidden="false" customHeight="true" outlineLevel="0" collapsed="false">
      <c r="A3255" s="115" t="n">
        <v>4149120.01</v>
      </c>
      <c r="B3255" s="115" t="n">
        <v>4150400</v>
      </c>
      <c r="C3255" s="115" t="n">
        <v>93215.6000000072</v>
      </c>
    </row>
    <row r="3256" customFormat="false" ht="15" hidden="false" customHeight="true" outlineLevel="0" collapsed="false">
      <c r="A3256" s="114" t="n">
        <v>4150400.01</v>
      </c>
      <c r="B3256" s="114" t="n">
        <v>4151680</v>
      </c>
      <c r="C3256" s="114" t="n">
        <v>93244.2600000072</v>
      </c>
    </row>
    <row r="3257" customFormat="false" ht="15" hidden="false" customHeight="true" outlineLevel="0" collapsed="false">
      <c r="A3257" s="115" t="n">
        <v>4151680.01</v>
      </c>
      <c r="B3257" s="115" t="n">
        <v>4152960</v>
      </c>
      <c r="C3257" s="115" t="n">
        <v>93272.9200000072</v>
      </c>
    </row>
    <row r="3258" customFormat="false" ht="15" hidden="false" customHeight="true" outlineLevel="0" collapsed="false">
      <c r="A3258" s="114" t="n">
        <v>4152960.01</v>
      </c>
      <c r="B3258" s="114" t="n">
        <v>4154240</v>
      </c>
      <c r="C3258" s="114" t="n">
        <v>93301.5800000072</v>
      </c>
    </row>
    <row r="3259" customFormat="false" ht="15" hidden="false" customHeight="true" outlineLevel="0" collapsed="false">
      <c r="A3259" s="115" t="n">
        <v>4154240.01</v>
      </c>
      <c r="B3259" s="115" t="n">
        <v>4155520</v>
      </c>
      <c r="C3259" s="115" t="n">
        <v>93330.2400000072</v>
      </c>
    </row>
    <row r="3260" customFormat="false" ht="15" hidden="false" customHeight="true" outlineLevel="0" collapsed="false">
      <c r="A3260" s="114" t="n">
        <v>4155520.01</v>
      </c>
      <c r="B3260" s="114" t="n">
        <v>4156800</v>
      </c>
      <c r="C3260" s="114" t="n">
        <v>93358.9000000072</v>
      </c>
    </row>
    <row r="3261" customFormat="false" ht="15" hidden="false" customHeight="true" outlineLevel="0" collapsed="false">
      <c r="A3261" s="115" t="n">
        <v>4156800.01</v>
      </c>
      <c r="B3261" s="115" t="n">
        <v>4158080</v>
      </c>
      <c r="C3261" s="115" t="n">
        <v>93387.5600000072</v>
      </c>
    </row>
    <row r="3262" customFormat="false" ht="15" hidden="false" customHeight="true" outlineLevel="0" collapsed="false">
      <c r="A3262" s="114" t="n">
        <v>4158080.01</v>
      </c>
      <c r="B3262" s="114" t="n">
        <v>4159360</v>
      </c>
      <c r="C3262" s="114" t="n">
        <v>93416.2200000072</v>
      </c>
    </row>
    <row r="3263" customFormat="false" ht="15" hidden="false" customHeight="true" outlineLevel="0" collapsed="false">
      <c r="A3263" s="115" t="n">
        <v>4159360.01</v>
      </c>
      <c r="B3263" s="115" t="n">
        <v>4160640</v>
      </c>
      <c r="C3263" s="115" t="n">
        <v>93444.8800000072</v>
      </c>
    </row>
    <row r="3264" customFormat="false" ht="15" hidden="false" customHeight="true" outlineLevel="0" collapsed="false">
      <c r="A3264" s="114" t="n">
        <v>4160640.01</v>
      </c>
      <c r="B3264" s="114" t="n">
        <v>4161920</v>
      </c>
      <c r="C3264" s="114" t="n">
        <v>93473.5400000072</v>
      </c>
    </row>
    <row r="3265" customFormat="false" ht="15" hidden="false" customHeight="true" outlineLevel="0" collapsed="false">
      <c r="A3265" s="115" t="n">
        <v>4161920.01</v>
      </c>
      <c r="B3265" s="115" t="n">
        <v>4163200</v>
      </c>
      <c r="C3265" s="115" t="n">
        <v>93502.2000000072</v>
      </c>
    </row>
    <row r="3266" customFormat="false" ht="15" hidden="false" customHeight="true" outlineLevel="0" collapsed="false">
      <c r="A3266" s="114" t="n">
        <v>4163200.01</v>
      </c>
      <c r="B3266" s="114" t="n">
        <v>4164480</v>
      </c>
      <c r="C3266" s="114" t="n">
        <v>93530.8600000073</v>
      </c>
    </row>
    <row r="3267" customFormat="false" ht="15" hidden="false" customHeight="true" outlineLevel="0" collapsed="false">
      <c r="A3267" s="115" t="n">
        <v>4164480.01</v>
      </c>
      <c r="B3267" s="115" t="n">
        <v>4165760</v>
      </c>
      <c r="C3267" s="115" t="n">
        <v>93559.5200000073</v>
      </c>
    </row>
    <row r="3268" customFormat="false" ht="15" hidden="false" customHeight="true" outlineLevel="0" collapsed="false">
      <c r="A3268" s="114" t="n">
        <v>4165760.01</v>
      </c>
      <c r="B3268" s="114" t="n">
        <v>4167040</v>
      </c>
      <c r="C3268" s="114" t="n">
        <v>93588.1800000073</v>
      </c>
    </row>
    <row r="3269" customFormat="false" ht="15" hidden="false" customHeight="true" outlineLevel="0" collapsed="false">
      <c r="A3269" s="115" t="n">
        <v>4167040.01</v>
      </c>
      <c r="B3269" s="115" t="n">
        <v>4168320</v>
      </c>
      <c r="C3269" s="115" t="n">
        <v>93616.8400000073</v>
      </c>
    </row>
    <row r="3270" customFormat="false" ht="15" hidden="false" customHeight="true" outlineLevel="0" collapsed="false">
      <c r="A3270" s="114" t="n">
        <v>4168320.01</v>
      </c>
      <c r="B3270" s="114" t="n">
        <v>4169600</v>
      </c>
      <c r="C3270" s="114" t="n">
        <v>93645.5000000073</v>
      </c>
    </row>
    <row r="3271" customFormat="false" ht="15" hidden="false" customHeight="true" outlineLevel="0" collapsed="false">
      <c r="A3271" s="115" t="n">
        <v>4169600.01</v>
      </c>
      <c r="B3271" s="115" t="n">
        <v>4170880</v>
      </c>
      <c r="C3271" s="115" t="n">
        <v>93674.1600000073</v>
      </c>
    </row>
    <row r="3272" customFormat="false" ht="15" hidden="false" customHeight="true" outlineLevel="0" collapsed="false">
      <c r="A3272" s="114" t="n">
        <v>4170880.01</v>
      </c>
      <c r="B3272" s="114" t="n">
        <v>4172160</v>
      </c>
      <c r="C3272" s="114" t="n">
        <v>93702.8200000073</v>
      </c>
    </row>
    <row r="3273" customFormat="false" ht="15" hidden="false" customHeight="true" outlineLevel="0" collapsed="false">
      <c r="A3273" s="115" t="n">
        <v>4172160.01</v>
      </c>
      <c r="B3273" s="115" t="n">
        <v>4173440</v>
      </c>
      <c r="C3273" s="115" t="n">
        <v>93731.4800000073</v>
      </c>
    </row>
    <row r="3274" customFormat="false" ht="15" hidden="false" customHeight="true" outlineLevel="0" collapsed="false">
      <c r="A3274" s="114" t="n">
        <v>4173440.01</v>
      </c>
      <c r="B3274" s="114" t="n">
        <v>4174720</v>
      </c>
      <c r="C3274" s="114" t="n">
        <v>93760.1400000073</v>
      </c>
    </row>
    <row r="3275" customFormat="false" ht="15" hidden="false" customHeight="true" outlineLevel="0" collapsed="false">
      <c r="A3275" s="115" t="n">
        <v>4174720.01</v>
      </c>
      <c r="B3275" s="115" t="n">
        <v>4176000</v>
      </c>
      <c r="C3275" s="115" t="n">
        <v>93788.8000000073</v>
      </c>
    </row>
    <row r="3276" customFormat="false" ht="15" hidden="false" customHeight="true" outlineLevel="0" collapsed="false">
      <c r="A3276" s="114" t="n">
        <v>4176000.01</v>
      </c>
      <c r="B3276" s="114" t="n">
        <v>4177280</v>
      </c>
      <c r="C3276" s="114" t="n">
        <v>93817.4600000073</v>
      </c>
    </row>
    <row r="3277" customFormat="false" ht="15" hidden="false" customHeight="true" outlineLevel="0" collapsed="false">
      <c r="A3277" s="115" t="n">
        <v>4177280.01</v>
      </c>
      <c r="B3277" s="115" t="n">
        <v>4178560</v>
      </c>
      <c r="C3277" s="115" t="n">
        <v>93846.1200000073</v>
      </c>
    </row>
    <row r="3278" customFormat="false" ht="15" hidden="false" customHeight="true" outlineLevel="0" collapsed="false">
      <c r="A3278" s="114" t="n">
        <v>4178560.01</v>
      </c>
      <c r="B3278" s="114" t="n">
        <v>4179840</v>
      </c>
      <c r="C3278" s="114" t="n">
        <v>93874.7800000073</v>
      </c>
    </row>
    <row r="3279" customFormat="false" ht="15" hidden="false" customHeight="true" outlineLevel="0" collapsed="false">
      <c r="A3279" s="115" t="n">
        <v>4179840.01</v>
      </c>
      <c r="B3279" s="115" t="n">
        <v>4181120</v>
      </c>
      <c r="C3279" s="115" t="n">
        <v>93903.4400000073</v>
      </c>
    </row>
    <row r="3280" customFormat="false" ht="15" hidden="false" customHeight="true" outlineLevel="0" collapsed="false">
      <c r="A3280" s="114" t="n">
        <v>4181120.01</v>
      </c>
      <c r="B3280" s="114" t="n">
        <v>4182400</v>
      </c>
      <c r="C3280" s="114" t="n">
        <v>93932.1000000073</v>
      </c>
    </row>
    <row r="3281" customFormat="false" ht="15" hidden="false" customHeight="true" outlineLevel="0" collapsed="false">
      <c r="A3281" s="115" t="n">
        <v>4182400.01</v>
      </c>
      <c r="B3281" s="115" t="n">
        <v>4183680</v>
      </c>
      <c r="C3281" s="115" t="n">
        <v>93960.7600000073</v>
      </c>
    </row>
    <row r="3282" customFormat="false" ht="15" hidden="false" customHeight="true" outlineLevel="0" collapsed="false">
      <c r="A3282" s="114" t="n">
        <v>4183680.01</v>
      </c>
      <c r="B3282" s="114" t="n">
        <v>4184960</v>
      </c>
      <c r="C3282" s="114" t="n">
        <v>93989.4200000073</v>
      </c>
    </row>
    <row r="3283" customFormat="false" ht="15" hidden="false" customHeight="true" outlineLevel="0" collapsed="false">
      <c r="A3283" s="115" t="n">
        <v>4184960.01</v>
      </c>
      <c r="B3283" s="115" t="n">
        <v>4186240</v>
      </c>
      <c r="C3283" s="115" t="n">
        <v>94018.0800000073</v>
      </c>
    </row>
    <row r="3284" customFormat="false" ht="15" hidden="false" customHeight="true" outlineLevel="0" collapsed="false">
      <c r="A3284" s="114" t="n">
        <v>4186240.01</v>
      </c>
      <c r="B3284" s="114" t="n">
        <v>4187520</v>
      </c>
      <c r="C3284" s="114" t="n">
        <v>94046.7400000073</v>
      </c>
    </row>
    <row r="3285" customFormat="false" ht="15" hidden="false" customHeight="true" outlineLevel="0" collapsed="false">
      <c r="A3285" s="115" t="n">
        <v>4187520.01</v>
      </c>
      <c r="B3285" s="115" t="n">
        <v>4188800</v>
      </c>
      <c r="C3285" s="115" t="n">
        <v>94075.4000000073</v>
      </c>
    </row>
    <row r="3286" customFormat="false" ht="15" hidden="false" customHeight="true" outlineLevel="0" collapsed="false">
      <c r="A3286" s="114" t="n">
        <v>4188800.01</v>
      </c>
      <c r="B3286" s="114" t="n">
        <v>4190080</v>
      </c>
      <c r="C3286" s="114" t="n">
        <v>94104.0600000073</v>
      </c>
    </row>
    <row r="3287" customFormat="false" ht="15" hidden="false" customHeight="true" outlineLevel="0" collapsed="false">
      <c r="A3287" s="115" t="n">
        <v>4190080.01</v>
      </c>
      <c r="B3287" s="115" t="n">
        <v>4191360</v>
      </c>
      <c r="C3287" s="115" t="n">
        <v>94132.7200000073</v>
      </c>
    </row>
    <row r="3288" customFormat="false" ht="15" hidden="false" customHeight="true" outlineLevel="0" collapsed="false">
      <c r="A3288" s="114" t="n">
        <v>4191360.01</v>
      </c>
      <c r="B3288" s="114" t="n">
        <v>4192640</v>
      </c>
      <c r="C3288" s="114" t="n">
        <v>94161.3800000073</v>
      </c>
    </row>
    <row r="3289" customFormat="false" ht="15" hidden="false" customHeight="true" outlineLevel="0" collapsed="false">
      <c r="A3289" s="115" t="n">
        <v>4192640.01</v>
      </c>
      <c r="B3289" s="115" t="n">
        <v>4193920</v>
      </c>
      <c r="C3289" s="115" t="n">
        <v>94190.0400000073</v>
      </c>
    </row>
    <row r="3290" customFormat="false" ht="15" hidden="false" customHeight="true" outlineLevel="0" collapsed="false">
      <c r="A3290" s="114" t="n">
        <v>4193920.01</v>
      </c>
      <c r="B3290" s="114" t="n">
        <v>4195200</v>
      </c>
      <c r="C3290" s="114" t="n">
        <v>94218.7000000073</v>
      </c>
    </row>
    <row r="3291" customFormat="false" ht="15" hidden="false" customHeight="true" outlineLevel="0" collapsed="false">
      <c r="A3291" s="115" t="n">
        <v>4195200.01</v>
      </c>
      <c r="B3291" s="115" t="n">
        <v>4196480</v>
      </c>
      <c r="C3291" s="115" t="n">
        <v>94247.3600000073</v>
      </c>
    </row>
    <row r="3292" customFormat="false" ht="15" hidden="false" customHeight="true" outlineLevel="0" collapsed="false">
      <c r="A3292" s="114" t="n">
        <v>4196480.01</v>
      </c>
      <c r="B3292" s="114" t="n">
        <v>4197760</v>
      </c>
      <c r="C3292" s="114" t="n">
        <v>94276.0200000073</v>
      </c>
    </row>
    <row r="3293" customFormat="false" ht="15" hidden="false" customHeight="true" outlineLevel="0" collapsed="false">
      <c r="A3293" s="115" t="n">
        <v>4197760.01</v>
      </c>
      <c r="B3293" s="115" t="n">
        <v>4199040</v>
      </c>
      <c r="C3293" s="115" t="n">
        <v>94304.6800000073</v>
      </c>
    </row>
    <row r="3294" customFormat="false" ht="15" hidden="false" customHeight="true" outlineLevel="0" collapsed="false">
      <c r="A3294" s="114" t="n">
        <v>4199040.01</v>
      </c>
      <c r="B3294" s="114" t="n">
        <v>4200320</v>
      </c>
      <c r="C3294" s="114" t="n">
        <v>94333.3400000074</v>
      </c>
    </row>
    <row r="3295" customFormat="false" ht="15" hidden="false" customHeight="true" outlineLevel="0" collapsed="false">
      <c r="A3295" s="115" t="n">
        <v>4200320.01</v>
      </c>
      <c r="B3295" s="115" t="n">
        <v>4201600</v>
      </c>
      <c r="C3295" s="115" t="n">
        <v>94362.0000000074</v>
      </c>
    </row>
    <row r="3296" customFormat="false" ht="15" hidden="false" customHeight="true" outlineLevel="0" collapsed="false">
      <c r="A3296" s="114" t="n">
        <v>4201600.01</v>
      </c>
      <c r="B3296" s="114" t="n">
        <v>4202880</v>
      </c>
      <c r="C3296" s="114" t="n">
        <v>94390.6600000074</v>
      </c>
    </row>
    <row r="3297" customFormat="false" ht="15" hidden="false" customHeight="true" outlineLevel="0" collapsed="false">
      <c r="A3297" s="115" t="n">
        <v>4202880.01</v>
      </c>
      <c r="B3297" s="115" t="n">
        <v>4204160</v>
      </c>
      <c r="C3297" s="115" t="n">
        <v>94419.3200000074</v>
      </c>
    </row>
    <row r="3298" customFormat="false" ht="15" hidden="false" customHeight="true" outlineLevel="0" collapsed="false">
      <c r="A3298" s="114" t="n">
        <v>4204160.01</v>
      </c>
      <c r="B3298" s="114" t="n">
        <v>4205440</v>
      </c>
      <c r="C3298" s="114" t="n">
        <v>94447.9800000074</v>
      </c>
    </row>
    <row r="3299" customFormat="false" ht="15" hidden="false" customHeight="true" outlineLevel="0" collapsed="false">
      <c r="A3299" s="115" t="n">
        <v>4205440.01</v>
      </c>
      <c r="B3299" s="115" t="n">
        <v>4206720</v>
      </c>
      <c r="C3299" s="115" t="n">
        <v>94476.6400000074</v>
      </c>
    </row>
    <row r="3300" customFormat="false" ht="15" hidden="false" customHeight="true" outlineLevel="0" collapsed="false">
      <c r="A3300" s="114" t="n">
        <v>4206720.01</v>
      </c>
      <c r="B3300" s="114" t="n">
        <v>4208000</v>
      </c>
      <c r="C3300" s="114" t="n">
        <v>94505.3000000074</v>
      </c>
    </row>
    <row r="3301" customFormat="false" ht="15" hidden="false" customHeight="true" outlineLevel="0" collapsed="false">
      <c r="A3301" s="115" t="n">
        <v>4208000.01</v>
      </c>
      <c r="B3301" s="115" t="n">
        <v>4209280</v>
      </c>
      <c r="C3301" s="115" t="n">
        <v>94533.9600000074</v>
      </c>
    </row>
    <row r="3302" customFormat="false" ht="15" hidden="false" customHeight="true" outlineLevel="0" collapsed="false">
      <c r="A3302" s="114" t="n">
        <v>4209280.01</v>
      </c>
      <c r="B3302" s="114" t="n">
        <v>4210560</v>
      </c>
      <c r="C3302" s="114" t="n">
        <v>94562.6200000074</v>
      </c>
    </row>
    <row r="3303" customFormat="false" ht="15" hidden="false" customHeight="true" outlineLevel="0" collapsed="false">
      <c r="A3303" s="115" t="n">
        <v>4210560.01</v>
      </c>
      <c r="B3303" s="115" t="n">
        <v>4211840</v>
      </c>
      <c r="C3303" s="115" t="n">
        <v>94591.2800000074</v>
      </c>
    </row>
    <row r="3304" customFormat="false" ht="15" hidden="false" customHeight="true" outlineLevel="0" collapsed="false">
      <c r="A3304" s="114" t="n">
        <v>4211840.01</v>
      </c>
      <c r="B3304" s="114" t="n">
        <v>4213120</v>
      </c>
      <c r="C3304" s="114" t="n">
        <v>94619.9400000074</v>
      </c>
    </row>
    <row r="3305" customFormat="false" ht="15" hidden="false" customHeight="true" outlineLevel="0" collapsed="false">
      <c r="A3305" s="115" t="n">
        <v>4213120.01</v>
      </c>
      <c r="B3305" s="115" t="n">
        <v>4214400</v>
      </c>
      <c r="C3305" s="115" t="n">
        <v>94648.6000000074</v>
      </c>
    </row>
    <row r="3306" customFormat="false" ht="15" hidden="false" customHeight="true" outlineLevel="0" collapsed="false">
      <c r="A3306" s="114" t="n">
        <v>4214400.01</v>
      </c>
      <c r="B3306" s="114" t="n">
        <v>4215680</v>
      </c>
      <c r="C3306" s="114" t="n">
        <v>94677.2600000074</v>
      </c>
    </row>
    <row r="3307" customFormat="false" ht="15" hidden="false" customHeight="true" outlineLevel="0" collapsed="false">
      <c r="A3307" s="115" t="n">
        <v>4215680.01</v>
      </c>
      <c r="B3307" s="115" t="n">
        <v>4216960</v>
      </c>
      <c r="C3307" s="115" t="n">
        <v>94705.9200000074</v>
      </c>
    </row>
    <row r="3308" customFormat="false" ht="15" hidden="false" customHeight="true" outlineLevel="0" collapsed="false">
      <c r="A3308" s="114" t="n">
        <v>4216960.01</v>
      </c>
      <c r="B3308" s="114" t="n">
        <v>4218240</v>
      </c>
      <c r="C3308" s="114" t="n">
        <v>94734.5800000074</v>
      </c>
    </row>
    <row r="3309" customFormat="false" ht="15" hidden="false" customHeight="true" outlineLevel="0" collapsed="false">
      <c r="A3309" s="115" t="n">
        <v>4218240.01</v>
      </c>
      <c r="B3309" s="115" t="n">
        <v>4219520</v>
      </c>
      <c r="C3309" s="115" t="n">
        <v>94763.2400000074</v>
      </c>
    </row>
    <row r="3310" customFormat="false" ht="15" hidden="false" customHeight="true" outlineLevel="0" collapsed="false">
      <c r="A3310" s="114" t="n">
        <v>4219520.01</v>
      </c>
      <c r="B3310" s="114" t="n">
        <v>4220800</v>
      </c>
      <c r="C3310" s="114" t="n">
        <v>94791.9000000074</v>
      </c>
    </row>
    <row r="3311" customFormat="false" ht="15" hidden="false" customHeight="true" outlineLevel="0" collapsed="false">
      <c r="A3311" s="115" t="n">
        <v>4220800.01</v>
      </c>
      <c r="B3311" s="115" t="n">
        <v>4222080</v>
      </c>
      <c r="C3311" s="115" t="n">
        <v>94820.5600000074</v>
      </c>
    </row>
    <row r="3312" customFormat="false" ht="15" hidden="false" customHeight="true" outlineLevel="0" collapsed="false">
      <c r="A3312" s="114" t="n">
        <v>4222080.01</v>
      </c>
      <c r="B3312" s="114" t="n">
        <v>4223360</v>
      </c>
      <c r="C3312" s="114" t="n">
        <v>94849.2200000074</v>
      </c>
    </row>
    <row r="3313" customFormat="false" ht="15" hidden="false" customHeight="true" outlineLevel="0" collapsed="false">
      <c r="A3313" s="115" t="n">
        <v>4223360.01</v>
      </c>
      <c r="B3313" s="115" t="n">
        <v>4224640</v>
      </c>
      <c r="C3313" s="115" t="n">
        <v>94877.8800000074</v>
      </c>
    </row>
    <row r="3314" customFormat="false" ht="15" hidden="false" customHeight="true" outlineLevel="0" collapsed="false">
      <c r="A3314" s="114" t="n">
        <v>4224640.01</v>
      </c>
      <c r="B3314" s="114" t="n">
        <v>4225920</v>
      </c>
      <c r="C3314" s="114" t="n">
        <v>94906.5400000074</v>
      </c>
    </row>
    <row r="3315" customFormat="false" ht="15" hidden="false" customHeight="true" outlineLevel="0" collapsed="false">
      <c r="A3315" s="115" t="n">
        <v>4225920.01</v>
      </c>
      <c r="B3315" s="115" t="n">
        <v>4227200</v>
      </c>
      <c r="C3315" s="115" t="n">
        <v>94935.2000000074</v>
      </c>
    </row>
    <row r="3316" customFormat="false" ht="15" hidden="false" customHeight="true" outlineLevel="0" collapsed="false">
      <c r="A3316" s="114" t="n">
        <v>4227200.01</v>
      </c>
      <c r="B3316" s="114" t="n">
        <v>4228480</v>
      </c>
      <c r="C3316" s="114" t="n">
        <v>94963.8600000074</v>
      </c>
    </row>
    <row r="3317" customFormat="false" ht="15" hidden="false" customHeight="true" outlineLevel="0" collapsed="false">
      <c r="A3317" s="115" t="n">
        <v>4228480.01</v>
      </c>
      <c r="B3317" s="115" t="n">
        <v>4229760</v>
      </c>
      <c r="C3317" s="115" t="n">
        <v>94992.5200000074</v>
      </c>
    </row>
    <row r="3318" customFormat="false" ht="15" hidden="false" customHeight="true" outlineLevel="0" collapsed="false">
      <c r="A3318" s="114" t="n">
        <v>4229760.01</v>
      </c>
      <c r="B3318" s="114" t="n">
        <v>4231040</v>
      </c>
      <c r="C3318" s="114" t="n">
        <v>95021.1800000074</v>
      </c>
    </row>
    <row r="3319" customFormat="false" ht="15" hidden="false" customHeight="true" outlineLevel="0" collapsed="false">
      <c r="A3319" s="115" t="n">
        <v>4231040.01</v>
      </c>
      <c r="B3319" s="115" t="n">
        <v>4232320</v>
      </c>
      <c r="C3319" s="115" t="n">
        <v>95049.8400000074</v>
      </c>
    </row>
    <row r="3320" customFormat="false" ht="15" hidden="false" customHeight="true" outlineLevel="0" collapsed="false">
      <c r="A3320" s="114" t="n">
        <v>4232320.01</v>
      </c>
      <c r="B3320" s="114" t="n">
        <v>4233600</v>
      </c>
      <c r="C3320" s="114" t="n">
        <v>95078.5000000074</v>
      </c>
    </row>
    <row r="3321" customFormat="false" ht="15" hidden="false" customHeight="true" outlineLevel="0" collapsed="false">
      <c r="A3321" s="115" t="n">
        <v>4233600.01</v>
      </c>
      <c r="B3321" s="115" t="n">
        <v>4234880</v>
      </c>
      <c r="C3321" s="115" t="n">
        <v>95107.1600000074</v>
      </c>
    </row>
    <row r="3322" customFormat="false" ht="15" hidden="false" customHeight="true" outlineLevel="0" collapsed="false">
      <c r="A3322" s="114" t="n">
        <v>4234880.01</v>
      </c>
      <c r="B3322" s="114" t="n">
        <v>4236160</v>
      </c>
      <c r="C3322" s="114" t="n">
        <v>95135.8200000074</v>
      </c>
    </row>
    <row r="3323" customFormat="false" ht="15" hidden="false" customHeight="true" outlineLevel="0" collapsed="false">
      <c r="A3323" s="115" t="n">
        <v>4236160.01</v>
      </c>
      <c r="B3323" s="115" t="n">
        <v>4237440</v>
      </c>
      <c r="C3323" s="115" t="n">
        <v>95164.4800000075</v>
      </c>
    </row>
    <row r="3324" customFormat="false" ht="15" hidden="false" customHeight="true" outlineLevel="0" collapsed="false">
      <c r="A3324" s="114" t="n">
        <v>4237440.01</v>
      </c>
      <c r="B3324" s="114" t="n">
        <v>4238720</v>
      </c>
      <c r="C3324" s="114" t="n">
        <v>95193.1400000075</v>
      </c>
    </row>
    <row r="3325" customFormat="false" ht="15" hidden="false" customHeight="true" outlineLevel="0" collapsed="false">
      <c r="A3325" s="115" t="n">
        <v>4238720.01</v>
      </c>
      <c r="B3325" s="115" t="n">
        <v>4240000</v>
      </c>
      <c r="C3325" s="115" t="n">
        <v>95221.8000000075</v>
      </c>
    </row>
    <row r="3326" customFormat="false" ht="15" hidden="false" customHeight="true" outlineLevel="0" collapsed="false">
      <c r="A3326" s="114" t="n">
        <v>4240000.01</v>
      </c>
      <c r="B3326" s="114" t="n">
        <v>4241280</v>
      </c>
      <c r="C3326" s="114" t="n">
        <v>95250.4600000075</v>
      </c>
    </row>
    <row r="3327" customFormat="false" ht="15" hidden="false" customHeight="true" outlineLevel="0" collapsed="false">
      <c r="A3327" s="115" t="n">
        <v>4241280.01</v>
      </c>
      <c r="B3327" s="115" t="n">
        <v>4242560</v>
      </c>
      <c r="C3327" s="115" t="n">
        <v>95279.1200000075</v>
      </c>
    </row>
    <row r="3328" customFormat="false" ht="15" hidden="false" customHeight="true" outlineLevel="0" collapsed="false">
      <c r="A3328" s="114" t="n">
        <v>4242560.01</v>
      </c>
      <c r="B3328" s="114" t="n">
        <v>4243840</v>
      </c>
      <c r="C3328" s="114" t="n">
        <v>95307.7800000075</v>
      </c>
    </row>
    <row r="3329" customFormat="false" ht="15" hidden="false" customHeight="true" outlineLevel="0" collapsed="false">
      <c r="A3329" s="115" t="n">
        <v>4243840.01</v>
      </c>
      <c r="B3329" s="115" t="n">
        <v>4245120</v>
      </c>
      <c r="C3329" s="115" t="n">
        <v>95336.4400000075</v>
      </c>
    </row>
    <row r="3330" customFormat="false" ht="15" hidden="false" customHeight="true" outlineLevel="0" collapsed="false">
      <c r="A3330" s="114" t="n">
        <v>4245120.01</v>
      </c>
      <c r="B3330" s="114" t="n">
        <v>4246400</v>
      </c>
      <c r="C3330" s="114" t="n">
        <v>95365.1000000075</v>
      </c>
    </row>
    <row r="3331" customFormat="false" ht="15" hidden="false" customHeight="true" outlineLevel="0" collapsed="false">
      <c r="A3331" s="115" t="n">
        <v>4246400.01</v>
      </c>
      <c r="B3331" s="115" t="n">
        <v>4247680</v>
      </c>
      <c r="C3331" s="115" t="n">
        <v>95393.7600000075</v>
      </c>
    </row>
    <row r="3332" customFormat="false" ht="15" hidden="false" customHeight="true" outlineLevel="0" collapsed="false">
      <c r="A3332" s="114" t="n">
        <v>4247680.01</v>
      </c>
      <c r="B3332" s="114" t="n">
        <v>4248960</v>
      </c>
      <c r="C3332" s="114" t="n">
        <v>95422.4200000075</v>
      </c>
    </row>
    <row r="3333" customFormat="false" ht="15" hidden="false" customHeight="true" outlineLevel="0" collapsed="false">
      <c r="A3333" s="115" t="n">
        <v>4248960.01</v>
      </c>
      <c r="B3333" s="115" t="n">
        <v>4250240</v>
      </c>
      <c r="C3333" s="115" t="n">
        <v>95451.0800000075</v>
      </c>
    </row>
    <row r="3334" customFormat="false" ht="15" hidden="false" customHeight="true" outlineLevel="0" collapsed="false">
      <c r="A3334" s="114" t="n">
        <v>4250240.01</v>
      </c>
      <c r="B3334" s="114" t="n">
        <v>4251520</v>
      </c>
      <c r="C3334" s="114" t="n">
        <v>95479.7400000075</v>
      </c>
    </row>
    <row r="3335" customFormat="false" ht="15" hidden="false" customHeight="true" outlineLevel="0" collapsed="false">
      <c r="A3335" s="115" t="n">
        <v>4251520.01</v>
      </c>
      <c r="B3335" s="115" t="n">
        <v>4252800</v>
      </c>
      <c r="C3335" s="115" t="n">
        <v>95508.4000000075</v>
      </c>
    </row>
    <row r="3336" customFormat="false" ht="15" hidden="false" customHeight="true" outlineLevel="0" collapsed="false">
      <c r="A3336" s="114" t="n">
        <v>4252800.01</v>
      </c>
      <c r="B3336" s="114" t="n">
        <v>4254080</v>
      </c>
      <c r="C3336" s="114" t="n">
        <v>95537.0600000075</v>
      </c>
    </row>
    <row r="3337" customFormat="false" ht="15" hidden="false" customHeight="true" outlineLevel="0" collapsed="false">
      <c r="A3337" s="115" t="n">
        <v>4254080.01</v>
      </c>
      <c r="B3337" s="115" t="n">
        <v>4255360</v>
      </c>
      <c r="C3337" s="115" t="n">
        <v>95565.7200000075</v>
      </c>
    </row>
    <row r="3338" customFormat="false" ht="15" hidden="false" customHeight="true" outlineLevel="0" collapsed="false">
      <c r="A3338" s="114" t="n">
        <v>4255360.01</v>
      </c>
      <c r="B3338" s="114" t="n">
        <v>4256640</v>
      </c>
      <c r="C3338" s="114" t="n">
        <v>95594.3800000075</v>
      </c>
    </row>
    <row r="3339" customFormat="false" ht="15" hidden="false" customHeight="true" outlineLevel="0" collapsed="false">
      <c r="A3339" s="115" t="n">
        <v>4256640.01</v>
      </c>
      <c r="B3339" s="115" t="n">
        <v>4257920</v>
      </c>
      <c r="C3339" s="115" t="n">
        <v>95623.0400000075</v>
      </c>
    </row>
    <row r="3340" customFormat="false" ht="15" hidden="false" customHeight="true" outlineLevel="0" collapsed="false">
      <c r="A3340" s="114" t="n">
        <v>4257920.01</v>
      </c>
      <c r="B3340" s="114" t="n">
        <v>4259200</v>
      </c>
      <c r="C3340" s="114" t="n">
        <v>95651.7000000075</v>
      </c>
    </row>
    <row r="3341" customFormat="false" ht="15" hidden="false" customHeight="true" outlineLevel="0" collapsed="false">
      <c r="A3341" s="115" t="n">
        <v>4259200.01</v>
      </c>
      <c r="B3341" s="115" t="n">
        <v>4260480</v>
      </c>
      <c r="C3341" s="115" t="n">
        <v>95680.3600000075</v>
      </c>
    </row>
    <row r="3342" customFormat="false" ht="15" hidden="false" customHeight="true" outlineLevel="0" collapsed="false">
      <c r="A3342" s="114" t="n">
        <v>4260480.01</v>
      </c>
      <c r="B3342" s="114" t="n">
        <v>4261760</v>
      </c>
      <c r="C3342" s="114" t="n">
        <v>95709.0200000075</v>
      </c>
    </row>
    <row r="3343" customFormat="false" ht="15" hidden="false" customHeight="true" outlineLevel="0" collapsed="false">
      <c r="A3343" s="115" t="n">
        <v>4261760.01</v>
      </c>
      <c r="B3343" s="115" t="n">
        <v>4263040</v>
      </c>
      <c r="C3343" s="115" t="n">
        <v>95737.6800000075</v>
      </c>
    </row>
    <row r="3344" customFormat="false" ht="15" hidden="false" customHeight="true" outlineLevel="0" collapsed="false">
      <c r="A3344" s="114" t="n">
        <v>4263040.01</v>
      </c>
      <c r="B3344" s="114" t="n">
        <v>4264320</v>
      </c>
      <c r="C3344" s="114" t="n">
        <v>95766.3400000075</v>
      </c>
    </row>
    <row r="3345" customFormat="false" ht="15" hidden="false" customHeight="true" outlineLevel="0" collapsed="false">
      <c r="A3345" s="115" t="n">
        <v>4264320.01</v>
      </c>
      <c r="B3345" s="115" t="n">
        <v>4265600</v>
      </c>
      <c r="C3345" s="115" t="n">
        <v>95795.0000000075</v>
      </c>
    </row>
    <row r="3346" customFormat="false" ht="15" hidden="false" customHeight="true" outlineLevel="0" collapsed="false">
      <c r="A3346" s="114" t="n">
        <v>4265600.01</v>
      </c>
      <c r="B3346" s="114" t="n">
        <v>4266880</v>
      </c>
      <c r="C3346" s="114" t="n">
        <v>95823.6600000075</v>
      </c>
    </row>
    <row r="3347" customFormat="false" ht="15" hidden="false" customHeight="true" outlineLevel="0" collapsed="false">
      <c r="A3347" s="115" t="n">
        <v>4266880.01</v>
      </c>
      <c r="B3347" s="115" t="n">
        <v>4268160</v>
      </c>
      <c r="C3347" s="115" t="n">
        <v>95852.3200000075</v>
      </c>
    </row>
    <row r="3348" customFormat="false" ht="15" hidden="false" customHeight="true" outlineLevel="0" collapsed="false">
      <c r="A3348" s="114" t="n">
        <v>4268160.01</v>
      </c>
      <c r="B3348" s="114" t="n">
        <v>4269440</v>
      </c>
      <c r="C3348" s="114" t="n">
        <v>95880.9800000075</v>
      </c>
    </row>
    <row r="3349" customFormat="false" ht="15" hidden="false" customHeight="true" outlineLevel="0" collapsed="false">
      <c r="A3349" s="115" t="n">
        <v>4269440.01</v>
      </c>
      <c r="B3349" s="115" t="n">
        <v>4270720</v>
      </c>
      <c r="C3349" s="115" t="n">
        <v>95909.6400000075</v>
      </c>
    </row>
    <row r="3350" customFormat="false" ht="15" hidden="false" customHeight="true" outlineLevel="0" collapsed="false">
      <c r="A3350" s="114" t="n">
        <v>4270720.01</v>
      </c>
      <c r="B3350" s="114" t="n">
        <v>4272000</v>
      </c>
      <c r="C3350" s="114" t="n">
        <v>95938.3000000075</v>
      </c>
    </row>
    <row r="3351" customFormat="false" ht="15" hidden="false" customHeight="true" outlineLevel="0" collapsed="false">
      <c r="A3351" s="115" t="n">
        <v>4272000.01</v>
      </c>
      <c r="B3351" s="115" t="n">
        <v>4273280</v>
      </c>
      <c r="C3351" s="115" t="n">
        <v>95966.9600000075</v>
      </c>
    </row>
    <row r="3352" customFormat="false" ht="15" hidden="false" customHeight="true" outlineLevel="0" collapsed="false">
      <c r="A3352" s="114" t="n">
        <v>4273280.01</v>
      </c>
      <c r="B3352" s="114" t="n">
        <v>4274560</v>
      </c>
      <c r="C3352" s="114" t="n">
        <v>95995.6200000076</v>
      </c>
    </row>
    <row r="3353" customFormat="false" ht="15" hidden="false" customHeight="true" outlineLevel="0" collapsed="false">
      <c r="A3353" s="115" t="n">
        <v>4274560.01</v>
      </c>
      <c r="B3353" s="115" t="n">
        <v>4275840</v>
      </c>
      <c r="C3353" s="115" t="n">
        <v>96024.2800000076</v>
      </c>
    </row>
    <row r="3354" customFormat="false" ht="15" hidden="false" customHeight="true" outlineLevel="0" collapsed="false">
      <c r="A3354" s="114" t="n">
        <v>4275840.01</v>
      </c>
      <c r="B3354" s="114" t="n">
        <v>4277120</v>
      </c>
      <c r="C3354" s="114" t="n">
        <v>96052.9400000076</v>
      </c>
    </row>
    <row r="3355" customFormat="false" ht="15" hidden="false" customHeight="true" outlineLevel="0" collapsed="false">
      <c r="A3355" s="115" t="n">
        <v>4277120.01</v>
      </c>
      <c r="B3355" s="115" t="n">
        <v>4278400</v>
      </c>
      <c r="C3355" s="115" t="n">
        <v>96081.6000000076</v>
      </c>
    </row>
    <row r="3356" customFormat="false" ht="15" hidden="false" customHeight="true" outlineLevel="0" collapsed="false">
      <c r="A3356" s="114" t="n">
        <v>4278400.01</v>
      </c>
      <c r="B3356" s="114" t="n">
        <v>4279680</v>
      </c>
      <c r="C3356" s="114" t="n">
        <v>96110.2600000076</v>
      </c>
    </row>
    <row r="3357" customFormat="false" ht="15" hidden="false" customHeight="true" outlineLevel="0" collapsed="false">
      <c r="A3357" s="115" t="n">
        <v>4279680.01</v>
      </c>
      <c r="B3357" s="115" t="n">
        <v>4280960</v>
      </c>
      <c r="C3357" s="115" t="n">
        <v>96138.9200000076</v>
      </c>
    </row>
    <row r="3358" customFormat="false" ht="15" hidden="false" customHeight="true" outlineLevel="0" collapsed="false">
      <c r="A3358" s="114" t="n">
        <v>4280960.01</v>
      </c>
      <c r="B3358" s="114" t="n">
        <v>4282240</v>
      </c>
      <c r="C3358" s="114" t="n">
        <v>96167.5800000076</v>
      </c>
    </row>
    <row r="3359" customFormat="false" ht="15" hidden="false" customHeight="true" outlineLevel="0" collapsed="false">
      <c r="A3359" s="115" t="n">
        <v>4282240.01</v>
      </c>
      <c r="B3359" s="115" t="n">
        <v>4283520</v>
      </c>
      <c r="C3359" s="115" t="n">
        <v>96196.2400000076</v>
      </c>
    </row>
    <row r="3360" customFormat="false" ht="15" hidden="false" customHeight="true" outlineLevel="0" collapsed="false">
      <c r="A3360" s="114" t="n">
        <v>4283520.01</v>
      </c>
      <c r="B3360" s="114" t="n">
        <v>4284800</v>
      </c>
      <c r="C3360" s="114" t="n">
        <v>96224.9000000076</v>
      </c>
    </row>
    <row r="3361" customFormat="false" ht="15" hidden="false" customHeight="true" outlineLevel="0" collapsed="false">
      <c r="A3361" s="115" t="n">
        <v>4284800.01</v>
      </c>
      <c r="B3361" s="115" t="n">
        <v>4286080</v>
      </c>
      <c r="C3361" s="115" t="n">
        <v>96253.5600000076</v>
      </c>
    </row>
    <row r="3362" customFormat="false" ht="15" hidden="false" customHeight="true" outlineLevel="0" collapsed="false">
      <c r="A3362" s="114" t="n">
        <v>4286080.01</v>
      </c>
      <c r="B3362" s="114" t="n">
        <v>4287360</v>
      </c>
      <c r="C3362" s="114" t="n">
        <v>96282.2200000076</v>
      </c>
    </row>
    <row r="3363" customFormat="false" ht="15" hidden="false" customHeight="true" outlineLevel="0" collapsed="false">
      <c r="A3363" s="115" t="n">
        <v>4287360.01</v>
      </c>
      <c r="B3363" s="115" t="n">
        <v>4288640</v>
      </c>
      <c r="C3363" s="115" t="n">
        <v>96310.8800000076</v>
      </c>
    </row>
    <row r="3364" customFormat="false" ht="15" hidden="false" customHeight="true" outlineLevel="0" collapsed="false">
      <c r="A3364" s="114" t="n">
        <v>4288640.01</v>
      </c>
      <c r="B3364" s="114" t="n">
        <v>4289920</v>
      </c>
      <c r="C3364" s="114" t="n">
        <v>96339.5400000076</v>
      </c>
    </row>
    <row r="3365" customFormat="false" ht="15" hidden="false" customHeight="true" outlineLevel="0" collapsed="false">
      <c r="A3365" s="115" t="n">
        <v>4289920.01</v>
      </c>
      <c r="B3365" s="115" t="n">
        <v>4291200</v>
      </c>
      <c r="C3365" s="115" t="n">
        <v>96368.2000000076</v>
      </c>
    </row>
    <row r="3366" customFormat="false" ht="15" hidden="false" customHeight="true" outlineLevel="0" collapsed="false">
      <c r="A3366" s="114" t="n">
        <v>4291200.01</v>
      </c>
      <c r="B3366" s="114" t="n">
        <v>4292480</v>
      </c>
      <c r="C3366" s="114" t="n">
        <v>96396.8600000076</v>
      </c>
    </row>
    <row r="3367" customFormat="false" ht="15" hidden="false" customHeight="true" outlineLevel="0" collapsed="false">
      <c r="A3367" s="115" t="n">
        <v>4292480.01</v>
      </c>
      <c r="B3367" s="115" t="n">
        <v>4293760</v>
      </c>
      <c r="C3367" s="115" t="n">
        <v>96425.5200000076</v>
      </c>
    </row>
    <row r="3368" customFormat="false" ht="15" hidden="false" customHeight="true" outlineLevel="0" collapsed="false">
      <c r="A3368" s="114" t="n">
        <v>4293760.01</v>
      </c>
      <c r="B3368" s="114" t="n">
        <v>4295040</v>
      </c>
      <c r="C3368" s="114" t="n">
        <v>96454.1800000076</v>
      </c>
    </row>
    <row r="3369" customFormat="false" ht="15" hidden="false" customHeight="true" outlineLevel="0" collapsed="false">
      <c r="A3369" s="115" t="n">
        <v>4295040.01</v>
      </c>
      <c r="B3369" s="115" t="n">
        <v>4296320</v>
      </c>
      <c r="C3369" s="115" t="n">
        <v>96482.8400000076</v>
      </c>
    </row>
    <row r="3370" customFormat="false" ht="15" hidden="false" customHeight="true" outlineLevel="0" collapsed="false">
      <c r="A3370" s="114" t="n">
        <v>4296320.01</v>
      </c>
      <c r="B3370" s="114" t="n">
        <v>4297600</v>
      </c>
      <c r="C3370" s="114" t="n">
        <v>96511.5000000076</v>
      </c>
    </row>
    <row r="3371" customFormat="false" ht="15" hidden="false" customHeight="true" outlineLevel="0" collapsed="false">
      <c r="A3371" s="115" t="n">
        <v>4297600.01</v>
      </c>
      <c r="B3371" s="115" t="n">
        <v>4298880</v>
      </c>
      <c r="C3371" s="115" t="n">
        <v>96540.1600000076</v>
      </c>
    </row>
    <row r="3372" customFormat="false" ht="15" hidden="false" customHeight="true" outlineLevel="0" collapsed="false">
      <c r="A3372" s="114" t="n">
        <v>4298880.01</v>
      </c>
      <c r="B3372" s="114" t="n">
        <v>4300160</v>
      </c>
      <c r="C3372" s="114" t="n">
        <v>96568.8200000076</v>
      </c>
    </row>
    <row r="3373" customFormat="false" ht="15" hidden="false" customHeight="true" outlineLevel="0" collapsed="false">
      <c r="A3373" s="115" t="n">
        <v>4300160.01</v>
      </c>
      <c r="B3373" s="115" t="n">
        <v>4301440</v>
      </c>
      <c r="C3373" s="115" t="n">
        <v>96597.4800000076</v>
      </c>
    </row>
    <row r="3374" customFormat="false" ht="15" hidden="false" customHeight="true" outlineLevel="0" collapsed="false">
      <c r="A3374" s="114" t="n">
        <v>4301440.01</v>
      </c>
      <c r="B3374" s="114" t="n">
        <v>4302720</v>
      </c>
      <c r="C3374" s="114" t="n">
        <v>96626.1400000076</v>
      </c>
    </row>
    <row r="3375" customFormat="false" ht="15" hidden="false" customHeight="true" outlineLevel="0" collapsed="false">
      <c r="A3375" s="115" t="n">
        <v>4302720.01</v>
      </c>
      <c r="B3375" s="115" t="n">
        <v>4304000</v>
      </c>
      <c r="C3375" s="115" t="n">
        <v>96654.8000000076</v>
      </c>
    </row>
    <row r="3376" customFormat="false" ht="15" hidden="false" customHeight="true" outlineLevel="0" collapsed="false">
      <c r="A3376" s="114" t="n">
        <v>4304000.01</v>
      </c>
      <c r="B3376" s="114" t="n">
        <v>4305280</v>
      </c>
      <c r="C3376" s="114" t="n">
        <v>96683.4600000076</v>
      </c>
    </row>
    <row r="3377" customFormat="false" ht="15" hidden="false" customHeight="true" outlineLevel="0" collapsed="false">
      <c r="A3377" s="115" t="n">
        <v>4305280.01</v>
      </c>
      <c r="B3377" s="115" t="n">
        <v>4306560</v>
      </c>
      <c r="C3377" s="115" t="n">
        <v>96712.1200000076</v>
      </c>
    </row>
    <row r="3378" customFormat="false" ht="15" hidden="false" customHeight="true" outlineLevel="0" collapsed="false">
      <c r="A3378" s="114" t="n">
        <v>4306560.01</v>
      </c>
      <c r="B3378" s="114" t="n">
        <v>4307840</v>
      </c>
      <c r="C3378" s="114" t="n">
        <v>96740.7800000076</v>
      </c>
    </row>
    <row r="3379" customFormat="false" ht="15" hidden="false" customHeight="true" outlineLevel="0" collapsed="false">
      <c r="A3379" s="115" t="n">
        <v>4307840.01</v>
      </c>
      <c r="B3379" s="115" t="n">
        <v>4309120</v>
      </c>
      <c r="C3379" s="115" t="n">
        <v>96769.4400000076</v>
      </c>
    </row>
    <row r="3380" customFormat="false" ht="15" hidden="false" customHeight="true" outlineLevel="0" collapsed="false">
      <c r="A3380" s="114" t="n">
        <v>4309120.01</v>
      </c>
      <c r="B3380" s="114" t="n">
        <v>4310400</v>
      </c>
      <c r="C3380" s="114" t="n">
        <v>96798.1000000077</v>
      </c>
    </row>
    <row r="3381" customFormat="false" ht="15" hidden="false" customHeight="true" outlineLevel="0" collapsed="false">
      <c r="A3381" s="115" t="n">
        <v>4310400.01</v>
      </c>
      <c r="B3381" s="115" t="n">
        <v>4311680</v>
      </c>
      <c r="C3381" s="115" t="n">
        <v>96826.7600000077</v>
      </c>
    </row>
    <row r="3382" customFormat="false" ht="15" hidden="false" customHeight="true" outlineLevel="0" collapsed="false">
      <c r="A3382" s="114" t="n">
        <v>4311680.01</v>
      </c>
      <c r="B3382" s="114" t="n">
        <v>4312960</v>
      </c>
      <c r="C3382" s="114" t="n">
        <v>96855.4200000077</v>
      </c>
    </row>
    <row r="3383" customFormat="false" ht="15" hidden="false" customHeight="true" outlineLevel="0" collapsed="false">
      <c r="A3383" s="115" t="n">
        <v>4312960.01</v>
      </c>
      <c r="B3383" s="115" t="n">
        <v>4314240</v>
      </c>
      <c r="C3383" s="115" t="n">
        <v>96884.0800000077</v>
      </c>
    </row>
    <row r="3384" customFormat="false" ht="15" hidden="false" customHeight="true" outlineLevel="0" collapsed="false">
      <c r="A3384" s="114" t="n">
        <v>4314240.01</v>
      </c>
      <c r="B3384" s="114" t="n">
        <v>4315520</v>
      </c>
      <c r="C3384" s="114" t="n">
        <v>96912.7400000077</v>
      </c>
    </row>
    <row r="3385" customFormat="false" ht="15" hidden="false" customHeight="true" outlineLevel="0" collapsed="false">
      <c r="A3385" s="115" t="n">
        <v>4315520.01</v>
      </c>
      <c r="B3385" s="115" t="n">
        <v>4316800</v>
      </c>
      <c r="C3385" s="115" t="n">
        <v>96941.4000000077</v>
      </c>
    </row>
    <row r="3386" customFormat="false" ht="15" hidden="false" customHeight="true" outlineLevel="0" collapsed="false">
      <c r="A3386" s="114" t="n">
        <v>4316800.01</v>
      </c>
      <c r="B3386" s="114" t="n">
        <v>4318080</v>
      </c>
      <c r="C3386" s="114" t="n">
        <v>96970.0600000077</v>
      </c>
    </row>
    <row r="3387" customFormat="false" ht="15" hidden="false" customHeight="true" outlineLevel="0" collapsed="false">
      <c r="A3387" s="115" t="n">
        <v>4318080.01</v>
      </c>
      <c r="B3387" s="115" t="n">
        <v>4319360</v>
      </c>
      <c r="C3387" s="115" t="n">
        <v>96998.7200000077</v>
      </c>
    </row>
    <row r="3388" customFormat="false" ht="15" hidden="false" customHeight="true" outlineLevel="0" collapsed="false">
      <c r="A3388" s="114" t="n">
        <v>4319360.01</v>
      </c>
      <c r="B3388" s="114" t="n">
        <v>4320640</v>
      </c>
      <c r="C3388" s="114" t="n">
        <v>97027.3800000077</v>
      </c>
    </row>
    <row r="3389" customFormat="false" ht="15" hidden="false" customHeight="true" outlineLevel="0" collapsed="false">
      <c r="A3389" s="115" t="n">
        <v>4320640.01</v>
      </c>
      <c r="B3389" s="115" t="n">
        <v>4321920</v>
      </c>
      <c r="C3389" s="115" t="n">
        <v>97056.0400000077</v>
      </c>
    </row>
    <row r="3390" customFormat="false" ht="15" hidden="false" customHeight="true" outlineLevel="0" collapsed="false">
      <c r="A3390" s="114" t="n">
        <v>4321920.01</v>
      </c>
      <c r="B3390" s="114" t="n">
        <v>4323200</v>
      </c>
      <c r="C3390" s="114" t="n">
        <v>97084.7000000077</v>
      </c>
    </row>
    <row r="3391" customFormat="false" ht="15" hidden="false" customHeight="true" outlineLevel="0" collapsed="false">
      <c r="A3391" s="115" t="n">
        <v>4323200.01</v>
      </c>
      <c r="B3391" s="115" t="n">
        <v>4324480</v>
      </c>
      <c r="C3391" s="115" t="n">
        <v>97113.3600000077</v>
      </c>
    </row>
    <row r="3392" customFormat="false" ht="15" hidden="false" customHeight="true" outlineLevel="0" collapsed="false">
      <c r="A3392" s="114" t="n">
        <v>4324480.01</v>
      </c>
      <c r="B3392" s="114" t="n">
        <v>4325760</v>
      </c>
      <c r="C3392" s="114" t="n">
        <v>97142.0200000077</v>
      </c>
    </row>
    <row r="3393" customFormat="false" ht="15" hidden="false" customHeight="true" outlineLevel="0" collapsed="false">
      <c r="A3393" s="115" t="n">
        <v>4325760.01</v>
      </c>
      <c r="B3393" s="115" t="n">
        <v>4327040</v>
      </c>
      <c r="C3393" s="115" t="n">
        <v>97170.6800000077</v>
      </c>
    </row>
    <row r="3394" customFormat="false" ht="15" hidden="false" customHeight="true" outlineLevel="0" collapsed="false">
      <c r="A3394" s="114" t="n">
        <v>4327040.01</v>
      </c>
      <c r="B3394" s="114" t="n">
        <v>4328320</v>
      </c>
      <c r="C3394" s="114" t="n">
        <v>97199.3400000077</v>
      </c>
    </row>
    <row r="3395" customFormat="false" ht="15" hidden="false" customHeight="true" outlineLevel="0" collapsed="false">
      <c r="A3395" s="115" t="n">
        <v>4328320.01</v>
      </c>
      <c r="B3395" s="115" t="n">
        <v>4329600</v>
      </c>
      <c r="C3395" s="115" t="n">
        <v>97228.0000000077</v>
      </c>
    </row>
    <row r="3396" customFormat="false" ht="15" hidden="false" customHeight="true" outlineLevel="0" collapsed="false">
      <c r="A3396" s="114" t="n">
        <v>4329600.01</v>
      </c>
      <c r="B3396" s="114" t="n">
        <v>4330880</v>
      </c>
      <c r="C3396" s="114" t="n">
        <v>97256.6600000077</v>
      </c>
    </row>
    <row r="3397" customFormat="false" ht="15" hidden="false" customHeight="true" outlineLevel="0" collapsed="false">
      <c r="A3397" s="115" t="n">
        <v>4330880.01</v>
      </c>
      <c r="B3397" s="115" t="n">
        <v>4332160</v>
      </c>
      <c r="C3397" s="115" t="n">
        <v>97285.3200000077</v>
      </c>
    </row>
    <row r="3398" customFormat="false" ht="15" hidden="false" customHeight="true" outlineLevel="0" collapsed="false">
      <c r="A3398" s="114" t="n">
        <v>4332160.01</v>
      </c>
      <c r="B3398" s="114" t="n">
        <v>4333440</v>
      </c>
      <c r="C3398" s="114" t="n">
        <v>97313.9800000077</v>
      </c>
    </row>
    <row r="3399" customFormat="false" ht="15" hidden="false" customHeight="true" outlineLevel="0" collapsed="false">
      <c r="A3399" s="115" t="n">
        <v>4333440.01</v>
      </c>
      <c r="B3399" s="115" t="n">
        <v>4334720</v>
      </c>
      <c r="C3399" s="115" t="n">
        <v>97342.6400000077</v>
      </c>
    </row>
    <row r="3400" customFormat="false" ht="15" hidden="false" customHeight="true" outlineLevel="0" collapsed="false">
      <c r="A3400" s="114" t="n">
        <v>4334720.01</v>
      </c>
      <c r="B3400" s="114" t="n">
        <v>4336000</v>
      </c>
      <c r="C3400" s="114" t="n">
        <v>97371.3000000077</v>
      </c>
    </row>
    <row r="3401" customFormat="false" ht="15" hidden="false" customHeight="true" outlineLevel="0" collapsed="false">
      <c r="A3401" s="115" t="n">
        <v>4336000.01</v>
      </c>
      <c r="B3401" s="115" t="n">
        <v>4337280</v>
      </c>
      <c r="C3401" s="115" t="n">
        <v>97399.9600000077</v>
      </c>
    </row>
    <row r="3402" customFormat="false" ht="15" hidden="false" customHeight="true" outlineLevel="0" collapsed="false">
      <c r="A3402" s="114" t="n">
        <v>4337280.01</v>
      </c>
      <c r="B3402" s="114" t="n">
        <v>4338560</v>
      </c>
      <c r="C3402" s="114" t="n">
        <v>97428.6200000077</v>
      </c>
    </row>
    <row r="3403" customFormat="false" ht="15" hidden="false" customHeight="true" outlineLevel="0" collapsed="false">
      <c r="A3403" s="115" t="n">
        <v>4338560.01</v>
      </c>
      <c r="B3403" s="115" t="n">
        <v>4339840</v>
      </c>
      <c r="C3403" s="115" t="n">
        <v>97457.2800000077</v>
      </c>
    </row>
    <row r="3404" customFormat="false" ht="15" hidden="false" customHeight="true" outlineLevel="0" collapsed="false">
      <c r="A3404" s="114" t="n">
        <v>4339840.01</v>
      </c>
      <c r="B3404" s="114" t="n">
        <v>4341120</v>
      </c>
      <c r="C3404" s="114" t="n">
        <v>97485.9400000077</v>
      </c>
    </row>
    <row r="3405" customFormat="false" ht="15" hidden="false" customHeight="true" outlineLevel="0" collapsed="false">
      <c r="A3405" s="115" t="n">
        <v>4341120.01</v>
      </c>
      <c r="B3405" s="115" t="n">
        <v>4342400</v>
      </c>
      <c r="C3405" s="115" t="n">
        <v>97514.6000000077</v>
      </c>
    </row>
    <row r="3406" customFormat="false" ht="15" hidden="false" customHeight="true" outlineLevel="0" collapsed="false">
      <c r="A3406" s="114" t="n">
        <v>4342400.01</v>
      </c>
      <c r="B3406" s="114" t="n">
        <v>4343680</v>
      </c>
      <c r="C3406" s="114" t="n">
        <v>97543.2600000077</v>
      </c>
    </row>
    <row r="3407" customFormat="false" ht="15" hidden="false" customHeight="true" outlineLevel="0" collapsed="false">
      <c r="A3407" s="115" t="n">
        <v>4343680.01</v>
      </c>
      <c r="B3407" s="115" t="n">
        <v>4344960</v>
      </c>
      <c r="C3407" s="115" t="n">
        <v>97571.9200000077</v>
      </c>
    </row>
    <row r="3408" customFormat="false" ht="15" hidden="false" customHeight="true" outlineLevel="0" collapsed="false">
      <c r="A3408" s="114" t="n">
        <v>4344960.01</v>
      </c>
      <c r="B3408" s="114" t="n">
        <v>4346240</v>
      </c>
      <c r="C3408" s="114" t="n">
        <v>97600.5800000077</v>
      </c>
    </row>
    <row r="3409" customFormat="false" ht="15" hidden="false" customHeight="true" outlineLevel="0" collapsed="false">
      <c r="A3409" s="115" t="n">
        <v>4346240.01</v>
      </c>
      <c r="B3409" s="115" t="n">
        <v>4347520</v>
      </c>
      <c r="C3409" s="115" t="n">
        <v>97629.2400000078</v>
      </c>
    </row>
    <row r="3410" customFormat="false" ht="15" hidden="false" customHeight="true" outlineLevel="0" collapsed="false">
      <c r="A3410" s="114" t="n">
        <v>4347520.01</v>
      </c>
      <c r="B3410" s="114" t="n">
        <v>4348800</v>
      </c>
      <c r="C3410" s="114" t="n">
        <v>97657.9000000078</v>
      </c>
    </row>
    <row r="3411" customFormat="false" ht="15" hidden="false" customHeight="true" outlineLevel="0" collapsed="false">
      <c r="A3411" s="115" t="n">
        <v>4348800.01</v>
      </c>
      <c r="B3411" s="115" t="n">
        <v>4350080</v>
      </c>
      <c r="C3411" s="115" t="n">
        <v>97686.5600000078</v>
      </c>
    </row>
    <row r="3412" customFormat="false" ht="15" hidden="false" customHeight="true" outlineLevel="0" collapsed="false">
      <c r="A3412" s="114" t="n">
        <v>4350080.01</v>
      </c>
      <c r="B3412" s="114" t="n">
        <v>4351360</v>
      </c>
      <c r="C3412" s="114" t="n">
        <v>97715.2200000078</v>
      </c>
    </row>
    <row r="3413" customFormat="false" ht="15" hidden="false" customHeight="true" outlineLevel="0" collapsed="false">
      <c r="A3413" s="115" t="n">
        <v>4351360.01</v>
      </c>
      <c r="B3413" s="115" t="n">
        <v>4352640</v>
      </c>
      <c r="C3413" s="115" t="n">
        <v>97743.8800000078</v>
      </c>
    </row>
    <row r="3414" customFormat="false" ht="15" hidden="false" customHeight="true" outlineLevel="0" collapsed="false">
      <c r="A3414" s="114" t="n">
        <v>4352640.01</v>
      </c>
      <c r="B3414" s="114" t="n">
        <v>4353920</v>
      </c>
      <c r="C3414" s="114" t="n">
        <v>97772.5400000078</v>
      </c>
    </row>
    <row r="3415" customFormat="false" ht="15" hidden="false" customHeight="true" outlineLevel="0" collapsed="false">
      <c r="A3415" s="115" t="n">
        <v>4353920.01</v>
      </c>
      <c r="B3415" s="115" t="n">
        <v>4355200</v>
      </c>
      <c r="C3415" s="115" t="n">
        <v>97801.2000000078</v>
      </c>
    </row>
    <row r="3416" customFormat="false" ht="15" hidden="false" customHeight="true" outlineLevel="0" collapsed="false">
      <c r="A3416" s="114" t="n">
        <v>4355200.01</v>
      </c>
      <c r="B3416" s="114" t="n">
        <v>4356480</v>
      </c>
      <c r="C3416" s="114" t="n">
        <v>97829.8600000078</v>
      </c>
    </row>
    <row r="3417" customFormat="false" ht="15" hidden="false" customHeight="true" outlineLevel="0" collapsed="false">
      <c r="A3417" s="115" t="n">
        <v>4356480.01</v>
      </c>
      <c r="B3417" s="115" t="n">
        <v>4357760</v>
      </c>
      <c r="C3417" s="115" t="n">
        <v>97858.5200000078</v>
      </c>
    </row>
    <row r="3418" customFormat="false" ht="15" hidden="false" customHeight="true" outlineLevel="0" collapsed="false">
      <c r="A3418" s="114" t="n">
        <v>4357760.01</v>
      </c>
      <c r="B3418" s="114" t="n">
        <v>4359040</v>
      </c>
      <c r="C3418" s="114" t="n">
        <v>97887.1800000078</v>
      </c>
    </row>
    <row r="3419" customFormat="false" ht="15" hidden="false" customHeight="true" outlineLevel="0" collapsed="false">
      <c r="A3419" s="115" t="n">
        <v>4359040.01</v>
      </c>
      <c r="B3419" s="115" t="n">
        <v>4360320</v>
      </c>
      <c r="C3419" s="115" t="n">
        <v>97915.8400000078</v>
      </c>
    </row>
    <row r="3420" customFormat="false" ht="15" hidden="false" customHeight="true" outlineLevel="0" collapsed="false">
      <c r="A3420" s="114" t="n">
        <v>4360320.01</v>
      </c>
      <c r="B3420" s="114" t="n">
        <v>4361600</v>
      </c>
      <c r="C3420" s="114" t="n">
        <v>97944.5000000078</v>
      </c>
    </row>
    <row r="3421" customFormat="false" ht="15" hidden="false" customHeight="true" outlineLevel="0" collapsed="false">
      <c r="A3421" s="115" t="n">
        <v>4361600.01</v>
      </c>
      <c r="B3421" s="115" t="n">
        <v>4362880</v>
      </c>
      <c r="C3421" s="115" t="n">
        <v>97973.1600000078</v>
      </c>
    </row>
    <row r="3422" customFormat="false" ht="15" hidden="false" customHeight="true" outlineLevel="0" collapsed="false">
      <c r="A3422" s="114" t="n">
        <v>4362880.01</v>
      </c>
      <c r="B3422" s="114" t="n">
        <v>4364160</v>
      </c>
      <c r="C3422" s="114" t="n">
        <v>98001.8200000078</v>
      </c>
    </row>
    <row r="3423" customFormat="false" ht="15" hidden="false" customHeight="true" outlineLevel="0" collapsed="false">
      <c r="A3423" s="115" t="n">
        <v>4364160.01</v>
      </c>
      <c r="B3423" s="115" t="n">
        <v>4365440</v>
      </c>
      <c r="C3423" s="115" t="n">
        <v>98030.4800000078</v>
      </c>
    </row>
    <row r="3424" customFormat="false" ht="15" hidden="false" customHeight="true" outlineLevel="0" collapsed="false">
      <c r="A3424" s="114" t="n">
        <v>4365440.01</v>
      </c>
      <c r="B3424" s="114" t="n">
        <v>4366720</v>
      </c>
      <c r="C3424" s="114" t="n">
        <v>98059.1400000078</v>
      </c>
    </row>
    <row r="3425" customFormat="false" ht="15" hidden="false" customHeight="true" outlineLevel="0" collapsed="false">
      <c r="A3425" s="115" t="n">
        <v>4366720.01</v>
      </c>
      <c r="B3425" s="115" t="n">
        <v>4368000</v>
      </c>
      <c r="C3425" s="115" t="n">
        <v>98087.8000000078</v>
      </c>
    </row>
    <row r="3426" customFormat="false" ht="15" hidden="false" customHeight="true" outlineLevel="0" collapsed="false">
      <c r="A3426" s="114" t="n">
        <v>4368000.01</v>
      </c>
      <c r="B3426" s="114" t="n">
        <v>4369280</v>
      </c>
      <c r="C3426" s="114" t="n">
        <v>98116.4600000078</v>
      </c>
    </row>
    <row r="3427" customFormat="false" ht="15" hidden="false" customHeight="true" outlineLevel="0" collapsed="false">
      <c r="A3427" s="115" t="n">
        <v>4369280.01</v>
      </c>
      <c r="B3427" s="115" t="n">
        <v>4370560</v>
      </c>
      <c r="C3427" s="115" t="n">
        <v>98145.1200000078</v>
      </c>
    </row>
    <row r="3428" customFormat="false" ht="15" hidden="false" customHeight="true" outlineLevel="0" collapsed="false">
      <c r="A3428" s="114" t="n">
        <v>4370560.01</v>
      </c>
      <c r="B3428" s="114" t="n">
        <v>4371840</v>
      </c>
      <c r="C3428" s="114" t="n">
        <v>98173.7800000078</v>
      </c>
    </row>
    <row r="3429" customFormat="false" ht="15" hidden="false" customHeight="true" outlineLevel="0" collapsed="false">
      <c r="A3429" s="115" t="n">
        <v>4371840.01</v>
      </c>
      <c r="B3429" s="115" t="n">
        <v>4373120</v>
      </c>
      <c r="C3429" s="115" t="n">
        <v>98202.4400000078</v>
      </c>
    </row>
    <row r="3430" customFormat="false" ht="15" hidden="false" customHeight="true" outlineLevel="0" collapsed="false">
      <c r="A3430" s="114" t="n">
        <v>4373120.01</v>
      </c>
      <c r="B3430" s="114" t="n">
        <v>4374400</v>
      </c>
      <c r="C3430" s="114" t="n">
        <v>98231.1000000078</v>
      </c>
    </row>
    <row r="3431" customFormat="false" ht="15" hidden="false" customHeight="true" outlineLevel="0" collapsed="false">
      <c r="A3431" s="115" t="n">
        <v>4374400.01</v>
      </c>
      <c r="B3431" s="115" t="n">
        <v>4375680</v>
      </c>
      <c r="C3431" s="115" t="n">
        <v>98259.7600000078</v>
      </c>
    </row>
    <row r="3432" customFormat="false" ht="15" hidden="false" customHeight="true" outlineLevel="0" collapsed="false">
      <c r="A3432" s="114" t="n">
        <v>4375680.01</v>
      </c>
      <c r="B3432" s="114" t="n">
        <v>4376960</v>
      </c>
      <c r="C3432" s="114" t="n">
        <v>98288.4200000078</v>
      </c>
    </row>
    <row r="3433" customFormat="false" ht="15" hidden="false" customHeight="true" outlineLevel="0" collapsed="false">
      <c r="A3433" s="115" t="n">
        <v>4376960.01</v>
      </c>
      <c r="B3433" s="115" t="n">
        <v>4378240</v>
      </c>
      <c r="C3433" s="115" t="n">
        <v>98317.0800000078</v>
      </c>
    </row>
    <row r="3434" customFormat="false" ht="15" hidden="false" customHeight="true" outlineLevel="0" collapsed="false">
      <c r="A3434" s="114" t="n">
        <v>4378240.01</v>
      </c>
      <c r="B3434" s="114" t="n">
        <v>4379520</v>
      </c>
      <c r="C3434" s="114" t="n">
        <v>98345.7400000078</v>
      </c>
    </row>
    <row r="3435" customFormat="false" ht="15" hidden="false" customHeight="true" outlineLevel="0" collapsed="false">
      <c r="A3435" s="115" t="n">
        <v>4379520.01</v>
      </c>
      <c r="B3435" s="115" t="n">
        <v>4380800</v>
      </c>
      <c r="C3435" s="115" t="n">
        <v>98374.4000000078</v>
      </c>
    </row>
    <row r="3436" customFormat="false" ht="15" hidden="false" customHeight="true" outlineLevel="0" collapsed="false">
      <c r="A3436" s="114" t="n">
        <v>4380800.01</v>
      </c>
      <c r="B3436" s="114" t="n">
        <v>4382080</v>
      </c>
      <c r="C3436" s="114" t="n">
        <v>98403.0600000078</v>
      </c>
    </row>
    <row r="3437" customFormat="false" ht="15" hidden="false" customHeight="true" outlineLevel="0" collapsed="false">
      <c r="A3437" s="115" t="n">
        <v>4382080.01</v>
      </c>
      <c r="B3437" s="115" t="n">
        <v>4383360</v>
      </c>
      <c r="C3437" s="115" t="n">
        <v>98431.7200000078</v>
      </c>
    </row>
    <row r="3438" customFormat="false" ht="15" hidden="false" customHeight="true" outlineLevel="0" collapsed="false">
      <c r="A3438" s="114" t="n">
        <v>4383360.01</v>
      </c>
      <c r="B3438" s="114" t="n">
        <v>4384640</v>
      </c>
      <c r="C3438" s="114" t="n">
        <v>98460.3800000079</v>
      </c>
    </row>
    <row r="3439" customFormat="false" ht="15" hidden="false" customHeight="true" outlineLevel="0" collapsed="false">
      <c r="A3439" s="115" t="n">
        <v>4384640.01</v>
      </c>
      <c r="B3439" s="115" t="n">
        <v>4385920</v>
      </c>
      <c r="C3439" s="115" t="n">
        <v>98489.0400000079</v>
      </c>
    </row>
    <row r="3440" customFormat="false" ht="15" hidden="false" customHeight="true" outlineLevel="0" collapsed="false">
      <c r="A3440" s="114" t="n">
        <v>4385920.01</v>
      </c>
      <c r="B3440" s="114" t="n">
        <v>4387200</v>
      </c>
      <c r="C3440" s="114" t="n">
        <v>98517.7000000079</v>
      </c>
    </row>
    <row r="3441" customFormat="false" ht="15" hidden="false" customHeight="true" outlineLevel="0" collapsed="false">
      <c r="A3441" s="115" t="n">
        <v>4387200.01</v>
      </c>
      <c r="B3441" s="115" t="n">
        <v>4388480</v>
      </c>
      <c r="C3441" s="115" t="n">
        <v>98546.3600000079</v>
      </c>
    </row>
    <row r="3442" customFormat="false" ht="15" hidden="false" customHeight="true" outlineLevel="0" collapsed="false">
      <c r="A3442" s="114" t="n">
        <v>4388480.01</v>
      </c>
      <c r="B3442" s="114" t="n">
        <v>4389760</v>
      </c>
      <c r="C3442" s="114" t="n">
        <v>98575.0200000079</v>
      </c>
    </row>
    <row r="3443" customFormat="false" ht="15" hidden="false" customHeight="true" outlineLevel="0" collapsed="false">
      <c r="A3443" s="115" t="n">
        <v>4389760.01</v>
      </c>
      <c r="B3443" s="115" t="n">
        <v>4391040</v>
      </c>
      <c r="C3443" s="115" t="n">
        <v>98603.6800000079</v>
      </c>
    </row>
    <row r="3444" customFormat="false" ht="15" hidden="false" customHeight="true" outlineLevel="0" collapsed="false">
      <c r="A3444" s="114" t="n">
        <v>4391040.01</v>
      </c>
      <c r="B3444" s="114" t="n">
        <v>4392320</v>
      </c>
      <c r="C3444" s="114" t="n">
        <v>98632.3400000079</v>
      </c>
    </row>
    <row r="3445" customFormat="false" ht="15" hidden="false" customHeight="true" outlineLevel="0" collapsed="false">
      <c r="A3445" s="115" t="n">
        <v>4392320.01</v>
      </c>
      <c r="B3445" s="115" t="n">
        <v>4393600</v>
      </c>
      <c r="C3445" s="115" t="n">
        <v>98661.0000000079</v>
      </c>
    </row>
    <row r="3446" customFormat="false" ht="15" hidden="false" customHeight="true" outlineLevel="0" collapsed="false">
      <c r="A3446" s="114" t="n">
        <v>4393600.01</v>
      </c>
      <c r="B3446" s="114" t="n">
        <v>4394880</v>
      </c>
      <c r="C3446" s="114" t="n">
        <v>98689.6600000079</v>
      </c>
    </row>
    <row r="3447" customFormat="false" ht="15" hidden="false" customHeight="true" outlineLevel="0" collapsed="false">
      <c r="A3447" s="115" t="n">
        <v>4394880.01</v>
      </c>
      <c r="B3447" s="115" t="n">
        <v>4396160</v>
      </c>
      <c r="C3447" s="115" t="n">
        <v>98718.3200000079</v>
      </c>
    </row>
    <row r="3448" customFormat="false" ht="15" hidden="false" customHeight="true" outlineLevel="0" collapsed="false">
      <c r="A3448" s="114" t="n">
        <v>4396160.01</v>
      </c>
      <c r="B3448" s="114" t="n">
        <v>4397440</v>
      </c>
      <c r="C3448" s="114" t="n">
        <v>98746.9800000079</v>
      </c>
    </row>
    <row r="3449" customFormat="false" ht="15" hidden="false" customHeight="true" outlineLevel="0" collapsed="false">
      <c r="A3449" s="115" t="n">
        <v>4397440.01</v>
      </c>
      <c r="B3449" s="115" t="n">
        <v>4398720</v>
      </c>
      <c r="C3449" s="115" t="n">
        <v>98775.6400000079</v>
      </c>
    </row>
    <row r="3450" customFormat="false" ht="15" hidden="false" customHeight="true" outlineLevel="0" collapsed="false">
      <c r="A3450" s="114" t="n">
        <v>4398720.01</v>
      </c>
      <c r="B3450" s="114" t="n">
        <v>4400000</v>
      </c>
      <c r="C3450" s="114" t="n">
        <v>98804.3000000079</v>
      </c>
    </row>
    <row r="3451" customFormat="false" ht="15" hidden="false" customHeight="true" outlineLevel="0" collapsed="false">
      <c r="A3451" s="115" t="n">
        <v>4400000.01</v>
      </c>
      <c r="B3451" s="115" t="n">
        <v>4401280</v>
      </c>
      <c r="C3451" s="115" t="n">
        <v>98832.9600000079</v>
      </c>
    </row>
    <row r="3452" customFormat="false" ht="15" hidden="false" customHeight="true" outlineLevel="0" collapsed="false">
      <c r="A3452" s="114" t="n">
        <v>4401280.01</v>
      </c>
      <c r="B3452" s="114" t="n">
        <v>4402560</v>
      </c>
      <c r="C3452" s="114" t="n">
        <v>98861.6200000079</v>
      </c>
    </row>
    <row r="3453" customFormat="false" ht="15" hidden="false" customHeight="true" outlineLevel="0" collapsed="false">
      <c r="A3453" s="115" t="n">
        <v>4402560.01</v>
      </c>
      <c r="B3453" s="115" t="n">
        <v>4403840</v>
      </c>
      <c r="C3453" s="115" t="n">
        <v>98890.2800000079</v>
      </c>
    </row>
    <row r="3454" customFormat="false" ht="15" hidden="false" customHeight="true" outlineLevel="0" collapsed="false">
      <c r="A3454" s="114" t="n">
        <v>4403840.01</v>
      </c>
      <c r="B3454" s="114" t="n">
        <v>4405120</v>
      </c>
      <c r="C3454" s="114" t="n">
        <v>98918.9400000079</v>
      </c>
    </row>
    <row r="3455" customFormat="false" ht="15" hidden="false" customHeight="true" outlineLevel="0" collapsed="false">
      <c r="A3455" s="115" t="n">
        <v>4405120.01</v>
      </c>
      <c r="B3455" s="115" t="n">
        <v>4406400</v>
      </c>
      <c r="C3455" s="115" t="n">
        <v>98947.6000000079</v>
      </c>
    </row>
    <row r="3456" customFormat="false" ht="15" hidden="false" customHeight="true" outlineLevel="0" collapsed="false">
      <c r="A3456" s="114" t="n">
        <v>4406400.01</v>
      </c>
      <c r="B3456" s="114" t="n">
        <v>4407680</v>
      </c>
      <c r="C3456" s="114" t="n">
        <v>98976.2600000079</v>
      </c>
    </row>
    <row r="3457" customFormat="false" ht="15" hidden="false" customHeight="true" outlineLevel="0" collapsed="false">
      <c r="A3457" s="115" t="n">
        <v>4407680.01</v>
      </c>
      <c r="B3457" s="115" t="n">
        <v>4408960</v>
      </c>
      <c r="C3457" s="115" t="n">
        <v>99004.9200000079</v>
      </c>
    </row>
    <row r="3458" customFormat="false" ht="15" hidden="false" customHeight="true" outlineLevel="0" collapsed="false">
      <c r="A3458" s="114" t="n">
        <v>4408960.01</v>
      </c>
      <c r="B3458" s="114" t="n">
        <v>4410240</v>
      </c>
      <c r="C3458" s="114" t="n">
        <v>99033.5800000079</v>
      </c>
    </row>
    <row r="3459" customFormat="false" ht="15" hidden="false" customHeight="true" outlineLevel="0" collapsed="false">
      <c r="A3459" s="115" t="n">
        <v>4410240.01</v>
      </c>
      <c r="B3459" s="115" t="n">
        <v>4411520</v>
      </c>
      <c r="C3459" s="115" t="n">
        <v>99062.2400000079</v>
      </c>
    </row>
    <row r="3460" customFormat="false" ht="15" hidden="false" customHeight="true" outlineLevel="0" collapsed="false">
      <c r="A3460" s="114" t="n">
        <v>4411520.01</v>
      </c>
      <c r="B3460" s="114" t="n">
        <v>4412800</v>
      </c>
      <c r="C3460" s="114" t="n">
        <v>99090.9000000079</v>
      </c>
    </row>
    <row r="3461" customFormat="false" ht="15" hidden="false" customHeight="true" outlineLevel="0" collapsed="false">
      <c r="A3461" s="115" t="n">
        <v>4412800.01</v>
      </c>
      <c r="B3461" s="115" t="n">
        <v>4414080</v>
      </c>
      <c r="C3461" s="115" t="n">
        <v>99119.5600000079</v>
      </c>
    </row>
    <row r="3462" customFormat="false" ht="15" hidden="false" customHeight="true" outlineLevel="0" collapsed="false">
      <c r="A3462" s="114" t="n">
        <v>4414080.01</v>
      </c>
      <c r="B3462" s="114" t="n">
        <v>4415360</v>
      </c>
      <c r="C3462" s="114" t="n">
        <v>99148.2200000079</v>
      </c>
    </row>
    <row r="3463" customFormat="false" ht="15" hidden="false" customHeight="true" outlineLevel="0" collapsed="false">
      <c r="A3463" s="115" t="n">
        <v>4415360.01</v>
      </c>
      <c r="B3463" s="115" t="n">
        <v>4416640</v>
      </c>
      <c r="C3463" s="115" t="n">
        <v>99176.8800000079</v>
      </c>
    </row>
    <row r="3464" customFormat="false" ht="15" hidden="false" customHeight="true" outlineLevel="0" collapsed="false">
      <c r="A3464" s="114" t="n">
        <v>4416640.01</v>
      </c>
      <c r="B3464" s="114" t="n">
        <v>4417920</v>
      </c>
      <c r="C3464" s="114" t="n">
        <v>99205.5400000079</v>
      </c>
    </row>
    <row r="3465" customFormat="false" ht="15" hidden="false" customHeight="true" outlineLevel="0" collapsed="false">
      <c r="A3465" s="115" t="n">
        <v>4417920.01</v>
      </c>
      <c r="B3465" s="115" t="n">
        <v>4419200</v>
      </c>
      <c r="C3465" s="115" t="n">
        <v>99234.2000000079</v>
      </c>
    </row>
    <row r="3466" customFormat="false" ht="15" hidden="false" customHeight="true" outlineLevel="0" collapsed="false">
      <c r="A3466" s="114" t="n">
        <v>4419200.01</v>
      </c>
      <c r="B3466" s="114" t="n">
        <v>4420480</v>
      </c>
      <c r="C3466" s="114" t="n">
        <v>99262.860000008</v>
      </c>
    </row>
    <row r="3467" customFormat="false" ht="15" hidden="false" customHeight="true" outlineLevel="0" collapsed="false">
      <c r="A3467" s="115" t="n">
        <v>4420480.01</v>
      </c>
      <c r="B3467" s="115" t="n">
        <v>4421760</v>
      </c>
      <c r="C3467" s="115" t="n">
        <v>99291.520000008</v>
      </c>
    </row>
    <row r="3468" customFormat="false" ht="15" hidden="false" customHeight="true" outlineLevel="0" collapsed="false">
      <c r="A3468" s="114" t="n">
        <v>4421760.01</v>
      </c>
      <c r="B3468" s="114" t="n">
        <v>4423040</v>
      </c>
      <c r="C3468" s="114" t="n">
        <v>99320.180000008</v>
      </c>
    </row>
    <row r="3469" customFormat="false" ht="15" hidden="false" customHeight="true" outlineLevel="0" collapsed="false">
      <c r="A3469" s="115" t="n">
        <v>4423040.01</v>
      </c>
      <c r="B3469" s="115" t="n">
        <v>4424320</v>
      </c>
      <c r="C3469" s="115" t="n">
        <v>99348.840000008</v>
      </c>
    </row>
    <row r="3470" customFormat="false" ht="15" hidden="false" customHeight="true" outlineLevel="0" collapsed="false">
      <c r="A3470" s="114" t="n">
        <v>4424320.01</v>
      </c>
      <c r="B3470" s="114" t="n">
        <v>4425600</v>
      </c>
      <c r="C3470" s="114" t="n">
        <v>99377.500000008</v>
      </c>
    </row>
    <row r="3471" customFormat="false" ht="15" hidden="false" customHeight="true" outlineLevel="0" collapsed="false">
      <c r="A3471" s="115" t="n">
        <v>4425600.01</v>
      </c>
      <c r="B3471" s="115" t="n">
        <v>4426880</v>
      </c>
      <c r="C3471" s="115" t="n">
        <v>99406.160000008</v>
      </c>
    </row>
    <row r="3472" customFormat="false" ht="15" hidden="false" customHeight="true" outlineLevel="0" collapsed="false">
      <c r="A3472" s="114" t="n">
        <v>4426880.01</v>
      </c>
      <c r="B3472" s="114" t="n">
        <v>4428160</v>
      </c>
      <c r="C3472" s="114" t="n">
        <v>99434.820000008</v>
      </c>
    </row>
    <row r="3473" customFormat="false" ht="15" hidden="false" customHeight="true" outlineLevel="0" collapsed="false">
      <c r="A3473" s="115" t="n">
        <v>4428160.01</v>
      </c>
      <c r="B3473" s="115" t="n">
        <v>4429440</v>
      </c>
      <c r="C3473" s="115" t="n">
        <v>99463.480000008</v>
      </c>
    </row>
    <row r="3474" customFormat="false" ht="15" hidden="false" customHeight="true" outlineLevel="0" collapsed="false">
      <c r="A3474" s="114" t="n">
        <v>4429440.01</v>
      </c>
      <c r="B3474" s="114" t="n">
        <v>4430720</v>
      </c>
      <c r="C3474" s="114" t="n">
        <v>99492.140000008</v>
      </c>
    </row>
    <row r="3475" customFormat="false" ht="15" hidden="false" customHeight="true" outlineLevel="0" collapsed="false">
      <c r="A3475" s="115" t="n">
        <v>4430720.01</v>
      </c>
      <c r="B3475" s="115" t="n">
        <v>4432000</v>
      </c>
      <c r="C3475" s="115" t="n">
        <v>99520.800000008</v>
      </c>
    </row>
    <row r="3476" customFormat="false" ht="15" hidden="false" customHeight="true" outlineLevel="0" collapsed="false">
      <c r="A3476" s="114" t="n">
        <v>4432000.01</v>
      </c>
      <c r="B3476" s="114" t="n">
        <v>4433280</v>
      </c>
      <c r="C3476" s="114" t="n">
        <v>99549.460000008</v>
      </c>
    </row>
    <row r="3477" customFormat="false" ht="15" hidden="false" customHeight="true" outlineLevel="0" collapsed="false">
      <c r="A3477" s="115" t="n">
        <v>4433280.01</v>
      </c>
      <c r="B3477" s="115" t="n">
        <v>4434560</v>
      </c>
      <c r="C3477" s="115" t="n">
        <v>99578.120000008</v>
      </c>
    </row>
    <row r="3478" customFormat="false" ht="15" hidden="false" customHeight="true" outlineLevel="0" collapsed="false">
      <c r="A3478" s="114" t="n">
        <v>4434560.01</v>
      </c>
      <c r="B3478" s="114" t="n">
        <v>4435840</v>
      </c>
      <c r="C3478" s="114" t="n">
        <v>99606.780000008</v>
      </c>
    </row>
    <row r="3479" customFormat="false" ht="15" hidden="false" customHeight="true" outlineLevel="0" collapsed="false">
      <c r="A3479" s="115" t="n">
        <v>4435840.01</v>
      </c>
      <c r="B3479" s="115" t="n">
        <v>4437120</v>
      </c>
      <c r="C3479" s="115" t="n">
        <v>99635.440000008</v>
      </c>
    </row>
    <row r="3480" customFormat="false" ht="15" hidden="false" customHeight="true" outlineLevel="0" collapsed="false">
      <c r="A3480" s="114" t="n">
        <v>4437120.01</v>
      </c>
      <c r="B3480" s="114" t="n">
        <v>4438400</v>
      </c>
      <c r="C3480" s="114" t="n">
        <v>99664.100000008</v>
      </c>
    </row>
    <row r="3481" customFormat="false" ht="15" hidden="false" customHeight="true" outlineLevel="0" collapsed="false">
      <c r="A3481" s="115" t="n">
        <v>4438400.01</v>
      </c>
      <c r="B3481" s="115" t="n">
        <v>4439680</v>
      </c>
      <c r="C3481" s="115" t="n">
        <v>99692.760000008</v>
      </c>
    </row>
    <row r="3482" customFormat="false" ht="15" hidden="false" customHeight="true" outlineLevel="0" collapsed="false">
      <c r="A3482" s="114" t="n">
        <v>4439680.01</v>
      </c>
      <c r="B3482" s="114" t="n">
        <v>4440960</v>
      </c>
      <c r="C3482" s="114" t="n">
        <v>99721.420000008</v>
      </c>
    </row>
    <row r="3483" customFormat="false" ht="15" hidden="false" customHeight="true" outlineLevel="0" collapsed="false">
      <c r="A3483" s="115" t="n">
        <v>4440960.01</v>
      </c>
      <c r="B3483" s="115" t="n">
        <v>4442240</v>
      </c>
      <c r="C3483" s="115" t="n">
        <v>99750.080000008</v>
      </c>
    </row>
    <row r="3484" customFormat="false" ht="15" hidden="false" customHeight="true" outlineLevel="0" collapsed="false">
      <c r="A3484" s="114" t="n">
        <v>4442240.01</v>
      </c>
      <c r="B3484" s="114" t="n">
        <v>4443520</v>
      </c>
      <c r="C3484" s="114" t="n">
        <v>99778.740000008</v>
      </c>
    </row>
    <row r="3485" customFormat="false" ht="15" hidden="false" customHeight="true" outlineLevel="0" collapsed="false">
      <c r="A3485" s="115" t="n">
        <v>4443520.01</v>
      </c>
      <c r="B3485" s="115" t="n">
        <v>4444800</v>
      </c>
      <c r="C3485" s="115" t="n">
        <v>99807.400000008</v>
      </c>
    </row>
    <row r="3486" customFormat="false" ht="15" hidden="false" customHeight="true" outlineLevel="0" collapsed="false">
      <c r="A3486" s="114" t="n">
        <v>4444800.01</v>
      </c>
      <c r="B3486" s="114" t="n">
        <v>4446080</v>
      </c>
      <c r="C3486" s="114" t="n">
        <v>99836.060000008</v>
      </c>
    </row>
    <row r="3487" customFormat="false" ht="15" hidden="false" customHeight="true" outlineLevel="0" collapsed="false">
      <c r="A3487" s="115" t="n">
        <v>4446080.01</v>
      </c>
      <c r="B3487" s="115" t="n">
        <v>4447360</v>
      </c>
      <c r="C3487" s="115" t="n">
        <v>99864.720000008</v>
      </c>
    </row>
    <row r="3488" customFormat="false" ht="15" hidden="false" customHeight="true" outlineLevel="0" collapsed="false">
      <c r="A3488" s="114" t="n">
        <v>4447360.01</v>
      </c>
      <c r="B3488" s="114" t="n">
        <v>4448640</v>
      </c>
      <c r="C3488" s="114" t="n">
        <v>99893.380000008</v>
      </c>
    </row>
    <row r="3489" customFormat="false" ht="15" hidden="false" customHeight="true" outlineLevel="0" collapsed="false">
      <c r="A3489" s="115" t="n">
        <v>4448640.01</v>
      </c>
      <c r="B3489" s="115" t="n">
        <v>4449920</v>
      </c>
      <c r="C3489" s="115" t="n">
        <v>99922.040000008</v>
      </c>
    </row>
    <row r="3490" customFormat="false" ht="15" hidden="false" customHeight="true" outlineLevel="0" collapsed="false">
      <c r="A3490" s="114" t="n">
        <v>4449920.01</v>
      </c>
      <c r="B3490" s="114" t="n">
        <v>4451200</v>
      </c>
      <c r="C3490" s="114" t="n">
        <v>99950.700000008</v>
      </c>
    </row>
    <row r="3491" customFormat="false" ht="15" hidden="false" customHeight="true" outlineLevel="0" collapsed="false">
      <c r="A3491" s="115" t="n">
        <v>4451200.01</v>
      </c>
      <c r="B3491" s="115" t="n">
        <v>4452480</v>
      </c>
      <c r="C3491" s="115" t="n">
        <v>99979.360000008</v>
      </c>
    </row>
    <row r="3492" customFormat="false" ht="15" hidden="false" customHeight="true" outlineLevel="0" collapsed="false">
      <c r="A3492" s="114" t="n">
        <v>4452480.01</v>
      </c>
      <c r="B3492" s="114" t="n">
        <v>4453760</v>
      </c>
      <c r="C3492" s="114" t="n">
        <v>100008.020000008</v>
      </c>
    </row>
    <row r="3493" customFormat="false" ht="15" hidden="false" customHeight="true" outlineLevel="0" collapsed="false">
      <c r="A3493" s="115" t="n">
        <v>4453760.01</v>
      </c>
      <c r="B3493" s="115" t="n">
        <v>4455040</v>
      </c>
      <c r="C3493" s="115" t="n">
        <v>100036.680000008</v>
      </c>
    </row>
    <row r="3494" customFormat="false" ht="15" hidden="false" customHeight="true" outlineLevel="0" collapsed="false">
      <c r="A3494" s="114" t="n">
        <v>4455040.01</v>
      </c>
      <c r="B3494" s="114" t="n">
        <v>4456320</v>
      </c>
      <c r="C3494" s="114" t="n">
        <v>100065.340000008</v>
      </c>
    </row>
    <row r="3495" customFormat="false" ht="15" hidden="false" customHeight="true" outlineLevel="0" collapsed="false">
      <c r="A3495" s="115" t="n">
        <v>4456320.01</v>
      </c>
      <c r="B3495" s="115" t="n">
        <v>4457600</v>
      </c>
      <c r="C3495" s="115" t="n">
        <v>100094.000000008</v>
      </c>
    </row>
    <row r="3496" customFormat="false" ht="15" hidden="false" customHeight="true" outlineLevel="0" collapsed="false">
      <c r="A3496" s="114" t="n">
        <v>4457600.01</v>
      </c>
      <c r="B3496" s="114" t="n">
        <v>4458880</v>
      </c>
      <c r="C3496" s="114" t="n">
        <v>100122.660000008</v>
      </c>
    </row>
    <row r="3497" customFormat="false" ht="15" hidden="false" customHeight="true" outlineLevel="0" collapsed="false">
      <c r="A3497" s="115" t="n">
        <v>4458880.01</v>
      </c>
      <c r="B3497" s="115" t="n">
        <v>4460160</v>
      </c>
      <c r="C3497" s="115" t="n">
        <v>100151.320000008</v>
      </c>
    </row>
    <row r="3498" customFormat="false" ht="15" hidden="false" customHeight="true" outlineLevel="0" collapsed="false">
      <c r="A3498" s="114" t="n">
        <v>4460160.01</v>
      </c>
      <c r="B3498" s="114" t="n">
        <v>4461440</v>
      </c>
      <c r="C3498" s="114" t="n">
        <v>100179.980000008</v>
      </c>
    </row>
    <row r="3499" customFormat="false" ht="15" hidden="false" customHeight="true" outlineLevel="0" collapsed="false">
      <c r="A3499" s="115" t="n">
        <v>4461440.01</v>
      </c>
      <c r="B3499" s="115" t="n">
        <v>4462720</v>
      </c>
      <c r="C3499" s="115" t="n">
        <v>100208.640000008</v>
      </c>
    </row>
    <row r="3500" customFormat="false" ht="15" hidden="false" customHeight="true" outlineLevel="0" collapsed="false">
      <c r="A3500" s="114" t="n">
        <v>4462720.01</v>
      </c>
      <c r="B3500" s="114" t="n">
        <v>4464000</v>
      </c>
      <c r="C3500" s="114" t="n">
        <v>100237.300000008</v>
      </c>
    </row>
    <row r="3501" customFormat="false" ht="15" hidden="false" customHeight="true" outlineLevel="0" collapsed="false">
      <c r="A3501" s="115" t="n">
        <v>4464000.01</v>
      </c>
      <c r="B3501" s="115" t="n">
        <v>4465280</v>
      </c>
      <c r="C3501" s="115" t="n">
        <v>100265.960000008</v>
      </c>
    </row>
    <row r="3502" customFormat="false" ht="15" hidden="false" customHeight="true" outlineLevel="0" collapsed="false">
      <c r="A3502" s="114" t="n">
        <v>4465280.01</v>
      </c>
      <c r="B3502" s="114" t="n">
        <v>4466560</v>
      </c>
      <c r="C3502" s="114" t="n">
        <v>100294.620000008</v>
      </c>
    </row>
    <row r="3503" customFormat="false" ht="15" hidden="false" customHeight="true" outlineLevel="0" collapsed="false">
      <c r="A3503" s="115" t="n">
        <v>4466560.01</v>
      </c>
      <c r="B3503" s="115" t="n">
        <v>4467840</v>
      </c>
      <c r="C3503" s="115" t="n">
        <v>100323.280000008</v>
      </c>
    </row>
    <row r="3504" customFormat="false" ht="15" hidden="false" customHeight="true" outlineLevel="0" collapsed="false">
      <c r="A3504" s="114" t="n">
        <v>4467840.01</v>
      </c>
      <c r="B3504" s="114" t="n">
        <v>4469120</v>
      </c>
      <c r="C3504" s="114" t="n">
        <v>100351.940000008</v>
      </c>
    </row>
    <row r="3505" customFormat="false" ht="15" hidden="false" customHeight="true" outlineLevel="0" collapsed="false">
      <c r="A3505" s="115" t="n">
        <v>4469120.01</v>
      </c>
      <c r="B3505" s="115" t="n">
        <v>4470400</v>
      </c>
      <c r="C3505" s="115" t="n">
        <v>100380.600000008</v>
      </c>
    </row>
    <row r="3506" customFormat="false" ht="15" hidden="false" customHeight="true" outlineLevel="0" collapsed="false">
      <c r="A3506" s="114" t="n">
        <v>4470400.01</v>
      </c>
      <c r="B3506" s="114" t="n">
        <v>4471680</v>
      </c>
      <c r="C3506" s="114" t="n">
        <v>100409.260000008</v>
      </c>
    </row>
    <row r="3507" customFormat="false" ht="15" hidden="false" customHeight="true" outlineLevel="0" collapsed="false">
      <c r="A3507" s="115" t="n">
        <v>4471680.01</v>
      </c>
      <c r="B3507" s="115" t="n">
        <v>4472960</v>
      </c>
      <c r="C3507" s="115" t="n">
        <v>100437.920000008</v>
      </c>
    </row>
    <row r="3508" customFormat="false" ht="15" hidden="false" customHeight="true" outlineLevel="0" collapsed="false">
      <c r="A3508" s="114" t="n">
        <v>4472960.01</v>
      </c>
      <c r="B3508" s="114" t="n">
        <v>4474240</v>
      </c>
      <c r="C3508" s="114" t="n">
        <v>100466.580000008</v>
      </c>
    </row>
    <row r="3509" customFormat="false" ht="15" hidden="false" customHeight="true" outlineLevel="0" collapsed="false">
      <c r="A3509" s="115" t="n">
        <v>4474240.01</v>
      </c>
      <c r="B3509" s="115" t="n">
        <v>4475520</v>
      </c>
      <c r="C3509" s="115" t="n">
        <v>100495.240000008</v>
      </c>
    </row>
    <row r="3510" customFormat="false" ht="15" hidden="false" customHeight="true" outlineLevel="0" collapsed="false">
      <c r="A3510" s="114" t="n">
        <v>4475520.01</v>
      </c>
      <c r="B3510" s="114" t="n">
        <v>4476800</v>
      </c>
      <c r="C3510" s="114" t="n">
        <v>100523.900000008</v>
      </c>
    </row>
    <row r="3511" customFormat="false" ht="15" hidden="false" customHeight="true" outlineLevel="0" collapsed="false">
      <c r="A3511" s="115" t="n">
        <v>4476800.01</v>
      </c>
      <c r="B3511" s="115" t="n">
        <v>4478080</v>
      </c>
      <c r="C3511" s="115" t="n">
        <v>100552.560000008</v>
      </c>
    </row>
    <row r="3512" customFormat="false" ht="15" hidden="false" customHeight="true" outlineLevel="0" collapsed="false">
      <c r="A3512" s="114" t="n">
        <v>4478080.01</v>
      </c>
      <c r="B3512" s="114" t="n">
        <v>4479360</v>
      </c>
      <c r="C3512" s="114" t="n">
        <v>100581.220000008</v>
      </c>
    </row>
    <row r="3513" customFormat="false" ht="15" hidden="false" customHeight="true" outlineLevel="0" collapsed="false">
      <c r="A3513" s="115" t="n">
        <v>4479360.01</v>
      </c>
      <c r="B3513" s="115" t="n">
        <v>4480640</v>
      </c>
      <c r="C3513" s="115" t="n">
        <v>100609.880000008</v>
      </c>
    </row>
    <row r="3514" customFormat="false" ht="15" hidden="false" customHeight="true" outlineLevel="0" collapsed="false">
      <c r="A3514" s="114" t="n">
        <v>4480640.01</v>
      </c>
      <c r="B3514" s="114" t="n">
        <v>4481920</v>
      </c>
      <c r="C3514" s="114" t="n">
        <v>100638.540000008</v>
      </c>
    </row>
    <row r="3515" customFormat="false" ht="15" hidden="false" customHeight="true" outlineLevel="0" collapsed="false">
      <c r="A3515" s="115" t="n">
        <v>4481920.01</v>
      </c>
      <c r="B3515" s="115" t="n">
        <v>4483200</v>
      </c>
      <c r="C3515" s="115" t="n">
        <v>100667.200000008</v>
      </c>
    </row>
    <row r="3516" customFormat="false" ht="15" hidden="false" customHeight="true" outlineLevel="0" collapsed="false">
      <c r="A3516" s="114" t="n">
        <v>4483200.01</v>
      </c>
      <c r="B3516" s="114" t="n">
        <v>4484480</v>
      </c>
      <c r="C3516" s="114" t="n">
        <v>100695.860000008</v>
      </c>
    </row>
    <row r="3517" customFormat="false" ht="15" hidden="false" customHeight="true" outlineLevel="0" collapsed="false">
      <c r="A3517" s="115" t="n">
        <v>4484480.01</v>
      </c>
      <c r="B3517" s="115" t="n">
        <v>4485760</v>
      </c>
      <c r="C3517" s="115" t="n">
        <v>100724.520000008</v>
      </c>
    </row>
    <row r="3518" customFormat="false" ht="15" hidden="false" customHeight="true" outlineLevel="0" collapsed="false">
      <c r="A3518" s="114" t="n">
        <v>4485760.01</v>
      </c>
      <c r="B3518" s="114" t="n">
        <v>4487040</v>
      </c>
      <c r="C3518" s="114" t="n">
        <v>100753.180000008</v>
      </c>
    </row>
    <row r="3519" customFormat="false" ht="15" hidden="false" customHeight="true" outlineLevel="0" collapsed="false">
      <c r="A3519" s="115" t="n">
        <v>4487040.01</v>
      </c>
      <c r="B3519" s="115" t="n">
        <v>4488320</v>
      </c>
      <c r="C3519" s="115" t="n">
        <v>100781.840000008</v>
      </c>
    </row>
    <row r="3520" customFormat="false" ht="15" hidden="false" customHeight="true" outlineLevel="0" collapsed="false">
      <c r="A3520" s="114" t="n">
        <v>4488320.01</v>
      </c>
      <c r="B3520" s="114" t="n">
        <v>4489600</v>
      </c>
      <c r="C3520" s="114" t="n">
        <v>100810.500000008</v>
      </c>
    </row>
    <row r="3521" customFormat="false" ht="15" hidden="false" customHeight="true" outlineLevel="0" collapsed="false">
      <c r="A3521" s="115" t="n">
        <v>4489600.01</v>
      </c>
      <c r="B3521" s="115" t="n">
        <v>4490880</v>
      </c>
      <c r="C3521" s="115" t="n">
        <v>100839.160000008</v>
      </c>
    </row>
    <row r="3522" customFormat="false" ht="15" hidden="false" customHeight="true" outlineLevel="0" collapsed="false">
      <c r="A3522" s="114" t="n">
        <v>4490880.01</v>
      </c>
      <c r="B3522" s="114" t="n">
        <v>4492160</v>
      </c>
      <c r="C3522" s="114" t="n">
        <v>100867.820000008</v>
      </c>
    </row>
    <row r="3523" customFormat="false" ht="15" hidden="false" customHeight="true" outlineLevel="0" collapsed="false">
      <c r="A3523" s="115" t="n">
        <v>4492160.01</v>
      </c>
      <c r="B3523" s="115" t="n">
        <v>4493440</v>
      </c>
      <c r="C3523" s="115" t="n">
        <v>100896.480000008</v>
      </c>
    </row>
    <row r="3524" customFormat="false" ht="15" hidden="false" customHeight="true" outlineLevel="0" collapsed="false">
      <c r="A3524" s="114" t="n">
        <v>4493440.01</v>
      </c>
      <c r="B3524" s="114" t="n">
        <v>4494720</v>
      </c>
      <c r="C3524" s="114" t="n">
        <v>100925.140000008</v>
      </c>
    </row>
    <row r="3525" customFormat="false" ht="15" hidden="false" customHeight="true" outlineLevel="0" collapsed="false">
      <c r="A3525" s="115" t="n">
        <v>4494720.01</v>
      </c>
      <c r="B3525" s="115" t="n">
        <v>4496000</v>
      </c>
      <c r="C3525" s="115" t="n">
        <v>100953.800000008</v>
      </c>
    </row>
    <row r="3526" customFormat="false" ht="15" hidden="false" customHeight="true" outlineLevel="0" collapsed="false">
      <c r="A3526" s="114" t="n">
        <v>4496000.01</v>
      </c>
      <c r="B3526" s="114" t="n">
        <v>4497280</v>
      </c>
      <c r="C3526" s="114" t="n">
        <v>100982.460000008</v>
      </c>
    </row>
    <row r="3527" customFormat="false" ht="15" hidden="false" customHeight="true" outlineLevel="0" collapsed="false">
      <c r="A3527" s="115" t="n">
        <v>4497280.01</v>
      </c>
      <c r="B3527" s="115" t="n">
        <v>4498560</v>
      </c>
      <c r="C3527" s="115" t="n">
        <v>101011.120000008</v>
      </c>
    </row>
    <row r="3528" customFormat="false" ht="15" hidden="false" customHeight="true" outlineLevel="0" collapsed="false">
      <c r="A3528" s="114" t="n">
        <v>4498560.01</v>
      </c>
      <c r="B3528" s="114" t="n">
        <v>4499840</v>
      </c>
      <c r="C3528" s="114" t="n">
        <v>101039.780000008</v>
      </c>
    </row>
    <row r="3529" customFormat="false" ht="15" hidden="false" customHeight="true" outlineLevel="0" collapsed="false">
      <c r="A3529" s="115" t="n">
        <v>4499840.01</v>
      </c>
      <c r="B3529" s="115" t="n">
        <v>4501120</v>
      </c>
      <c r="C3529" s="115" t="n">
        <v>101068.440000008</v>
      </c>
    </row>
    <row r="3530" customFormat="false" ht="15" hidden="false" customHeight="true" outlineLevel="0" collapsed="false">
      <c r="A3530" s="114" t="n">
        <v>4501120.01</v>
      </c>
      <c r="B3530" s="114" t="n">
        <v>4502400</v>
      </c>
      <c r="C3530" s="114" t="n">
        <v>101097.100000008</v>
      </c>
    </row>
    <row r="3531" customFormat="false" ht="15" hidden="false" customHeight="true" outlineLevel="0" collapsed="false">
      <c r="A3531" s="115" t="n">
        <v>4502400.01</v>
      </c>
      <c r="B3531" s="115" t="n">
        <v>4503680</v>
      </c>
      <c r="C3531" s="115" t="n">
        <v>101125.760000008</v>
      </c>
    </row>
    <row r="3532" customFormat="false" ht="15" hidden="false" customHeight="true" outlineLevel="0" collapsed="false">
      <c r="A3532" s="114" t="n">
        <v>4503680.01</v>
      </c>
      <c r="B3532" s="114" t="n">
        <v>4504960</v>
      </c>
      <c r="C3532" s="114" t="n">
        <v>101154.420000008</v>
      </c>
    </row>
    <row r="3533" customFormat="false" ht="15" hidden="false" customHeight="true" outlineLevel="0" collapsed="false">
      <c r="A3533" s="115" t="n">
        <v>4504960.01</v>
      </c>
      <c r="B3533" s="115" t="n">
        <v>4506240</v>
      </c>
      <c r="C3533" s="115" t="n">
        <v>101183.080000008</v>
      </c>
    </row>
    <row r="3534" customFormat="false" ht="15" hidden="false" customHeight="true" outlineLevel="0" collapsed="false">
      <c r="A3534" s="114" t="n">
        <v>4506240.01</v>
      </c>
      <c r="B3534" s="114" t="n">
        <v>4507520</v>
      </c>
      <c r="C3534" s="114" t="n">
        <v>101211.740000008</v>
      </c>
    </row>
    <row r="3535" customFormat="false" ht="15" hidden="false" customHeight="true" outlineLevel="0" collapsed="false">
      <c r="A3535" s="115" t="n">
        <v>4507520.01</v>
      </c>
      <c r="B3535" s="115" t="n">
        <v>4508800</v>
      </c>
      <c r="C3535" s="115" t="n">
        <v>101240.400000008</v>
      </c>
    </row>
    <row r="3536" customFormat="false" ht="15" hidden="false" customHeight="true" outlineLevel="0" collapsed="false">
      <c r="A3536" s="114" t="n">
        <v>4508800.01</v>
      </c>
      <c r="B3536" s="114" t="n">
        <v>4510080</v>
      </c>
      <c r="C3536" s="114" t="n">
        <v>101269.060000008</v>
      </c>
    </row>
    <row r="3537" customFormat="false" ht="15" hidden="false" customHeight="true" outlineLevel="0" collapsed="false">
      <c r="A3537" s="115" t="n">
        <v>4510080.01</v>
      </c>
      <c r="B3537" s="115" t="n">
        <v>4511360</v>
      </c>
      <c r="C3537" s="115" t="n">
        <v>101297.720000008</v>
      </c>
    </row>
    <row r="3538" customFormat="false" ht="15" hidden="false" customHeight="true" outlineLevel="0" collapsed="false">
      <c r="A3538" s="114" t="n">
        <v>4511360.01</v>
      </c>
      <c r="B3538" s="114" t="n">
        <v>4512640</v>
      </c>
      <c r="C3538" s="114" t="n">
        <v>101326.380000008</v>
      </c>
    </row>
    <row r="3539" customFormat="false" ht="15" hidden="false" customHeight="true" outlineLevel="0" collapsed="false">
      <c r="A3539" s="115" t="n">
        <v>4512640.01</v>
      </c>
      <c r="B3539" s="115" t="n">
        <v>4513920</v>
      </c>
      <c r="C3539" s="115" t="n">
        <v>101355.040000008</v>
      </c>
    </row>
    <row r="3540" customFormat="false" ht="15" hidden="false" customHeight="true" outlineLevel="0" collapsed="false">
      <c r="A3540" s="114" t="n">
        <v>4513920.01</v>
      </c>
      <c r="B3540" s="114" t="n">
        <v>4515200</v>
      </c>
      <c r="C3540" s="114" t="n">
        <v>101383.700000008</v>
      </c>
    </row>
    <row r="3541" customFormat="false" ht="15" hidden="false" customHeight="true" outlineLevel="0" collapsed="false">
      <c r="A3541" s="115" t="n">
        <v>4515200.01</v>
      </c>
      <c r="B3541" s="115" t="n">
        <v>4516480</v>
      </c>
      <c r="C3541" s="115" t="n">
        <v>101412.360000008</v>
      </c>
    </row>
    <row r="3542" customFormat="false" ht="15" hidden="false" customHeight="true" outlineLevel="0" collapsed="false">
      <c r="A3542" s="114" t="n">
        <v>4516480.01</v>
      </c>
      <c r="B3542" s="114" t="n">
        <v>4517760</v>
      </c>
      <c r="C3542" s="114" t="n">
        <v>101441.020000008</v>
      </c>
    </row>
    <row r="3543" customFormat="false" ht="15" hidden="false" customHeight="true" outlineLevel="0" collapsed="false">
      <c r="A3543" s="115" t="n">
        <v>4517760.01</v>
      </c>
      <c r="B3543" s="115" t="n">
        <v>4519040</v>
      </c>
      <c r="C3543" s="115" t="n">
        <v>101469.680000008</v>
      </c>
    </row>
    <row r="3544" customFormat="false" ht="15" hidden="false" customHeight="true" outlineLevel="0" collapsed="false">
      <c r="A3544" s="114" t="n">
        <v>4519040.01</v>
      </c>
      <c r="B3544" s="114" t="n">
        <v>4520320</v>
      </c>
      <c r="C3544" s="114" t="n">
        <v>101498.340000008</v>
      </c>
    </row>
    <row r="3545" customFormat="false" ht="15" hidden="false" customHeight="true" outlineLevel="0" collapsed="false">
      <c r="A3545" s="115" t="n">
        <v>4520320.01</v>
      </c>
      <c r="B3545" s="115" t="n">
        <v>4521600</v>
      </c>
      <c r="C3545" s="115" t="n">
        <v>101527.000000008</v>
      </c>
    </row>
    <row r="3546" customFormat="false" ht="15" hidden="false" customHeight="true" outlineLevel="0" collapsed="false">
      <c r="A3546" s="114" t="n">
        <v>4521600.01</v>
      </c>
      <c r="B3546" s="114" t="n">
        <v>4522880</v>
      </c>
      <c r="C3546" s="114" t="n">
        <v>101555.660000008</v>
      </c>
    </row>
    <row r="3547" customFormat="false" ht="15" hidden="false" customHeight="true" outlineLevel="0" collapsed="false">
      <c r="A3547" s="115" t="n">
        <v>4522880.01</v>
      </c>
      <c r="B3547" s="115" t="n">
        <v>4524160</v>
      </c>
      <c r="C3547" s="115" t="n">
        <v>101584.320000008</v>
      </c>
    </row>
    <row r="3548" customFormat="false" ht="15" hidden="false" customHeight="true" outlineLevel="0" collapsed="false">
      <c r="A3548" s="114" t="n">
        <v>4524160.01</v>
      </c>
      <c r="B3548" s="114" t="n">
        <v>4525440</v>
      </c>
      <c r="C3548" s="114" t="n">
        <v>101612.980000008</v>
      </c>
    </row>
    <row r="3549" customFormat="false" ht="15" hidden="false" customHeight="true" outlineLevel="0" collapsed="false">
      <c r="A3549" s="115" t="n">
        <v>4525440.01</v>
      </c>
      <c r="B3549" s="115" t="n">
        <v>4526720</v>
      </c>
      <c r="C3549" s="115" t="n">
        <v>101641.640000008</v>
      </c>
    </row>
    <row r="3550" customFormat="false" ht="15" hidden="false" customHeight="true" outlineLevel="0" collapsed="false">
      <c r="A3550" s="114" t="n">
        <v>4526720.01</v>
      </c>
      <c r="B3550" s="114" t="n">
        <v>4528000</v>
      </c>
      <c r="C3550" s="114" t="n">
        <v>101670.300000008</v>
      </c>
    </row>
    <row r="3551" customFormat="false" ht="15" hidden="false" customHeight="true" outlineLevel="0" collapsed="false">
      <c r="A3551" s="115" t="n">
        <v>4528000.01</v>
      </c>
      <c r="B3551" s="115" t="n">
        <v>4529280</v>
      </c>
      <c r="C3551" s="115" t="n">
        <v>101698.960000008</v>
      </c>
    </row>
    <row r="3552" customFormat="false" ht="15" hidden="false" customHeight="true" outlineLevel="0" collapsed="false">
      <c r="A3552" s="114" t="n">
        <v>4529280.01</v>
      </c>
      <c r="B3552" s="114" t="n">
        <v>4530560</v>
      </c>
      <c r="C3552" s="114" t="n">
        <v>101727.620000008</v>
      </c>
    </row>
    <row r="3553" customFormat="false" ht="15" hidden="false" customHeight="true" outlineLevel="0" collapsed="false">
      <c r="A3553" s="115" t="n">
        <v>4530560.01</v>
      </c>
      <c r="B3553" s="115" t="n">
        <v>4531840</v>
      </c>
      <c r="C3553" s="115" t="n">
        <v>101756.280000008</v>
      </c>
    </row>
    <row r="3554" customFormat="false" ht="15" hidden="false" customHeight="true" outlineLevel="0" collapsed="false">
      <c r="A3554" s="114" t="n">
        <v>4531840.01</v>
      </c>
      <c r="B3554" s="114" t="n">
        <v>4533120</v>
      </c>
      <c r="C3554" s="114" t="n">
        <v>101784.940000008</v>
      </c>
    </row>
    <row r="3555" customFormat="false" ht="15" hidden="false" customHeight="true" outlineLevel="0" collapsed="false">
      <c r="A3555" s="115" t="n">
        <v>4533120.01</v>
      </c>
      <c r="B3555" s="115" t="n">
        <v>4534400</v>
      </c>
      <c r="C3555" s="115" t="n">
        <v>101813.600000008</v>
      </c>
    </row>
    <row r="3556" customFormat="false" ht="15" hidden="false" customHeight="true" outlineLevel="0" collapsed="false">
      <c r="A3556" s="114" t="n">
        <v>4534400.01</v>
      </c>
      <c r="B3556" s="114" t="n">
        <v>4535680</v>
      </c>
      <c r="C3556" s="114" t="n">
        <v>101842.260000008</v>
      </c>
    </row>
    <row r="3557" customFormat="false" ht="15" hidden="false" customHeight="true" outlineLevel="0" collapsed="false">
      <c r="A3557" s="115" t="n">
        <v>4535680.01</v>
      </c>
      <c r="B3557" s="115" t="n">
        <v>4536960</v>
      </c>
      <c r="C3557" s="115" t="n">
        <v>101870.920000008</v>
      </c>
    </row>
    <row r="3558" customFormat="false" ht="15" hidden="false" customHeight="true" outlineLevel="0" collapsed="false">
      <c r="A3558" s="114" t="n">
        <v>4536960.01</v>
      </c>
      <c r="B3558" s="114" t="n">
        <v>4538240</v>
      </c>
      <c r="C3558" s="114" t="n">
        <v>101899.580000008</v>
      </c>
    </row>
    <row r="3559" customFormat="false" ht="15" hidden="false" customHeight="true" outlineLevel="0" collapsed="false">
      <c r="A3559" s="115" t="n">
        <v>4538240.01</v>
      </c>
      <c r="B3559" s="115" t="n">
        <v>4539520</v>
      </c>
      <c r="C3559" s="115" t="n">
        <v>101928.240000008</v>
      </c>
    </row>
    <row r="3560" customFormat="false" ht="15" hidden="false" customHeight="true" outlineLevel="0" collapsed="false">
      <c r="A3560" s="114" t="n">
        <v>4539520.01</v>
      </c>
      <c r="B3560" s="114" t="n">
        <v>4540800</v>
      </c>
      <c r="C3560" s="114" t="n">
        <v>101956.900000008</v>
      </c>
    </row>
    <row r="3561" customFormat="false" ht="15" hidden="false" customHeight="true" outlineLevel="0" collapsed="false">
      <c r="A3561" s="115" t="n">
        <v>4540800.01</v>
      </c>
      <c r="B3561" s="115" t="n">
        <v>4542080</v>
      </c>
      <c r="C3561" s="115" t="n">
        <v>101985.560000008</v>
      </c>
    </row>
    <row r="3562" customFormat="false" ht="15" hidden="false" customHeight="true" outlineLevel="0" collapsed="false">
      <c r="A3562" s="114" t="n">
        <v>4542080.01</v>
      </c>
      <c r="B3562" s="114" t="n">
        <v>4543360</v>
      </c>
      <c r="C3562" s="114" t="n">
        <v>102014.220000008</v>
      </c>
    </row>
    <row r="3563" customFormat="false" ht="15" hidden="false" customHeight="true" outlineLevel="0" collapsed="false">
      <c r="A3563" s="115" t="n">
        <v>4543360.01</v>
      </c>
      <c r="B3563" s="115" t="n">
        <v>4544640</v>
      </c>
      <c r="C3563" s="115" t="n">
        <v>102042.880000008</v>
      </c>
    </row>
    <row r="3564" customFormat="false" ht="15" hidden="false" customHeight="true" outlineLevel="0" collapsed="false">
      <c r="A3564" s="114" t="n">
        <v>4544640.01</v>
      </c>
      <c r="B3564" s="114" t="n">
        <v>4545920</v>
      </c>
      <c r="C3564" s="114" t="n">
        <v>102071.540000008</v>
      </c>
    </row>
    <row r="3565" customFormat="false" ht="15" hidden="false" customHeight="true" outlineLevel="0" collapsed="false">
      <c r="A3565" s="115" t="n">
        <v>4545920.01</v>
      </c>
      <c r="B3565" s="115" t="n">
        <v>4547200</v>
      </c>
      <c r="C3565" s="115" t="n">
        <v>102100.200000008</v>
      </c>
    </row>
    <row r="3566" customFormat="false" ht="15" hidden="false" customHeight="true" outlineLevel="0" collapsed="false">
      <c r="A3566" s="114" t="n">
        <v>4547200.01</v>
      </c>
      <c r="B3566" s="114" t="n">
        <v>4548480</v>
      </c>
      <c r="C3566" s="114" t="n">
        <v>102128.860000008</v>
      </c>
    </row>
    <row r="3567" customFormat="false" ht="15" hidden="false" customHeight="true" outlineLevel="0" collapsed="false">
      <c r="A3567" s="115" t="n">
        <v>4548480.01</v>
      </c>
      <c r="B3567" s="115" t="n">
        <v>4549760</v>
      </c>
      <c r="C3567" s="115" t="n">
        <v>102157.520000008</v>
      </c>
    </row>
    <row r="3568" customFormat="false" ht="15" hidden="false" customHeight="true" outlineLevel="0" collapsed="false">
      <c r="A3568" s="114" t="n">
        <v>4549760.01</v>
      </c>
      <c r="B3568" s="114" t="n">
        <v>4551040</v>
      </c>
      <c r="C3568" s="114" t="n">
        <v>102186.180000008</v>
      </c>
    </row>
    <row r="3569" customFormat="false" ht="15" hidden="false" customHeight="true" outlineLevel="0" collapsed="false">
      <c r="A3569" s="115" t="n">
        <v>4551040.01</v>
      </c>
      <c r="B3569" s="115" t="n">
        <v>4552320</v>
      </c>
      <c r="C3569" s="115" t="n">
        <v>102214.840000008</v>
      </c>
    </row>
    <row r="3570" customFormat="false" ht="15" hidden="false" customHeight="true" outlineLevel="0" collapsed="false">
      <c r="A3570" s="114" t="n">
        <v>4552320.01</v>
      </c>
      <c r="B3570" s="114" t="n">
        <v>4553600</v>
      </c>
      <c r="C3570" s="114" t="n">
        <v>102243.500000008</v>
      </c>
    </row>
    <row r="3571" customFormat="false" ht="15" hidden="false" customHeight="true" outlineLevel="0" collapsed="false">
      <c r="A3571" s="115" t="n">
        <v>4553600.01</v>
      </c>
      <c r="B3571" s="115" t="n">
        <v>4554880</v>
      </c>
      <c r="C3571" s="115" t="n">
        <v>102272.160000008</v>
      </c>
    </row>
    <row r="3572" customFormat="false" ht="15" hidden="false" customHeight="true" outlineLevel="0" collapsed="false">
      <c r="A3572" s="114" t="n">
        <v>4554880.01</v>
      </c>
      <c r="B3572" s="114" t="n">
        <v>4556160</v>
      </c>
      <c r="C3572" s="114" t="n">
        <v>102300.820000008</v>
      </c>
    </row>
    <row r="3573" customFormat="false" ht="15" hidden="false" customHeight="true" outlineLevel="0" collapsed="false">
      <c r="A3573" s="115" t="n">
        <v>4556160.01</v>
      </c>
      <c r="B3573" s="115" t="n">
        <v>4557440</v>
      </c>
      <c r="C3573" s="115" t="n">
        <v>102329.480000008</v>
      </c>
    </row>
    <row r="3574" customFormat="false" ht="15" hidden="false" customHeight="true" outlineLevel="0" collapsed="false">
      <c r="A3574" s="114" t="n">
        <v>4557440.01</v>
      </c>
      <c r="B3574" s="114" t="n">
        <v>4558720</v>
      </c>
      <c r="C3574" s="114" t="n">
        <v>102358.140000008</v>
      </c>
    </row>
    <row r="3575" customFormat="false" ht="15" hidden="false" customHeight="true" outlineLevel="0" collapsed="false">
      <c r="A3575" s="115" t="n">
        <v>4558720.01</v>
      </c>
      <c r="B3575" s="115" t="n">
        <v>4560000</v>
      </c>
      <c r="C3575" s="115" t="n">
        <v>102386.800000008</v>
      </c>
    </row>
    <row r="3576" customFormat="false" ht="15" hidden="false" customHeight="true" outlineLevel="0" collapsed="false">
      <c r="A3576" s="114" t="n">
        <v>4560000.01</v>
      </c>
      <c r="B3576" s="114" t="n">
        <v>4561280</v>
      </c>
      <c r="C3576" s="114" t="n">
        <v>102415.460000008</v>
      </c>
    </row>
    <row r="3577" customFormat="false" ht="15" hidden="false" customHeight="true" outlineLevel="0" collapsed="false">
      <c r="A3577" s="115" t="n">
        <v>4561280.01</v>
      </c>
      <c r="B3577" s="115" t="n">
        <v>4562560</v>
      </c>
      <c r="C3577" s="115" t="n">
        <v>102444.120000008</v>
      </c>
    </row>
    <row r="3578" customFormat="false" ht="15" hidden="false" customHeight="true" outlineLevel="0" collapsed="false">
      <c r="A3578" s="114" t="n">
        <v>4562560.01</v>
      </c>
      <c r="B3578" s="114" t="n">
        <v>4563840</v>
      </c>
      <c r="C3578" s="114" t="n">
        <v>102472.780000008</v>
      </c>
    </row>
    <row r="3579" customFormat="false" ht="15" hidden="false" customHeight="true" outlineLevel="0" collapsed="false">
      <c r="A3579" s="115" t="n">
        <v>4563840.01</v>
      </c>
      <c r="B3579" s="115" t="n">
        <v>4565120</v>
      </c>
      <c r="C3579" s="115" t="n">
        <v>102501.440000008</v>
      </c>
    </row>
    <row r="3580" customFormat="false" ht="15" hidden="false" customHeight="true" outlineLevel="0" collapsed="false">
      <c r="A3580" s="114" t="n">
        <v>4565120.01</v>
      </c>
      <c r="B3580" s="114" t="n">
        <v>4566400</v>
      </c>
      <c r="C3580" s="114" t="n">
        <v>102530.100000008</v>
      </c>
    </row>
    <row r="3581" customFormat="false" ht="15" hidden="false" customHeight="true" outlineLevel="0" collapsed="false">
      <c r="A3581" s="115" t="n">
        <v>4566400.01</v>
      </c>
      <c r="B3581" s="115" t="n">
        <v>4567680</v>
      </c>
      <c r="C3581" s="115" t="n">
        <v>102558.760000008</v>
      </c>
    </row>
    <row r="3582" customFormat="false" ht="15" hidden="false" customHeight="true" outlineLevel="0" collapsed="false">
      <c r="A3582" s="114" t="n">
        <v>4567680.01</v>
      </c>
      <c r="B3582" s="114" t="n">
        <v>4568960</v>
      </c>
      <c r="C3582" s="114" t="n">
        <v>102587.420000008</v>
      </c>
    </row>
    <row r="3583" customFormat="false" ht="15" hidden="false" customHeight="true" outlineLevel="0" collapsed="false">
      <c r="A3583" s="115" t="n">
        <v>4568960.01</v>
      </c>
      <c r="B3583" s="115" t="n">
        <v>4570240</v>
      </c>
      <c r="C3583" s="115" t="n">
        <v>102616.080000008</v>
      </c>
    </row>
    <row r="3584" customFormat="false" ht="15" hidden="false" customHeight="true" outlineLevel="0" collapsed="false">
      <c r="A3584" s="114" t="n">
        <v>4570240.01</v>
      </c>
      <c r="B3584" s="114" t="n">
        <v>4571520</v>
      </c>
      <c r="C3584" s="114" t="n">
        <v>102644.740000008</v>
      </c>
    </row>
    <row r="3585" customFormat="false" ht="15" hidden="false" customHeight="true" outlineLevel="0" collapsed="false">
      <c r="A3585" s="115" t="n">
        <v>4571520.01</v>
      </c>
      <c r="B3585" s="115" t="n">
        <v>4572800</v>
      </c>
      <c r="C3585" s="115" t="n">
        <v>102673.400000008</v>
      </c>
    </row>
    <row r="3586" customFormat="false" ht="15" hidden="false" customHeight="true" outlineLevel="0" collapsed="false">
      <c r="A3586" s="114" t="n">
        <v>4572800.01</v>
      </c>
      <c r="B3586" s="114" t="n">
        <v>4574080</v>
      </c>
      <c r="C3586" s="114" t="n">
        <v>102702.060000008</v>
      </c>
    </row>
    <row r="3587" customFormat="false" ht="15" hidden="false" customHeight="true" outlineLevel="0" collapsed="false">
      <c r="A3587" s="115" t="n">
        <v>4574080.01</v>
      </c>
      <c r="B3587" s="115" t="n">
        <v>4575360</v>
      </c>
      <c r="C3587" s="115" t="n">
        <v>102730.720000008</v>
      </c>
    </row>
    <row r="3588" customFormat="false" ht="15" hidden="false" customHeight="true" outlineLevel="0" collapsed="false">
      <c r="A3588" s="114" t="n">
        <v>4575360.01</v>
      </c>
      <c r="B3588" s="114" t="n">
        <v>4576640</v>
      </c>
      <c r="C3588" s="114" t="n">
        <v>102759.380000008</v>
      </c>
    </row>
    <row r="3589" customFormat="false" ht="15" hidden="false" customHeight="true" outlineLevel="0" collapsed="false">
      <c r="A3589" s="115" t="n">
        <v>4576640.01</v>
      </c>
      <c r="B3589" s="115" t="n">
        <v>4577920</v>
      </c>
      <c r="C3589" s="115" t="n">
        <v>102788.040000008</v>
      </c>
    </row>
    <row r="3590" customFormat="false" ht="15" hidden="false" customHeight="true" outlineLevel="0" collapsed="false">
      <c r="A3590" s="114" t="n">
        <v>4577920.01</v>
      </c>
      <c r="B3590" s="114" t="n">
        <v>4579200</v>
      </c>
      <c r="C3590" s="114" t="n">
        <v>102816.700000008</v>
      </c>
    </row>
    <row r="3591" customFormat="false" ht="15" hidden="false" customHeight="true" outlineLevel="0" collapsed="false">
      <c r="A3591" s="115" t="n">
        <v>4579200.01</v>
      </c>
      <c r="B3591" s="115" t="n">
        <v>4580480</v>
      </c>
      <c r="C3591" s="115" t="n">
        <v>102845.360000008</v>
      </c>
    </row>
    <row r="3592" customFormat="false" ht="15" hidden="false" customHeight="true" outlineLevel="0" collapsed="false">
      <c r="A3592" s="114" t="n">
        <v>4580480.01</v>
      </c>
      <c r="B3592" s="114" t="n">
        <v>4581760</v>
      </c>
      <c r="C3592" s="114" t="n">
        <v>102874.020000008</v>
      </c>
    </row>
    <row r="3593" customFormat="false" ht="15" hidden="false" customHeight="true" outlineLevel="0" collapsed="false">
      <c r="A3593" s="115" t="n">
        <v>4581760.01</v>
      </c>
      <c r="B3593" s="115" t="n">
        <v>4583040</v>
      </c>
      <c r="C3593" s="115" t="n">
        <v>102902.680000008</v>
      </c>
    </row>
    <row r="3594" customFormat="false" ht="15" hidden="false" customHeight="true" outlineLevel="0" collapsed="false">
      <c r="A3594" s="114" t="n">
        <v>4583040.01</v>
      </c>
      <c r="B3594" s="114" t="n">
        <v>4584320</v>
      </c>
      <c r="C3594" s="114" t="n">
        <v>102931.340000008</v>
      </c>
    </row>
    <row r="3595" customFormat="false" ht="15" hidden="false" customHeight="true" outlineLevel="0" collapsed="false">
      <c r="A3595" s="115" t="n">
        <v>4584320.01</v>
      </c>
      <c r="B3595" s="115" t="n">
        <v>4585600</v>
      </c>
      <c r="C3595" s="115" t="n">
        <v>102960.000000008</v>
      </c>
    </row>
    <row r="3596" customFormat="false" ht="15" hidden="false" customHeight="true" outlineLevel="0" collapsed="false">
      <c r="A3596" s="114" t="n">
        <v>4585600.01</v>
      </c>
      <c r="B3596" s="114" t="n">
        <v>4586880</v>
      </c>
      <c r="C3596" s="114" t="n">
        <v>102988.660000008</v>
      </c>
    </row>
    <row r="3597" customFormat="false" ht="15" hidden="false" customHeight="true" outlineLevel="0" collapsed="false">
      <c r="A3597" s="115" t="n">
        <v>4586880.01</v>
      </c>
      <c r="B3597" s="115" t="n">
        <v>4588160</v>
      </c>
      <c r="C3597" s="115" t="n">
        <v>103017.320000008</v>
      </c>
    </row>
    <row r="3598" customFormat="false" ht="15" hidden="false" customHeight="true" outlineLevel="0" collapsed="false">
      <c r="A3598" s="114" t="n">
        <v>4588160.01</v>
      </c>
      <c r="B3598" s="114" t="n">
        <v>4589440</v>
      </c>
      <c r="C3598" s="114" t="n">
        <v>103045.980000008</v>
      </c>
    </row>
    <row r="3599" customFormat="false" ht="15" hidden="false" customHeight="true" outlineLevel="0" collapsed="false">
      <c r="A3599" s="115" t="n">
        <v>4589440.01</v>
      </c>
      <c r="B3599" s="115" t="n">
        <v>4590720</v>
      </c>
      <c r="C3599" s="115" t="n">
        <v>103074.640000008</v>
      </c>
    </row>
    <row r="3600" customFormat="false" ht="15" hidden="false" customHeight="true" outlineLevel="0" collapsed="false">
      <c r="A3600" s="114" t="n">
        <v>4590720.01</v>
      </c>
      <c r="B3600" s="114" t="n">
        <v>4592000</v>
      </c>
      <c r="C3600" s="114" t="n">
        <v>103103.300000008</v>
      </c>
    </row>
    <row r="3601" customFormat="false" ht="15" hidden="false" customHeight="true" outlineLevel="0" collapsed="false">
      <c r="A3601" s="115" t="n">
        <v>4592000.01</v>
      </c>
      <c r="B3601" s="115" t="n">
        <v>4593280</v>
      </c>
      <c r="C3601" s="115" t="n">
        <v>103131.960000008</v>
      </c>
    </row>
    <row r="3602" customFormat="false" ht="15" hidden="false" customHeight="true" outlineLevel="0" collapsed="false">
      <c r="A3602" s="114" t="n">
        <v>4593280.01</v>
      </c>
      <c r="B3602" s="114" t="n">
        <v>4594560</v>
      </c>
      <c r="C3602" s="114" t="n">
        <v>103160.620000008</v>
      </c>
    </row>
    <row r="3603" customFormat="false" ht="15" hidden="false" customHeight="true" outlineLevel="0" collapsed="false">
      <c r="A3603" s="115" t="n">
        <v>4594560.01</v>
      </c>
      <c r="B3603" s="115" t="n">
        <v>4595840</v>
      </c>
      <c r="C3603" s="115" t="n">
        <v>103189.280000008</v>
      </c>
    </row>
    <row r="3604" customFormat="false" ht="15" hidden="false" customHeight="true" outlineLevel="0" collapsed="false">
      <c r="A3604" s="114" t="n">
        <v>4595840.01</v>
      </c>
      <c r="B3604" s="114" t="n">
        <v>4597120</v>
      </c>
      <c r="C3604" s="114" t="n">
        <v>103217.940000008</v>
      </c>
    </row>
    <row r="3605" customFormat="false" ht="15" hidden="false" customHeight="true" outlineLevel="0" collapsed="false">
      <c r="A3605" s="115" t="n">
        <v>4597120.01</v>
      </c>
      <c r="B3605" s="115" t="n">
        <v>4598400</v>
      </c>
      <c r="C3605" s="115" t="n">
        <v>103246.600000008</v>
      </c>
    </row>
    <row r="3606" customFormat="false" ht="15" hidden="false" customHeight="true" outlineLevel="0" collapsed="false">
      <c r="A3606" s="114" t="n">
        <v>4598400.01</v>
      </c>
      <c r="B3606" s="114" t="n">
        <v>4599680</v>
      </c>
      <c r="C3606" s="114" t="n">
        <v>103275.260000008</v>
      </c>
    </row>
    <row r="3607" customFormat="false" ht="15" hidden="false" customHeight="true" outlineLevel="0" collapsed="false">
      <c r="A3607" s="115" t="n">
        <v>4599680.01</v>
      </c>
      <c r="B3607" s="115" t="n">
        <v>4600960</v>
      </c>
      <c r="C3607" s="115" t="n">
        <v>103303.920000008</v>
      </c>
    </row>
    <row r="3608" customFormat="false" ht="15" hidden="false" customHeight="true" outlineLevel="0" collapsed="false">
      <c r="A3608" s="114" t="n">
        <v>4600960.01</v>
      </c>
      <c r="B3608" s="114" t="n">
        <v>4602240</v>
      </c>
      <c r="C3608" s="114" t="n">
        <v>103332.580000008</v>
      </c>
    </row>
    <row r="3609" customFormat="false" ht="15" hidden="false" customHeight="true" outlineLevel="0" collapsed="false">
      <c r="A3609" s="115" t="n">
        <v>4602240.01</v>
      </c>
      <c r="B3609" s="115" t="n">
        <v>4603520</v>
      </c>
      <c r="C3609" s="115" t="n">
        <v>103361.240000008</v>
      </c>
    </row>
    <row r="3610" customFormat="false" ht="15" hidden="false" customHeight="true" outlineLevel="0" collapsed="false">
      <c r="A3610" s="114" t="n">
        <v>4603520.01</v>
      </c>
      <c r="B3610" s="114" t="n">
        <v>4604800</v>
      </c>
      <c r="C3610" s="114" t="n">
        <v>103389.900000008</v>
      </c>
    </row>
    <row r="3611" customFormat="false" ht="15" hidden="false" customHeight="true" outlineLevel="0" collapsed="false">
      <c r="A3611" s="115" t="n">
        <v>4604800.01</v>
      </c>
      <c r="B3611" s="115" t="n">
        <v>4606080</v>
      </c>
      <c r="C3611" s="115" t="n">
        <v>103418.560000009</v>
      </c>
    </row>
    <row r="3612" customFormat="false" ht="15" hidden="false" customHeight="true" outlineLevel="0" collapsed="false">
      <c r="A3612" s="114" t="n">
        <v>4606080.01</v>
      </c>
      <c r="B3612" s="114" t="n">
        <v>4607360</v>
      </c>
      <c r="C3612" s="114" t="n">
        <v>103447.220000009</v>
      </c>
    </row>
    <row r="3613" customFormat="false" ht="15" hidden="false" customHeight="true" outlineLevel="0" collapsed="false">
      <c r="A3613" s="115" t="n">
        <v>4607360.01</v>
      </c>
      <c r="B3613" s="115" t="n">
        <v>4608640</v>
      </c>
      <c r="C3613" s="115" t="n">
        <v>103475.880000009</v>
      </c>
    </row>
    <row r="3614" customFormat="false" ht="15" hidden="false" customHeight="true" outlineLevel="0" collapsed="false">
      <c r="A3614" s="114" t="n">
        <v>4608640.01</v>
      </c>
      <c r="B3614" s="114" t="n">
        <v>4609920</v>
      </c>
      <c r="C3614" s="114" t="n">
        <v>103504.540000009</v>
      </c>
    </row>
    <row r="3615" customFormat="false" ht="15" hidden="false" customHeight="true" outlineLevel="0" collapsed="false">
      <c r="A3615" s="115" t="n">
        <v>4609920.01</v>
      </c>
      <c r="B3615" s="115" t="n">
        <v>4611200</v>
      </c>
      <c r="C3615" s="115" t="n">
        <v>103533.200000009</v>
      </c>
    </row>
    <row r="3616" customFormat="false" ht="15" hidden="false" customHeight="true" outlineLevel="0" collapsed="false">
      <c r="A3616" s="114" t="n">
        <v>4611200.01</v>
      </c>
      <c r="B3616" s="114" t="n">
        <v>4612480</v>
      </c>
      <c r="C3616" s="114" t="n">
        <v>103561.860000009</v>
      </c>
    </row>
    <row r="3617" customFormat="false" ht="15" hidden="false" customHeight="true" outlineLevel="0" collapsed="false">
      <c r="A3617" s="115" t="n">
        <v>4612480.01</v>
      </c>
      <c r="B3617" s="115" t="n">
        <v>4613760</v>
      </c>
      <c r="C3617" s="115" t="n">
        <v>103590.520000009</v>
      </c>
    </row>
    <row r="3618" customFormat="false" ht="15" hidden="false" customHeight="true" outlineLevel="0" collapsed="false">
      <c r="A3618" s="114" t="n">
        <v>4613760.01</v>
      </c>
      <c r="B3618" s="114" t="n">
        <v>4615040</v>
      </c>
      <c r="C3618" s="114" t="n">
        <v>103619.180000009</v>
      </c>
    </row>
    <row r="3619" customFormat="false" ht="15" hidden="false" customHeight="true" outlineLevel="0" collapsed="false">
      <c r="A3619" s="115" t="n">
        <v>4615040.01</v>
      </c>
      <c r="B3619" s="115" t="n">
        <v>4616320</v>
      </c>
      <c r="C3619" s="115" t="n">
        <v>103647.840000009</v>
      </c>
    </row>
    <row r="3620" customFormat="false" ht="15" hidden="false" customHeight="true" outlineLevel="0" collapsed="false">
      <c r="A3620" s="114" t="n">
        <v>4616320.01</v>
      </c>
      <c r="B3620" s="114" t="n">
        <v>4617600</v>
      </c>
      <c r="C3620" s="114" t="n">
        <v>103676.500000009</v>
      </c>
    </row>
    <row r="3621" customFormat="false" ht="15" hidden="false" customHeight="true" outlineLevel="0" collapsed="false">
      <c r="A3621" s="115" t="n">
        <v>4617600.01</v>
      </c>
      <c r="B3621" s="115" t="n">
        <v>4618880</v>
      </c>
      <c r="C3621" s="115" t="n">
        <v>103705.160000009</v>
      </c>
    </row>
    <row r="3622" customFormat="false" ht="15" hidden="false" customHeight="true" outlineLevel="0" collapsed="false">
      <c r="A3622" s="114" t="n">
        <v>4618880.01</v>
      </c>
      <c r="B3622" s="114" t="n">
        <v>4620160</v>
      </c>
      <c r="C3622" s="114" t="n">
        <v>103733.820000009</v>
      </c>
    </row>
    <row r="3623" customFormat="false" ht="15" hidden="false" customHeight="true" outlineLevel="0" collapsed="false">
      <c r="A3623" s="115" t="n">
        <v>4620160.01</v>
      </c>
      <c r="B3623" s="115" t="n">
        <v>4621440</v>
      </c>
      <c r="C3623" s="115" t="n">
        <v>103762.480000009</v>
      </c>
    </row>
    <row r="3624" customFormat="false" ht="15" hidden="false" customHeight="true" outlineLevel="0" collapsed="false">
      <c r="A3624" s="114" t="n">
        <v>4621440.01</v>
      </c>
      <c r="B3624" s="114" t="n">
        <v>4622720</v>
      </c>
      <c r="C3624" s="114" t="n">
        <v>103791.140000009</v>
      </c>
    </row>
    <row r="3625" customFormat="false" ht="15" hidden="false" customHeight="true" outlineLevel="0" collapsed="false">
      <c r="A3625" s="115" t="n">
        <v>4622720.01</v>
      </c>
      <c r="B3625" s="115" t="n">
        <v>4624000</v>
      </c>
      <c r="C3625" s="115" t="n">
        <v>103819.800000009</v>
      </c>
    </row>
    <row r="3626" customFormat="false" ht="15" hidden="false" customHeight="true" outlineLevel="0" collapsed="false">
      <c r="A3626" s="114" t="n">
        <v>4624000.01</v>
      </c>
      <c r="B3626" s="114" t="n">
        <v>4625280</v>
      </c>
      <c r="C3626" s="114" t="n">
        <v>103848.460000009</v>
      </c>
    </row>
    <row r="3627" customFormat="false" ht="15" hidden="false" customHeight="true" outlineLevel="0" collapsed="false">
      <c r="A3627" s="115" t="n">
        <v>4625280.01</v>
      </c>
      <c r="B3627" s="115" t="n">
        <v>4626560</v>
      </c>
      <c r="C3627" s="115" t="n">
        <v>103877.120000009</v>
      </c>
    </row>
    <row r="3628" customFormat="false" ht="15" hidden="false" customHeight="true" outlineLevel="0" collapsed="false">
      <c r="A3628" s="114" t="n">
        <v>4626560.01</v>
      </c>
      <c r="B3628" s="114" t="n">
        <v>4627840</v>
      </c>
      <c r="C3628" s="114" t="n">
        <v>103905.780000009</v>
      </c>
    </row>
    <row r="3629" customFormat="false" ht="15" hidden="false" customHeight="true" outlineLevel="0" collapsed="false">
      <c r="A3629" s="115" t="n">
        <v>4627840.01</v>
      </c>
      <c r="B3629" s="115" t="n">
        <v>4629120</v>
      </c>
      <c r="C3629" s="115" t="n">
        <v>103934.440000009</v>
      </c>
    </row>
    <row r="3630" customFormat="false" ht="15" hidden="false" customHeight="true" outlineLevel="0" collapsed="false">
      <c r="A3630" s="114" t="n">
        <v>4629120.01</v>
      </c>
      <c r="B3630" s="114" t="n">
        <v>4630400</v>
      </c>
      <c r="C3630" s="114" t="n">
        <v>103963.100000009</v>
      </c>
    </row>
    <row r="3631" customFormat="false" ht="15" hidden="false" customHeight="true" outlineLevel="0" collapsed="false">
      <c r="A3631" s="115" t="n">
        <v>4630400.01</v>
      </c>
      <c r="B3631" s="115" t="n">
        <v>4631680</v>
      </c>
      <c r="C3631" s="115" t="n">
        <v>103991.760000009</v>
      </c>
    </row>
    <row r="3632" customFormat="false" ht="15" hidden="false" customHeight="true" outlineLevel="0" collapsed="false">
      <c r="A3632" s="114" t="n">
        <v>4631680.01</v>
      </c>
      <c r="B3632" s="114" t="n">
        <v>4632960</v>
      </c>
      <c r="C3632" s="114" t="n">
        <v>104020.420000009</v>
      </c>
    </row>
    <row r="3633" customFormat="false" ht="15" hidden="false" customHeight="true" outlineLevel="0" collapsed="false">
      <c r="A3633" s="115" t="n">
        <v>4632960.01</v>
      </c>
      <c r="B3633" s="115" t="n">
        <v>4634240</v>
      </c>
      <c r="C3633" s="115" t="n">
        <v>104049.080000009</v>
      </c>
    </row>
    <row r="3634" customFormat="false" ht="15" hidden="false" customHeight="true" outlineLevel="0" collapsed="false">
      <c r="A3634" s="114" t="n">
        <v>4634240.01</v>
      </c>
      <c r="B3634" s="114" t="n">
        <v>4635520</v>
      </c>
      <c r="C3634" s="114" t="n">
        <v>104077.740000009</v>
      </c>
    </row>
    <row r="3635" customFormat="false" ht="15" hidden="false" customHeight="true" outlineLevel="0" collapsed="false">
      <c r="A3635" s="115" t="n">
        <v>4635520.01</v>
      </c>
      <c r="B3635" s="115" t="n">
        <v>4636800</v>
      </c>
      <c r="C3635" s="115" t="n">
        <v>104106.400000009</v>
      </c>
    </row>
    <row r="3636" customFormat="false" ht="15" hidden="false" customHeight="true" outlineLevel="0" collapsed="false">
      <c r="A3636" s="114" t="n">
        <v>4636800.01</v>
      </c>
      <c r="B3636" s="114" t="n">
        <v>4638080</v>
      </c>
      <c r="C3636" s="114" t="n">
        <v>104135.060000009</v>
      </c>
    </row>
    <row r="3637" customFormat="false" ht="15" hidden="false" customHeight="true" outlineLevel="0" collapsed="false">
      <c r="A3637" s="115" t="n">
        <v>4638080.01</v>
      </c>
      <c r="B3637" s="115" t="n">
        <v>4639360</v>
      </c>
      <c r="C3637" s="115" t="n">
        <v>104163.720000009</v>
      </c>
    </row>
    <row r="3638" customFormat="false" ht="15" hidden="false" customHeight="true" outlineLevel="0" collapsed="false">
      <c r="A3638" s="114" t="n">
        <v>4639360.01</v>
      </c>
      <c r="B3638" s="114" t="n">
        <v>4640640</v>
      </c>
      <c r="C3638" s="114" t="n">
        <v>104192.380000009</v>
      </c>
    </row>
    <row r="3639" customFormat="false" ht="15" hidden="false" customHeight="true" outlineLevel="0" collapsed="false">
      <c r="A3639" s="115" t="n">
        <v>4640640.01</v>
      </c>
      <c r="B3639" s="115" t="n">
        <v>4641920</v>
      </c>
      <c r="C3639" s="115" t="n">
        <v>104221.040000009</v>
      </c>
    </row>
    <row r="3640" customFormat="false" ht="15" hidden="false" customHeight="true" outlineLevel="0" collapsed="false">
      <c r="A3640" s="114" t="n">
        <v>4641920.01</v>
      </c>
      <c r="B3640" s="114" t="n">
        <v>4643200</v>
      </c>
      <c r="C3640" s="114" t="n">
        <v>104249.700000009</v>
      </c>
    </row>
    <row r="3641" customFormat="false" ht="15" hidden="false" customHeight="true" outlineLevel="0" collapsed="false">
      <c r="A3641" s="115" t="n">
        <v>4643200.01</v>
      </c>
      <c r="B3641" s="115" t="n">
        <v>4644480</v>
      </c>
      <c r="C3641" s="115" t="n">
        <v>104278.360000009</v>
      </c>
    </row>
    <row r="3642" customFormat="false" ht="15" hidden="false" customHeight="true" outlineLevel="0" collapsed="false">
      <c r="A3642" s="114" t="n">
        <v>4644480.01</v>
      </c>
      <c r="B3642" s="114" t="n">
        <v>4645760</v>
      </c>
      <c r="C3642" s="114" t="n">
        <v>104307.020000009</v>
      </c>
    </row>
    <row r="3643" customFormat="false" ht="15" hidden="false" customHeight="true" outlineLevel="0" collapsed="false">
      <c r="A3643" s="115" t="n">
        <v>4645760.01</v>
      </c>
      <c r="B3643" s="115" t="n">
        <v>4647040</v>
      </c>
      <c r="C3643" s="115" t="n">
        <v>104335.680000009</v>
      </c>
    </row>
    <row r="3644" customFormat="false" ht="15" hidden="false" customHeight="true" outlineLevel="0" collapsed="false">
      <c r="A3644" s="114" t="n">
        <v>4647040.01</v>
      </c>
      <c r="B3644" s="114" t="n">
        <v>4648320</v>
      </c>
      <c r="C3644" s="114" t="n">
        <v>104364.340000009</v>
      </c>
    </row>
    <row r="3645" customFormat="false" ht="15" hidden="false" customHeight="true" outlineLevel="0" collapsed="false">
      <c r="A3645" s="115" t="n">
        <v>4648320.01</v>
      </c>
      <c r="B3645" s="115" t="n">
        <v>4649600</v>
      </c>
      <c r="C3645" s="115" t="n">
        <v>104393.000000009</v>
      </c>
    </row>
    <row r="3646" customFormat="false" ht="15" hidden="false" customHeight="true" outlineLevel="0" collapsed="false">
      <c r="A3646" s="114" t="n">
        <v>4649600.01</v>
      </c>
      <c r="B3646" s="114" t="n">
        <v>4650880</v>
      </c>
      <c r="C3646" s="114" t="n">
        <v>104421.660000009</v>
      </c>
    </row>
    <row r="3647" customFormat="false" ht="15" hidden="false" customHeight="true" outlineLevel="0" collapsed="false">
      <c r="A3647" s="115" t="n">
        <v>4650880.01</v>
      </c>
      <c r="B3647" s="115" t="n">
        <v>4652160</v>
      </c>
      <c r="C3647" s="115" t="n">
        <v>104450.320000009</v>
      </c>
    </row>
    <row r="3648" customFormat="false" ht="15" hidden="false" customHeight="true" outlineLevel="0" collapsed="false">
      <c r="A3648" s="114" t="n">
        <v>4652160.01</v>
      </c>
      <c r="B3648" s="114" t="n">
        <v>4653440</v>
      </c>
      <c r="C3648" s="114" t="n">
        <v>104478.980000009</v>
      </c>
    </row>
    <row r="3649" customFormat="false" ht="15" hidden="false" customHeight="true" outlineLevel="0" collapsed="false">
      <c r="A3649" s="115" t="n">
        <v>4653440.01</v>
      </c>
      <c r="B3649" s="115" t="n">
        <v>4654720</v>
      </c>
      <c r="C3649" s="115" t="n">
        <v>104507.640000009</v>
      </c>
    </row>
    <row r="3650" customFormat="false" ht="15" hidden="false" customHeight="true" outlineLevel="0" collapsed="false">
      <c r="A3650" s="114" t="n">
        <v>4654720.01</v>
      </c>
      <c r="B3650" s="114" t="n">
        <v>4656000</v>
      </c>
      <c r="C3650" s="114" t="n">
        <v>104536.300000009</v>
      </c>
    </row>
    <row r="3651" customFormat="false" ht="15" hidden="false" customHeight="true" outlineLevel="0" collapsed="false">
      <c r="A3651" s="115" t="n">
        <v>4656000.01</v>
      </c>
      <c r="B3651" s="115" t="n">
        <v>4657280</v>
      </c>
      <c r="C3651" s="115" t="n">
        <v>104564.960000009</v>
      </c>
    </row>
    <row r="3652" customFormat="false" ht="15" hidden="false" customHeight="true" outlineLevel="0" collapsed="false">
      <c r="A3652" s="114" t="n">
        <v>4657280.01</v>
      </c>
      <c r="B3652" s="114" t="n">
        <v>4658560</v>
      </c>
      <c r="C3652" s="114" t="n">
        <v>104593.620000009</v>
      </c>
    </row>
    <row r="3653" customFormat="false" ht="15" hidden="false" customHeight="true" outlineLevel="0" collapsed="false">
      <c r="A3653" s="115" t="n">
        <v>4658560.01</v>
      </c>
      <c r="B3653" s="115" t="n">
        <v>4659840</v>
      </c>
      <c r="C3653" s="115" t="n">
        <v>104622.280000009</v>
      </c>
    </row>
    <row r="3654" customFormat="false" ht="15" hidden="false" customHeight="true" outlineLevel="0" collapsed="false">
      <c r="A3654" s="114" t="n">
        <v>4659840.01</v>
      </c>
      <c r="B3654" s="114" t="n">
        <v>4661120</v>
      </c>
      <c r="C3654" s="114" t="n">
        <v>104650.940000009</v>
      </c>
    </row>
    <row r="3655" customFormat="false" ht="15" hidden="false" customHeight="true" outlineLevel="0" collapsed="false">
      <c r="A3655" s="115" t="n">
        <v>4661120.01</v>
      </c>
      <c r="B3655" s="115" t="n">
        <v>4662400</v>
      </c>
      <c r="C3655" s="115" t="n">
        <v>104679.600000009</v>
      </c>
    </row>
    <row r="3656" customFormat="false" ht="15" hidden="false" customHeight="true" outlineLevel="0" collapsed="false">
      <c r="A3656" s="114" t="n">
        <v>4662400.01</v>
      </c>
      <c r="B3656" s="114" t="n">
        <v>4663680</v>
      </c>
      <c r="C3656" s="114" t="n">
        <v>104708.260000009</v>
      </c>
    </row>
    <row r="3657" customFormat="false" ht="15" hidden="false" customHeight="true" outlineLevel="0" collapsed="false">
      <c r="A3657" s="115" t="n">
        <v>4663680.01</v>
      </c>
      <c r="B3657" s="115" t="n">
        <v>4664960</v>
      </c>
      <c r="C3657" s="115" t="n">
        <v>104736.920000009</v>
      </c>
    </row>
    <row r="3658" customFormat="false" ht="15" hidden="false" customHeight="true" outlineLevel="0" collapsed="false">
      <c r="A3658" s="114" t="n">
        <v>4664960.01</v>
      </c>
      <c r="B3658" s="114" t="n">
        <v>4666240</v>
      </c>
      <c r="C3658" s="114" t="n">
        <v>104765.580000009</v>
      </c>
    </row>
    <row r="3659" customFormat="false" ht="15" hidden="false" customHeight="true" outlineLevel="0" collapsed="false">
      <c r="A3659" s="115" t="n">
        <v>4666240.01</v>
      </c>
      <c r="B3659" s="115" t="n">
        <v>4667520</v>
      </c>
      <c r="C3659" s="115" t="n">
        <v>104794.240000009</v>
      </c>
    </row>
    <row r="3660" customFormat="false" ht="15" hidden="false" customHeight="true" outlineLevel="0" collapsed="false">
      <c r="A3660" s="114" t="n">
        <v>4667520.01</v>
      </c>
      <c r="B3660" s="114" t="n">
        <v>4668800</v>
      </c>
      <c r="C3660" s="114" t="n">
        <v>104822.900000009</v>
      </c>
    </row>
    <row r="3661" customFormat="false" ht="15" hidden="false" customHeight="true" outlineLevel="0" collapsed="false">
      <c r="A3661" s="115" t="n">
        <v>4668800.01</v>
      </c>
      <c r="B3661" s="115" t="n">
        <v>4670080</v>
      </c>
      <c r="C3661" s="115" t="n">
        <v>104851.560000009</v>
      </c>
    </row>
    <row r="3662" customFormat="false" ht="15" hidden="false" customHeight="true" outlineLevel="0" collapsed="false">
      <c r="A3662" s="114" t="n">
        <v>4670080.01</v>
      </c>
      <c r="B3662" s="114" t="n">
        <v>4671360</v>
      </c>
      <c r="C3662" s="114" t="n">
        <v>104880.220000009</v>
      </c>
    </row>
    <row r="3663" customFormat="false" ht="15" hidden="false" customHeight="true" outlineLevel="0" collapsed="false">
      <c r="A3663" s="115" t="n">
        <v>4671360.01</v>
      </c>
      <c r="B3663" s="115" t="n">
        <v>4672640</v>
      </c>
      <c r="C3663" s="115" t="n">
        <v>104908.880000009</v>
      </c>
    </row>
    <row r="3664" customFormat="false" ht="15" hidden="false" customHeight="true" outlineLevel="0" collapsed="false">
      <c r="A3664" s="114" t="n">
        <v>4672640.01</v>
      </c>
      <c r="B3664" s="114" t="n">
        <v>4673920</v>
      </c>
      <c r="C3664" s="114" t="n">
        <v>104937.540000009</v>
      </c>
    </row>
    <row r="3665" customFormat="false" ht="15" hidden="false" customHeight="true" outlineLevel="0" collapsed="false">
      <c r="A3665" s="115" t="n">
        <v>4673920.01</v>
      </c>
      <c r="B3665" s="115" t="n">
        <v>4675200</v>
      </c>
      <c r="C3665" s="115" t="n">
        <v>104966.200000009</v>
      </c>
    </row>
    <row r="3666" customFormat="false" ht="15" hidden="false" customHeight="true" outlineLevel="0" collapsed="false">
      <c r="A3666" s="114" t="n">
        <v>4675200.01</v>
      </c>
      <c r="B3666" s="114" t="n">
        <v>4676480</v>
      </c>
      <c r="C3666" s="114" t="n">
        <v>104994.860000009</v>
      </c>
    </row>
    <row r="3667" customFormat="false" ht="15" hidden="false" customHeight="true" outlineLevel="0" collapsed="false">
      <c r="A3667" s="115" t="n">
        <v>4676480.01</v>
      </c>
      <c r="B3667" s="115" t="n">
        <v>4677760</v>
      </c>
      <c r="C3667" s="115" t="n">
        <v>105023.520000009</v>
      </c>
    </row>
    <row r="3668" customFormat="false" ht="15" hidden="false" customHeight="true" outlineLevel="0" collapsed="false">
      <c r="A3668" s="114" t="n">
        <v>4677760.01</v>
      </c>
      <c r="B3668" s="114" t="n">
        <v>4679040</v>
      </c>
      <c r="C3668" s="114" t="n">
        <v>105052.180000009</v>
      </c>
    </row>
    <row r="3669" customFormat="false" ht="15" hidden="false" customHeight="true" outlineLevel="0" collapsed="false">
      <c r="A3669" s="115" t="n">
        <v>4679040.01</v>
      </c>
      <c r="B3669" s="115" t="n">
        <v>4680320</v>
      </c>
      <c r="C3669" s="115" t="n">
        <v>105080.840000009</v>
      </c>
    </row>
    <row r="3670" customFormat="false" ht="15" hidden="false" customHeight="true" outlineLevel="0" collapsed="false">
      <c r="A3670" s="114" t="n">
        <v>4680320.01</v>
      </c>
      <c r="B3670" s="114" t="n">
        <v>4681600</v>
      </c>
      <c r="C3670" s="114" t="n">
        <v>105109.500000009</v>
      </c>
    </row>
    <row r="3671" customFormat="false" ht="15" hidden="false" customHeight="true" outlineLevel="0" collapsed="false">
      <c r="A3671" s="115" t="n">
        <v>4681600.01</v>
      </c>
      <c r="B3671" s="115" t="n">
        <v>4682880</v>
      </c>
      <c r="C3671" s="115" t="n">
        <v>105138.160000009</v>
      </c>
    </row>
    <row r="3672" customFormat="false" ht="15" hidden="false" customHeight="true" outlineLevel="0" collapsed="false">
      <c r="A3672" s="114" t="n">
        <v>4682880.01</v>
      </c>
      <c r="B3672" s="114" t="n">
        <v>4684160</v>
      </c>
      <c r="C3672" s="114" t="n">
        <v>105166.820000009</v>
      </c>
    </row>
    <row r="3673" customFormat="false" ht="15" hidden="false" customHeight="true" outlineLevel="0" collapsed="false">
      <c r="A3673" s="115" t="n">
        <v>4684160.01</v>
      </c>
      <c r="B3673" s="115" t="n">
        <v>4685440</v>
      </c>
      <c r="C3673" s="115" t="n">
        <v>105195.480000009</v>
      </c>
    </row>
    <row r="3674" customFormat="false" ht="15" hidden="false" customHeight="true" outlineLevel="0" collapsed="false">
      <c r="A3674" s="114" t="n">
        <v>4685440.01</v>
      </c>
      <c r="B3674" s="114" t="n">
        <v>4686720</v>
      </c>
      <c r="C3674" s="114" t="n">
        <v>105224.140000009</v>
      </c>
    </row>
    <row r="3675" customFormat="false" ht="15" hidden="false" customHeight="true" outlineLevel="0" collapsed="false">
      <c r="A3675" s="115" t="n">
        <v>4686720.01</v>
      </c>
      <c r="B3675" s="115" t="n">
        <v>4688000</v>
      </c>
      <c r="C3675" s="115" t="n">
        <v>105252.800000009</v>
      </c>
    </row>
    <row r="3676" customFormat="false" ht="15" hidden="false" customHeight="true" outlineLevel="0" collapsed="false">
      <c r="A3676" s="114" t="n">
        <v>4688000.01</v>
      </c>
      <c r="B3676" s="114" t="n">
        <v>4689280</v>
      </c>
      <c r="C3676" s="114" t="n">
        <v>105281.460000009</v>
      </c>
    </row>
    <row r="3677" customFormat="false" ht="15" hidden="false" customHeight="true" outlineLevel="0" collapsed="false">
      <c r="A3677" s="115" t="n">
        <v>4689280.01</v>
      </c>
      <c r="B3677" s="115" t="n">
        <v>4690560</v>
      </c>
      <c r="C3677" s="115" t="n">
        <v>105310.120000009</v>
      </c>
    </row>
    <row r="3678" customFormat="false" ht="15" hidden="false" customHeight="true" outlineLevel="0" collapsed="false">
      <c r="A3678" s="114" t="n">
        <v>4690560.01</v>
      </c>
      <c r="B3678" s="114" t="n">
        <v>4691840</v>
      </c>
      <c r="C3678" s="114" t="n">
        <v>105338.780000009</v>
      </c>
    </row>
    <row r="3679" customFormat="false" ht="15" hidden="false" customHeight="true" outlineLevel="0" collapsed="false">
      <c r="A3679" s="115" t="n">
        <v>4691840.01</v>
      </c>
      <c r="B3679" s="115" t="n">
        <v>4693120</v>
      </c>
      <c r="C3679" s="115" t="n">
        <v>105367.440000009</v>
      </c>
    </row>
    <row r="3680" customFormat="false" ht="15" hidden="false" customHeight="true" outlineLevel="0" collapsed="false">
      <c r="A3680" s="114" t="n">
        <v>4693120.01</v>
      </c>
      <c r="B3680" s="114" t="n">
        <v>4694400</v>
      </c>
      <c r="C3680" s="114" t="n">
        <v>105396.100000009</v>
      </c>
    </row>
    <row r="3681" customFormat="false" ht="15" hidden="false" customHeight="true" outlineLevel="0" collapsed="false">
      <c r="A3681" s="115" t="n">
        <v>4694400.01</v>
      </c>
      <c r="B3681" s="115" t="n">
        <v>4695680</v>
      </c>
      <c r="C3681" s="115" t="n">
        <v>105424.760000009</v>
      </c>
    </row>
    <row r="3682" customFormat="false" ht="15" hidden="false" customHeight="true" outlineLevel="0" collapsed="false">
      <c r="A3682" s="114" t="n">
        <v>4695680.01</v>
      </c>
      <c r="B3682" s="114" t="n">
        <v>4696960</v>
      </c>
      <c r="C3682" s="114" t="n">
        <v>105453.420000009</v>
      </c>
    </row>
    <row r="3683" customFormat="false" ht="15" hidden="false" customHeight="true" outlineLevel="0" collapsed="false">
      <c r="A3683" s="115" t="n">
        <v>4696960.01</v>
      </c>
      <c r="B3683" s="115" t="n">
        <v>4698240</v>
      </c>
      <c r="C3683" s="115" t="n">
        <v>105482.080000009</v>
      </c>
    </row>
    <row r="3684" customFormat="false" ht="15" hidden="false" customHeight="true" outlineLevel="0" collapsed="false">
      <c r="A3684" s="114" t="n">
        <v>4698240.01</v>
      </c>
      <c r="B3684" s="114" t="n">
        <v>4699520</v>
      </c>
      <c r="C3684" s="114" t="n">
        <v>105510.740000009</v>
      </c>
    </row>
    <row r="3685" customFormat="false" ht="15" hidden="false" customHeight="true" outlineLevel="0" collapsed="false">
      <c r="A3685" s="115" t="n">
        <v>4699520.01</v>
      </c>
      <c r="B3685" s="115" t="n">
        <v>4700800</v>
      </c>
      <c r="C3685" s="115" t="n">
        <v>105539.400000009</v>
      </c>
    </row>
    <row r="3686" customFormat="false" ht="15" hidden="false" customHeight="true" outlineLevel="0" collapsed="false">
      <c r="A3686" s="114" t="n">
        <v>4700800.01</v>
      </c>
      <c r="B3686" s="114" t="n">
        <v>4702080</v>
      </c>
      <c r="C3686" s="114" t="n">
        <v>105568.060000009</v>
      </c>
    </row>
    <row r="3687" customFormat="false" ht="15" hidden="false" customHeight="true" outlineLevel="0" collapsed="false">
      <c r="A3687" s="115" t="n">
        <v>4702080.01</v>
      </c>
      <c r="B3687" s="115" t="n">
        <v>4703360</v>
      </c>
      <c r="C3687" s="115" t="n">
        <v>105596.720000009</v>
      </c>
    </row>
    <row r="3688" customFormat="false" ht="15" hidden="false" customHeight="true" outlineLevel="0" collapsed="false">
      <c r="A3688" s="114" t="n">
        <v>4703360.01</v>
      </c>
      <c r="B3688" s="114" t="n">
        <v>4704640</v>
      </c>
      <c r="C3688" s="114" t="n">
        <v>105625.380000009</v>
      </c>
    </row>
    <row r="3689" customFormat="false" ht="15" hidden="false" customHeight="true" outlineLevel="0" collapsed="false">
      <c r="A3689" s="115" t="n">
        <v>4704640.01</v>
      </c>
      <c r="B3689" s="115" t="n">
        <v>4705920</v>
      </c>
      <c r="C3689" s="115" t="n">
        <v>105654.040000009</v>
      </c>
    </row>
    <row r="3690" customFormat="false" ht="15" hidden="false" customHeight="true" outlineLevel="0" collapsed="false">
      <c r="A3690" s="114" t="n">
        <v>4705920.01</v>
      </c>
      <c r="B3690" s="114" t="n">
        <v>4707200</v>
      </c>
      <c r="C3690" s="114" t="n">
        <v>105682.700000009</v>
      </c>
    </row>
    <row r="3691" customFormat="false" ht="15" hidden="false" customHeight="true" outlineLevel="0" collapsed="false">
      <c r="A3691" s="115" t="n">
        <v>4707200.01</v>
      </c>
      <c r="B3691" s="115" t="n">
        <v>4708480</v>
      </c>
      <c r="C3691" s="115" t="n">
        <v>105711.360000009</v>
      </c>
    </row>
    <row r="3692" customFormat="false" ht="15" hidden="false" customHeight="true" outlineLevel="0" collapsed="false">
      <c r="A3692" s="114" t="n">
        <v>4708480.01</v>
      </c>
      <c r="B3692" s="114" t="n">
        <v>4709760</v>
      </c>
      <c r="C3692" s="114" t="n">
        <v>105740.020000009</v>
      </c>
    </row>
    <row r="3693" customFormat="false" ht="15" hidden="false" customHeight="true" outlineLevel="0" collapsed="false">
      <c r="A3693" s="115" t="n">
        <v>4709760.01</v>
      </c>
      <c r="B3693" s="115" t="n">
        <v>4711040</v>
      </c>
      <c r="C3693" s="115" t="n">
        <v>105768.680000009</v>
      </c>
    </row>
    <row r="3694" customFormat="false" ht="15" hidden="false" customHeight="true" outlineLevel="0" collapsed="false">
      <c r="A3694" s="114" t="n">
        <v>4711040.01</v>
      </c>
      <c r="B3694" s="114" t="n">
        <v>4712320</v>
      </c>
      <c r="C3694" s="114" t="n">
        <v>105797.340000009</v>
      </c>
    </row>
    <row r="3695" customFormat="false" ht="15" hidden="false" customHeight="true" outlineLevel="0" collapsed="false">
      <c r="A3695" s="115" t="n">
        <v>4712320.01</v>
      </c>
      <c r="B3695" s="115" t="n">
        <v>4713600</v>
      </c>
      <c r="C3695" s="115" t="n">
        <v>105826.000000009</v>
      </c>
    </row>
    <row r="3696" customFormat="false" ht="15" hidden="false" customHeight="true" outlineLevel="0" collapsed="false">
      <c r="A3696" s="114" t="n">
        <v>4713600.01</v>
      </c>
      <c r="B3696" s="114" t="n">
        <v>4714880</v>
      </c>
      <c r="C3696" s="114" t="n">
        <v>105854.660000009</v>
      </c>
    </row>
    <row r="3697" customFormat="false" ht="15" hidden="false" customHeight="true" outlineLevel="0" collapsed="false">
      <c r="A3697" s="115" t="n">
        <v>4714880.01</v>
      </c>
      <c r="B3697" s="115" t="n">
        <v>4716160</v>
      </c>
      <c r="C3697" s="115" t="n">
        <v>105883.320000009</v>
      </c>
    </row>
    <row r="3698" customFormat="false" ht="15" hidden="false" customHeight="true" outlineLevel="0" collapsed="false">
      <c r="A3698" s="114" t="n">
        <v>4716160.01</v>
      </c>
      <c r="B3698" s="114" t="n">
        <v>4717440</v>
      </c>
      <c r="C3698" s="114" t="n">
        <v>105911.980000009</v>
      </c>
    </row>
    <row r="3699" customFormat="false" ht="15" hidden="false" customHeight="true" outlineLevel="0" collapsed="false">
      <c r="A3699" s="115" t="n">
        <v>4717440.01</v>
      </c>
      <c r="B3699" s="115" t="n">
        <v>4718720</v>
      </c>
      <c r="C3699" s="115" t="n">
        <v>105940.640000009</v>
      </c>
    </row>
    <row r="3700" customFormat="false" ht="15" hidden="false" customHeight="true" outlineLevel="0" collapsed="false">
      <c r="A3700" s="114" t="n">
        <v>4718720.01</v>
      </c>
      <c r="B3700" s="114" t="n">
        <v>4720000</v>
      </c>
      <c r="C3700" s="114" t="n">
        <v>105969.300000009</v>
      </c>
    </row>
    <row r="3701" customFormat="false" ht="15" hidden="false" customHeight="true" outlineLevel="0" collapsed="false">
      <c r="A3701" s="115" t="n">
        <v>4720000.01</v>
      </c>
      <c r="B3701" s="115" t="n">
        <v>4721280</v>
      </c>
      <c r="C3701" s="115" t="n">
        <v>105997.960000009</v>
      </c>
    </row>
    <row r="3702" customFormat="false" ht="15" hidden="false" customHeight="true" outlineLevel="0" collapsed="false">
      <c r="A3702" s="114" t="n">
        <v>4721280.01</v>
      </c>
      <c r="B3702" s="114" t="n">
        <v>4722560</v>
      </c>
      <c r="C3702" s="114" t="n">
        <v>106026.620000009</v>
      </c>
    </row>
    <row r="3703" customFormat="false" ht="15" hidden="false" customHeight="true" outlineLevel="0" collapsed="false">
      <c r="A3703" s="115" t="n">
        <v>4722560.01</v>
      </c>
      <c r="B3703" s="115" t="n">
        <v>4723840</v>
      </c>
      <c r="C3703" s="115" t="n">
        <v>106055.280000009</v>
      </c>
    </row>
    <row r="3704" customFormat="false" ht="15" hidden="false" customHeight="true" outlineLevel="0" collapsed="false">
      <c r="A3704" s="114" t="n">
        <v>4723840.01</v>
      </c>
      <c r="B3704" s="114" t="n">
        <v>4725120</v>
      </c>
      <c r="C3704" s="114" t="n">
        <v>106083.940000009</v>
      </c>
    </row>
    <row r="3705" customFormat="false" ht="15" hidden="false" customHeight="true" outlineLevel="0" collapsed="false">
      <c r="A3705" s="115" t="n">
        <v>4725120.01</v>
      </c>
      <c r="B3705" s="115" t="n">
        <v>4726400</v>
      </c>
      <c r="C3705" s="115" t="n">
        <v>106112.600000009</v>
      </c>
    </row>
    <row r="3706" customFormat="false" ht="15" hidden="false" customHeight="true" outlineLevel="0" collapsed="false">
      <c r="A3706" s="114" t="n">
        <v>4726400.01</v>
      </c>
      <c r="B3706" s="114" t="n">
        <v>4727680</v>
      </c>
      <c r="C3706" s="114" t="n">
        <v>106141.260000009</v>
      </c>
    </row>
    <row r="3707" customFormat="false" ht="15" hidden="false" customHeight="true" outlineLevel="0" collapsed="false">
      <c r="A3707" s="115" t="n">
        <v>4727680.01</v>
      </c>
      <c r="B3707" s="115" t="n">
        <v>4728960</v>
      </c>
      <c r="C3707" s="115" t="n">
        <v>106169.920000009</v>
      </c>
    </row>
    <row r="3708" customFormat="false" ht="15" hidden="false" customHeight="true" outlineLevel="0" collapsed="false">
      <c r="A3708" s="114" t="n">
        <v>4728960.01</v>
      </c>
      <c r="B3708" s="114" t="n">
        <v>4730240</v>
      </c>
      <c r="C3708" s="114" t="n">
        <v>106198.580000009</v>
      </c>
    </row>
    <row r="3709" customFormat="false" ht="15" hidden="false" customHeight="true" outlineLevel="0" collapsed="false">
      <c r="A3709" s="115" t="n">
        <v>4730240.01</v>
      </c>
      <c r="B3709" s="115" t="n">
        <v>4731520</v>
      </c>
      <c r="C3709" s="115" t="n">
        <v>106227.240000009</v>
      </c>
    </row>
    <row r="3710" customFormat="false" ht="15" hidden="false" customHeight="true" outlineLevel="0" collapsed="false">
      <c r="A3710" s="114" t="n">
        <v>4731520.01</v>
      </c>
      <c r="B3710" s="114" t="n">
        <v>4732800</v>
      </c>
      <c r="C3710" s="114" t="n">
        <v>106255.900000009</v>
      </c>
    </row>
    <row r="3711" customFormat="false" ht="15" hidden="false" customHeight="true" outlineLevel="0" collapsed="false">
      <c r="A3711" s="115" t="n">
        <v>4732800.01</v>
      </c>
      <c r="B3711" s="115" t="n">
        <v>4734080</v>
      </c>
      <c r="C3711" s="115" t="n">
        <v>106284.560000009</v>
      </c>
    </row>
    <row r="3712" customFormat="false" ht="15" hidden="false" customHeight="true" outlineLevel="0" collapsed="false">
      <c r="A3712" s="114" t="n">
        <v>4734080.01</v>
      </c>
      <c r="B3712" s="114" t="n">
        <v>4735360</v>
      </c>
      <c r="C3712" s="114" t="n">
        <v>106313.220000009</v>
      </c>
    </row>
    <row r="3713" customFormat="false" ht="15" hidden="false" customHeight="true" outlineLevel="0" collapsed="false">
      <c r="A3713" s="115" t="n">
        <v>4735360.01</v>
      </c>
      <c r="B3713" s="115" t="n">
        <v>4736640</v>
      </c>
      <c r="C3713" s="115" t="n">
        <v>106341.880000009</v>
      </c>
    </row>
    <row r="3714" customFormat="false" ht="15" hidden="false" customHeight="true" outlineLevel="0" collapsed="false">
      <c r="A3714" s="114" t="n">
        <v>4736640.01</v>
      </c>
      <c r="B3714" s="114" t="n">
        <v>4737920</v>
      </c>
      <c r="C3714" s="114" t="n">
        <v>106370.540000009</v>
      </c>
    </row>
    <row r="3715" customFormat="false" ht="15" hidden="false" customHeight="true" outlineLevel="0" collapsed="false">
      <c r="A3715" s="115" t="n">
        <v>4737920.01</v>
      </c>
      <c r="B3715" s="115" t="n">
        <v>4739200</v>
      </c>
      <c r="C3715" s="115" t="n">
        <v>106399.200000009</v>
      </c>
    </row>
    <row r="3716" customFormat="false" ht="15" hidden="false" customHeight="true" outlineLevel="0" collapsed="false">
      <c r="A3716" s="114" t="n">
        <v>4739200.01</v>
      </c>
      <c r="B3716" s="114" t="n">
        <v>4740480</v>
      </c>
      <c r="C3716" s="114" t="n">
        <v>106427.860000009</v>
      </c>
    </row>
    <row r="3717" customFormat="false" ht="15" hidden="false" customHeight="true" outlineLevel="0" collapsed="false">
      <c r="A3717" s="115" t="n">
        <v>4740480.01</v>
      </c>
      <c r="B3717" s="115" t="n">
        <v>4741760</v>
      </c>
      <c r="C3717" s="115" t="n">
        <v>106456.520000009</v>
      </c>
    </row>
    <row r="3718" customFormat="false" ht="15" hidden="false" customHeight="true" outlineLevel="0" collapsed="false">
      <c r="A3718" s="114" t="n">
        <v>4741760.01</v>
      </c>
      <c r="B3718" s="114" t="n">
        <v>4743040</v>
      </c>
      <c r="C3718" s="114" t="n">
        <v>106485.180000009</v>
      </c>
    </row>
    <row r="3719" customFormat="false" ht="15" hidden="false" customHeight="true" outlineLevel="0" collapsed="false">
      <c r="A3719" s="115" t="n">
        <v>4743040.01</v>
      </c>
      <c r="B3719" s="115" t="n">
        <v>4744320</v>
      </c>
      <c r="C3719" s="115" t="n">
        <v>106513.840000009</v>
      </c>
    </row>
    <row r="3720" customFormat="false" ht="15" hidden="false" customHeight="true" outlineLevel="0" collapsed="false">
      <c r="A3720" s="114" t="n">
        <v>4744320.01</v>
      </c>
      <c r="B3720" s="114" t="n">
        <v>4745600</v>
      </c>
      <c r="C3720" s="114" t="n">
        <v>106542.500000009</v>
      </c>
    </row>
    <row r="3721" customFormat="false" ht="15" hidden="false" customHeight="true" outlineLevel="0" collapsed="false">
      <c r="A3721" s="115" t="n">
        <v>4745600.01</v>
      </c>
      <c r="B3721" s="115" t="n">
        <v>4746880</v>
      </c>
      <c r="C3721" s="115" t="n">
        <v>106571.160000009</v>
      </c>
    </row>
    <row r="3722" customFormat="false" ht="15" hidden="false" customHeight="true" outlineLevel="0" collapsed="false">
      <c r="A3722" s="114" t="n">
        <v>4746880.01</v>
      </c>
      <c r="B3722" s="114" t="n">
        <v>4748160</v>
      </c>
      <c r="C3722" s="114" t="n">
        <v>106599.820000009</v>
      </c>
    </row>
    <row r="3723" customFormat="false" ht="15" hidden="false" customHeight="true" outlineLevel="0" collapsed="false">
      <c r="A3723" s="115" t="n">
        <v>4748160.01</v>
      </c>
      <c r="B3723" s="115" t="n">
        <v>4749440</v>
      </c>
      <c r="C3723" s="115" t="n">
        <v>106628.480000009</v>
      </c>
    </row>
    <row r="3724" customFormat="false" ht="15" hidden="false" customHeight="true" outlineLevel="0" collapsed="false">
      <c r="A3724" s="114" t="n">
        <v>4749440.01</v>
      </c>
      <c r="B3724" s="114" t="n">
        <v>4750720</v>
      </c>
      <c r="C3724" s="114" t="n">
        <v>106657.140000009</v>
      </c>
    </row>
    <row r="3725" customFormat="false" ht="15" hidden="false" customHeight="true" outlineLevel="0" collapsed="false">
      <c r="A3725" s="115" t="n">
        <v>4750720.01</v>
      </c>
      <c r="B3725" s="115" t="n">
        <v>4752000</v>
      </c>
      <c r="C3725" s="115" t="n">
        <v>106685.800000009</v>
      </c>
    </row>
    <row r="3726" customFormat="false" ht="15" hidden="false" customHeight="true" outlineLevel="0" collapsed="false">
      <c r="A3726" s="114" t="n">
        <v>4752000.01</v>
      </c>
      <c r="B3726" s="114" t="n">
        <v>4753280</v>
      </c>
      <c r="C3726" s="114" t="n">
        <v>106714.460000009</v>
      </c>
    </row>
    <row r="3727" customFormat="false" ht="15" hidden="false" customHeight="true" outlineLevel="0" collapsed="false">
      <c r="A3727" s="115" t="n">
        <v>4753280.01</v>
      </c>
      <c r="B3727" s="115" t="n">
        <v>4754560</v>
      </c>
      <c r="C3727" s="115" t="n">
        <v>106743.120000009</v>
      </c>
    </row>
    <row r="3728" customFormat="false" ht="15" hidden="false" customHeight="true" outlineLevel="0" collapsed="false">
      <c r="A3728" s="114" t="n">
        <v>4754560.01</v>
      </c>
      <c r="B3728" s="114" t="n">
        <v>4755840</v>
      </c>
      <c r="C3728" s="114" t="n">
        <v>106771.780000009</v>
      </c>
    </row>
    <row r="3729" customFormat="false" ht="15" hidden="false" customHeight="true" outlineLevel="0" collapsed="false">
      <c r="A3729" s="115" t="n">
        <v>4755840.01</v>
      </c>
      <c r="B3729" s="115" t="n">
        <v>4757120</v>
      </c>
      <c r="C3729" s="115" t="n">
        <v>106800.440000009</v>
      </c>
    </row>
    <row r="3730" customFormat="false" ht="15" hidden="false" customHeight="true" outlineLevel="0" collapsed="false">
      <c r="A3730" s="114" t="n">
        <v>4757120.01</v>
      </c>
      <c r="B3730" s="114" t="n">
        <v>4758400</v>
      </c>
      <c r="C3730" s="114" t="n">
        <v>106829.100000009</v>
      </c>
    </row>
    <row r="3731" customFormat="false" ht="15" hidden="false" customHeight="true" outlineLevel="0" collapsed="false">
      <c r="A3731" s="115" t="n">
        <v>4758400.01</v>
      </c>
      <c r="B3731" s="115" t="n">
        <v>4759680</v>
      </c>
      <c r="C3731" s="115" t="n">
        <v>106857.760000009</v>
      </c>
    </row>
    <row r="3732" customFormat="false" ht="15" hidden="false" customHeight="true" outlineLevel="0" collapsed="false">
      <c r="A3732" s="114" t="n">
        <v>4759680.01</v>
      </c>
      <c r="B3732" s="114" t="n">
        <v>4760960</v>
      </c>
      <c r="C3732" s="114" t="n">
        <v>106886.420000009</v>
      </c>
    </row>
    <row r="3733" customFormat="false" ht="15" hidden="false" customHeight="true" outlineLevel="0" collapsed="false">
      <c r="A3733" s="115" t="n">
        <v>4760960.01</v>
      </c>
      <c r="B3733" s="115" t="n">
        <v>4762240</v>
      </c>
      <c r="C3733" s="115" t="n">
        <v>106915.080000009</v>
      </c>
    </row>
    <row r="3734" customFormat="false" ht="15" hidden="false" customHeight="true" outlineLevel="0" collapsed="false">
      <c r="A3734" s="114" t="n">
        <v>4762240.01</v>
      </c>
      <c r="B3734" s="114" t="n">
        <v>4763520</v>
      </c>
      <c r="C3734" s="114" t="n">
        <v>106943.740000009</v>
      </c>
    </row>
    <row r="3735" customFormat="false" ht="15" hidden="false" customHeight="true" outlineLevel="0" collapsed="false">
      <c r="A3735" s="115" t="n">
        <v>4763520.01</v>
      </c>
      <c r="B3735" s="115" t="n">
        <v>4764800</v>
      </c>
      <c r="C3735" s="115" t="n">
        <v>106972.400000009</v>
      </c>
    </row>
    <row r="3736" customFormat="false" ht="15" hidden="false" customHeight="true" outlineLevel="0" collapsed="false">
      <c r="A3736" s="114" t="n">
        <v>4764800.01</v>
      </c>
      <c r="B3736" s="114" t="n">
        <v>4766080</v>
      </c>
      <c r="C3736" s="114" t="n">
        <v>107001.060000009</v>
      </c>
    </row>
    <row r="3737" customFormat="false" ht="15" hidden="false" customHeight="true" outlineLevel="0" collapsed="false">
      <c r="A3737" s="115" t="n">
        <v>4766080.01</v>
      </c>
      <c r="B3737" s="115" t="n">
        <v>4767360</v>
      </c>
      <c r="C3737" s="115" t="n">
        <v>107029.720000009</v>
      </c>
    </row>
    <row r="3738" customFormat="false" ht="15" hidden="false" customHeight="true" outlineLevel="0" collapsed="false">
      <c r="A3738" s="114" t="n">
        <v>4767360.01</v>
      </c>
      <c r="B3738" s="114" t="n">
        <v>4768640</v>
      </c>
      <c r="C3738" s="114" t="n">
        <v>107058.380000009</v>
      </c>
    </row>
    <row r="3739" customFormat="false" ht="15" hidden="false" customHeight="true" outlineLevel="0" collapsed="false">
      <c r="A3739" s="115" t="n">
        <v>4768640.01</v>
      </c>
      <c r="B3739" s="115" t="n">
        <v>4769920</v>
      </c>
      <c r="C3739" s="115" t="n">
        <v>107087.040000009</v>
      </c>
    </row>
    <row r="3740" customFormat="false" ht="15" hidden="false" customHeight="true" outlineLevel="0" collapsed="false">
      <c r="A3740" s="114" t="n">
        <v>4769920.01</v>
      </c>
      <c r="B3740" s="114" t="n">
        <v>4771200</v>
      </c>
      <c r="C3740" s="114" t="n">
        <v>107115.700000009</v>
      </c>
    </row>
    <row r="3741" customFormat="false" ht="15" hidden="false" customHeight="true" outlineLevel="0" collapsed="false">
      <c r="A3741" s="115" t="n">
        <v>4771200.01</v>
      </c>
      <c r="B3741" s="115" t="n">
        <v>4772480</v>
      </c>
      <c r="C3741" s="115" t="n">
        <v>107144.360000009</v>
      </c>
    </row>
    <row r="3742" customFormat="false" ht="15" hidden="false" customHeight="true" outlineLevel="0" collapsed="false">
      <c r="A3742" s="114" t="n">
        <v>4772480.01</v>
      </c>
      <c r="B3742" s="114" t="n">
        <v>4773760</v>
      </c>
      <c r="C3742" s="114" t="n">
        <v>107173.020000009</v>
      </c>
    </row>
    <row r="3743" customFormat="false" ht="15" hidden="false" customHeight="true" outlineLevel="0" collapsed="false">
      <c r="A3743" s="115" t="n">
        <v>4773760.01</v>
      </c>
      <c r="B3743" s="115" t="n">
        <v>4775040</v>
      </c>
      <c r="C3743" s="115" t="n">
        <v>107201.680000009</v>
      </c>
    </row>
    <row r="3744" customFormat="false" ht="15" hidden="false" customHeight="true" outlineLevel="0" collapsed="false">
      <c r="A3744" s="114" t="n">
        <v>4775040.01</v>
      </c>
      <c r="B3744" s="114" t="n">
        <v>4776320</v>
      </c>
      <c r="C3744" s="114" t="n">
        <v>107230.340000009</v>
      </c>
    </row>
    <row r="3745" customFormat="false" ht="15" hidden="false" customHeight="true" outlineLevel="0" collapsed="false">
      <c r="A3745" s="115" t="n">
        <v>4776320.01</v>
      </c>
      <c r="B3745" s="115" t="n">
        <v>4777600</v>
      </c>
      <c r="C3745" s="115" t="n">
        <v>107259.000000009</v>
      </c>
    </row>
    <row r="3746" customFormat="false" ht="15" hidden="false" customHeight="true" outlineLevel="0" collapsed="false">
      <c r="A3746" s="114" t="n">
        <v>4777600.01</v>
      </c>
      <c r="B3746" s="114" t="n">
        <v>4778880</v>
      </c>
      <c r="C3746" s="114" t="n">
        <v>107287.660000009</v>
      </c>
    </row>
    <row r="3747" customFormat="false" ht="15" hidden="false" customHeight="true" outlineLevel="0" collapsed="false">
      <c r="A3747" s="115" t="n">
        <v>4778880.01</v>
      </c>
      <c r="B3747" s="115" t="n">
        <v>4780160</v>
      </c>
      <c r="C3747" s="115" t="n">
        <v>107316.320000009</v>
      </c>
    </row>
    <row r="3748" customFormat="false" ht="15" hidden="false" customHeight="true" outlineLevel="0" collapsed="false">
      <c r="A3748" s="114" t="n">
        <v>4780160.01</v>
      </c>
      <c r="B3748" s="114" t="n">
        <v>4781440</v>
      </c>
      <c r="C3748" s="114" t="n">
        <v>107344.980000009</v>
      </c>
    </row>
    <row r="3749" customFormat="false" ht="15" hidden="false" customHeight="true" outlineLevel="0" collapsed="false">
      <c r="A3749" s="115" t="n">
        <v>4781440.01</v>
      </c>
      <c r="B3749" s="115" t="n">
        <v>4782720</v>
      </c>
      <c r="C3749" s="115" t="n">
        <v>107373.640000009</v>
      </c>
    </row>
    <row r="3750" customFormat="false" ht="15" hidden="false" customHeight="true" outlineLevel="0" collapsed="false">
      <c r="A3750" s="114" t="n">
        <v>4782720.01</v>
      </c>
      <c r="B3750" s="114" t="n">
        <v>4784000</v>
      </c>
      <c r="C3750" s="114" t="n">
        <v>107402.300000009</v>
      </c>
    </row>
    <row r="3751" customFormat="false" ht="15" hidden="false" customHeight="true" outlineLevel="0" collapsed="false">
      <c r="A3751" s="115" t="n">
        <v>4784000.01</v>
      </c>
      <c r="B3751" s="115" t="n">
        <v>4785280</v>
      </c>
      <c r="C3751" s="115" t="n">
        <v>107430.960000009</v>
      </c>
    </row>
    <row r="3752" customFormat="false" ht="15" hidden="false" customHeight="true" outlineLevel="0" collapsed="false">
      <c r="A3752" s="114" t="n">
        <v>4785280.01</v>
      </c>
      <c r="B3752" s="114" t="n">
        <v>4786560</v>
      </c>
      <c r="C3752" s="114" t="n">
        <v>107459.620000009</v>
      </c>
    </row>
    <row r="3753" customFormat="false" ht="15" hidden="false" customHeight="true" outlineLevel="0" collapsed="false">
      <c r="A3753" s="115" t="n">
        <v>4786560.01</v>
      </c>
      <c r="B3753" s="115" t="n">
        <v>4787840</v>
      </c>
      <c r="C3753" s="115" t="n">
        <v>107488.280000009</v>
      </c>
    </row>
    <row r="3754" customFormat="false" ht="15" hidden="false" customHeight="true" outlineLevel="0" collapsed="false">
      <c r="A3754" s="114" t="n">
        <v>4787840.01</v>
      </c>
      <c r="B3754" s="114" t="n">
        <v>4789120</v>
      </c>
      <c r="C3754" s="114" t="n">
        <v>107516.940000009</v>
      </c>
    </row>
    <row r="3755" customFormat="false" ht="15" hidden="false" customHeight="true" outlineLevel="0" collapsed="false">
      <c r="A3755" s="115" t="n">
        <v>4789120.01</v>
      </c>
      <c r="B3755" s="115" t="n">
        <v>4790400</v>
      </c>
      <c r="C3755" s="115" t="n">
        <v>107545.600000009</v>
      </c>
    </row>
    <row r="3756" customFormat="false" ht="15" hidden="false" customHeight="true" outlineLevel="0" collapsed="false">
      <c r="A3756" s="114" t="n">
        <v>4790400.01</v>
      </c>
      <c r="B3756" s="114" t="n">
        <v>4791680</v>
      </c>
      <c r="C3756" s="114" t="n">
        <v>107574.260000009</v>
      </c>
    </row>
    <row r="3757" customFormat="false" ht="15" hidden="false" customHeight="true" outlineLevel="0" collapsed="false">
      <c r="A3757" s="115" t="n">
        <v>4791680.01</v>
      </c>
      <c r="B3757" s="115" t="n">
        <v>4792960</v>
      </c>
      <c r="C3757" s="115" t="n">
        <v>107602.920000009</v>
      </c>
    </row>
    <row r="3758" customFormat="false" ht="15" hidden="false" customHeight="true" outlineLevel="0" collapsed="false">
      <c r="A3758" s="114" t="n">
        <v>4792960.01</v>
      </c>
      <c r="B3758" s="114" t="n">
        <v>4794240</v>
      </c>
      <c r="C3758" s="114" t="n">
        <v>107631.580000009</v>
      </c>
    </row>
    <row r="3759" customFormat="false" ht="15" hidden="false" customHeight="true" outlineLevel="0" collapsed="false">
      <c r="A3759" s="115" t="n">
        <v>4794240.01</v>
      </c>
      <c r="B3759" s="115" t="n">
        <v>4795520</v>
      </c>
      <c r="C3759" s="115" t="n">
        <v>107660.240000009</v>
      </c>
    </row>
    <row r="3760" customFormat="false" ht="15" hidden="false" customHeight="true" outlineLevel="0" collapsed="false">
      <c r="A3760" s="114" t="n">
        <v>4795520.01</v>
      </c>
      <c r="B3760" s="114" t="n">
        <v>4796800</v>
      </c>
      <c r="C3760" s="114" t="n">
        <v>107688.900000009</v>
      </c>
    </row>
    <row r="3761" customFormat="false" ht="15" hidden="false" customHeight="true" outlineLevel="0" collapsed="false">
      <c r="A3761" s="115" t="n">
        <v>4796800.01</v>
      </c>
      <c r="B3761" s="115" t="n">
        <v>4798080</v>
      </c>
      <c r="C3761" s="115" t="n">
        <v>107717.560000009</v>
      </c>
    </row>
    <row r="3762" customFormat="false" ht="15" hidden="false" customHeight="true" outlineLevel="0" collapsed="false">
      <c r="A3762" s="114" t="n">
        <v>4798080.01</v>
      </c>
      <c r="B3762" s="114" t="n">
        <v>4799360</v>
      </c>
      <c r="C3762" s="114" t="n">
        <v>107746.220000009</v>
      </c>
    </row>
    <row r="3763" customFormat="false" ht="15" hidden="false" customHeight="true" outlineLevel="0" collapsed="false">
      <c r="A3763" s="115" t="n">
        <v>4799360.01</v>
      </c>
      <c r="B3763" s="115" t="n">
        <v>4800640</v>
      </c>
      <c r="C3763" s="115" t="n">
        <v>107774.880000009</v>
      </c>
    </row>
    <row r="3764" customFormat="false" ht="15" hidden="false" customHeight="true" outlineLevel="0" collapsed="false">
      <c r="A3764" s="114" t="n">
        <v>4800640.01</v>
      </c>
      <c r="B3764" s="114" t="n">
        <v>4801920</v>
      </c>
      <c r="C3764" s="114" t="n">
        <v>107803.540000009</v>
      </c>
    </row>
    <row r="3765" customFormat="false" ht="15" hidden="false" customHeight="true" outlineLevel="0" collapsed="false">
      <c r="A3765" s="115" t="n">
        <v>4801920.01</v>
      </c>
      <c r="B3765" s="115" t="n">
        <v>4803200</v>
      </c>
      <c r="C3765" s="115" t="n">
        <v>107832.200000009</v>
      </c>
    </row>
    <row r="3766" customFormat="false" ht="15" hidden="false" customHeight="true" outlineLevel="0" collapsed="false">
      <c r="A3766" s="114" t="n">
        <v>4803200.01</v>
      </c>
      <c r="B3766" s="114" t="n">
        <v>4804480</v>
      </c>
      <c r="C3766" s="114" t="n">
        <v>107860.860000009</v>
      </c>
    </row>
    <row r="3767" customFormat="false" ht="15" hidden="false" customHeight="true" outlineLevel="0" collapsed="false">
      <c r="A3767" s="115" t="n">
        <v>4804480.01</v>
      </c>
      <c r="B3767" s="115" t="n">
        <v>4805760</v>
      </c>
      <c r="C3767" s="115" t="n">
        <v>107889.520000009</v>
      </c>
    </row>
    <row r="3768" customFormat="false" ht="15" hidden="false" customHeight="true" outlineLevel="0" collapsed="false">
      <c r="A3768" s="114" t="n">
        <v>4805760.01</v>
      </c>
      <c r="B3768" s="114" t="n">
        <v>4807040</v>
      </c>
      <c r="C3768" s="114" t="n">
        <v>107918.180000009</v>
      </c>
    </row>
    <row r="3769" customFormat="false" ht="15" hidden="false" customHeight="true" outlineLevel="0" collapsed="false">
      <c r="A3769" s="115" t="n">
        <v>4807040.01</v>
      </c>
      <c r="B3769" s="115" t="n">
        <v>4808320</v>
      </c>
      <c r="C3769" s="115" t="n">
        <v>107946.840000009</v>
      </c>
    </row>
    <row r="3770" customFormat="false" ht="15" hidden="false" customHeight="true" outlineLevel="0" collapsed="false">
      <c r="A3770" s="114" t="n">
        <v>4808320.01</v>
      </c>
      <c r="B3770" s="114" t="n">
        <v>4809600</v>
      </c>
      <c r="C3770" s="114" t="n">
        <v>107975.500000009</v>
      </c>
    </row>
    <row r="3771" customFormat="false" ht="15" hidden="false" customHeight="true" outlineLevel="0" collapsed="false">
      <c r="A3771" s="115" t="n">
        <v>4809600.01</v>
      </c>
      <c r="B3771" s="115" t="n">
        <v>4810880</v>
      </c>
      <c r="C3771" s="115" t="n">
        <v>108004.160000009</v>
      </c>
    </row>
    <row r="3772" customFormat="false" ht="15" hidden="false" customHeight="true" outlineLevel="0" collapsed="false">
      <c r="A3772" s="114" t="n">
        <v>4810880.01</v>
      </c>
      <c r="B3772" s="114" t="n">
        <v>4812160</v>
      </c>
      <c r="C3772" s="114" t="n">
        <v>108032.820000009</v>
      </c>
    </row>
    <row r="3773" customFormat="false" ht="15" hidden="false" customHeight="true" outlineLevel="0" collapsed="false">
      <c r="A3773" s="115" t="n">
        <v>4812160.01</v>
      </c>
      <c r="B3773" s="115" t="n">
        <v>4813440</v>
      </c>
      <c r="C3773" s="115" t="n">
        <v>108061.480000009</v>
      </c>
    </row>
    <row r="3774" customFormat="false" ht="15" hidden="false" customHeight="true" outlineLevel="0" collapsed="false">
      <c r="A3774" s="114" t="n">
        <v>4813440.01</v>
      </c>
      <c r="B3774" s="114" t="n">
        <v>4814720</v>
      </c>
      <c r="C3774" s="114" t="n">
        <v>108090.140000009</v>
      </c>
    </row>
    <row r="3775" customFormat="false" ht="15" hidden="false" customHeight="true" outlineLevel="0" collapsed="false">
      <c r="A3775" s="115" t="n">
        <v>4814720.01</v>
      </c>
      <c r="B3775" s="115" t="n">
        <v>4816000</v>
      </c>
      <c r="C3775" s="115" t="n">
        <v>108118.800000009</v>
      </c>
    </row>
    <row r="3776" customFormat="false" ht="15" hidden="false" customHeight="true" outlineLevel="0" collapsed="false">
      <c r="A3776" s="114" t="n">
        <v>4816000.01</v>
      </c>
      <c r="B3776" s="114" t="n">
        <v>4817280</v>
      </c>
      <c r="C3776" s="114" t="n">
        <v>108147.460000009</v>
      </c>
    </row>
    <row r="3777" customFormat="false" ht="15" hidden="false" customHeight="true" outlineLevel="0" collapsed="false">
      <c r="A3777" s="115" t="n">
        <v>4817280.01</v>
      </c>
      <c r="B3777" s="115" t="n">
        <v>4818560</v>
      </c>
      <c r="C3777" s="115" t="n">
        <v>108176.120000009</v>
      </c>
    </row>
    <row r="3778" customFormat="false" ht="15" hidden="false" customHeight="true" outlineLevel="0" collapsed="false">
      <c r="A3778" s="114" t="n">
        <v>4818560.01</v>
      </c>
      <c r="B3778" s="114" t="n">
        <v>4819840</v>
      </c>
      <c r="C3778" s="114" t="n">
        <v>108204.780000009</v>
      </c>
    </row>
    <row r="3779" customFormat="false" ht="15" hidden="false" customHeight="true" outlineLevel="0" collapsed="false">
      <c r="A3779" s="115" t="n">
        <v>4819840.01</v>
      </c>
      <c r="B3779" s="115" t="n">
        <v>4821120</v>
      </c>
      <c r="C3779" s="115" t="n">
        <v>108233.440000009</v>
      </c>
    </row>
    <row r="3780" customFormat="false" ht="15" hidden="false" customHeight="true" outlineLevel="0" collapsed="false">
      <c r="A3780" s="114" t="n">
        <v>4821120.01</v>
      </c>
      <c r="B3780" s="114" t="n">
        <v>4822400</v>
      </c>
      <c r="C3780" s="114" t="n">
        <v>108262.100000009</v>
      </c>
    </row>
    <row r="3781" customFormat="false" ht="15" hidden="false" customHeight="true" outlineLevel="0" collapsed="false">
      <c r="A3781" s="115" t="n">
        <v>4822400.01</v>
      </c>
      <c r="B3781" s="115" t="n">
        <v>4823680</v>
      </c>
      <c r="C3781" s="115" t="n">
        <v>108290.760000009</v>
      </c>
    </row>
    <row r="3782" customFormat="false" ht="15" hidden="false" customHeight="true" outlineLevel="0" collapsed="false">
      <c r="A3782" s="114" t="n">
        <v>4823680.01</v>
      </c>
      <c r="B3782" s="114" t="n">
        <v>4824960</v>
      </c>
      <c r="C3782" s="114" t="n">
        <v>108319.420000009</v>
      </c>
    </row>
    <row r="3783" customFormat="false" ht="15" hidden="false" customHeight="true" outlineLevel="0" collapsed="false">
      <c r="A3783" s="115" t="n">
        <v>4824960.01</v>
      </c>
      <c r="B3783" s="115" t="n">
        <v>4826240</v>
      </c>
      <c r="C3783" s="115" t="n">
        <v>108348.080000009</v>
      </c>
    </row>
    <row r="3784" customFormat="false" ht="15" hidden="false" customHeight="true" outlineLevel="0" collapsed="false">
      <c r="A3784" s="114" t="n">
        <v>4826240.01</v>
      </c>
      <c r="B3784" s="114" t="n">
        <v>4827520</v>
      </c>
      <c r="C3784" s="114" t="n">
        <v>108376.740000009</v>
      </c>
    </row>
    <row r="3785" customFormat="false" ht="15" hidden="false" customHeight="true" outlineLevel="0" collapsed="false">
      <c r="A3785" s="115" t="n">
        <v>4827520.01</v>
      </c>
      <c r="B3785" s="115" t="n">
        <v>4828800</v>
      </c>
      <c r="C3785" s="115" t="n">
        <v>108405.400000009</v>
      </c>
    </row>
    <row r="3786" customFormat="false" ht="15" hidden="false" customHeight="true" outlineLevel="0" collapsed="false">
      <c r="A3786" s="114" t="n">
        <v>4828800.01</v>
      </c>
      <c r="B3786" s="114" t="n">
        <v>4830080</v>
      </c>
      <c r="C3786" s="114" t="n">
        <v>108434.060000009</v>
      </c>
    </row>
    <row r="3787" customFormat="false" ht="15" hidden="false" customHeight="true" outlineLevel="0" collapsed="false">
      <c r="A3787" s="115" t="n">
        <v>4830080.01</v>
      </c>
      <c r="B3787" s="115" t="n">
        <v>4831360</v>
      </c>
      <c r="C3787" s="115" t="n">
        <v>108462.720000009</v>
      </c>
    </row>
    <row r="3788" customFormat="false" ht="15" hidden="false" customHeight="true" outlineLevel="0" collapsed="false">
      <c r="A3788" s="114" t="n">
        <v>4831360.01</v>
      </c>
      <c r="B3788" s="114" t="n">
        <v>4832640</v>
      </c>
      <c r="C3788" s="114" t="n">
        <v>108491.380000009</v>
      </c>
    </row>
    <row r="3789" customFormat="false" ht="15" hidden="false" customHeight="true" outlineLevel="0" collapsed="false">
      <c r="A3789" s="115" t="n">
        <v>4832640.01</v>
      </c>
      <c r="B3789" s="115" t="n">
        <v>4833920</v>
      </c>
      <c r="C3789" s="115" t="n">
        <v>108520.040000009</v>
      </c>
    </row>
    <row r="3790" customFormat="false" ht="15" hidden="false" customHeight="true" outlineLevel="0" collapsed="false">
      <c r="A3790" s="114" t="n">
        <v>4833920.01</v>
      </c>
      <c r="B3790" s="114" t="n">
        <v>4835200</v>
      </c>
      <c r="C3790" s="114" t="n">
        <v>108548.700000009</v>
      </c>
    </row>
    <row r="3791" customFormat="false" ht="15" hidden="false" customHeight="true" outlineLevel="0" collapsed="false">
      <c r="A3791" s="115" t="n">
        <v>4835200.01</v>
      </c>
      <c r="B3791" s="115" t="n">
        <v>4836480</v>
      </c>
      <c r="C3791" s="115" t="n">
        <v>108577.360000009</v>
      </c>
    </row>
    <row r="3792" customFormat="false" ht="15" hidden="false" customHeight="true" outlineLevel="0" collapsed="false">
      <c r="A3792" s="114" t="n">
        <v>4836480.01</v>
      </c>
      <c r="B3792" s="114" t="n">
        <v>4837760</v>
      </c>
      <c r="C3792" s="114" t="n">
        <v>108606.020000009</v>
      </c>
    </row>
    <row r="3793" customFormat="false" ht="15" hidden="false" customHeight="true" outlineLevel="0" collapsed="false">
      <c r="A3793" s="115" t="n">
        <v>4837760.01</v>
      </c>
      <c r="B3793" s="115" t="n">
        <v>4839040</v>
      </c>
      <c r="C3793" s="115" t="n">
        <v>108634.680000009</v>
      </c>
    </row>
    <row r="3794" customFormat="false" ht="15" hidden="false" customHeight="true" outlineLevel="0" collapsed="false">
      <c r="A3794" s="114" t="n">
        <v>4839040.01</v>
      </c>
      <c r="B3794" s="114" t="n">
        <v>4840320</v>
      </c>
      <c r="C3794" s="114" t="n">
        <v>108663.340000009</v>
      </c>
    </row>
    <row r="3795" customFormat="false" ht="15" hidden="false" customHeight="true" outlineLevel="0" collapsed="false">
      <c r="A3795" s="115" t="n">
        <v>4840320.01</v>
      </c>
      <c r="B3795" s="115" t="n">
        <v>4841600</v>
      </c>
      <c r="C3795" s="115" t="n">
        <v>108692.000000009</v>
      </c>
    </row>
    <row r="3796" customFormat="false" ht="15" hidden="false" customHeight="true" outlineLevel="0" collapsed="false">
      <c r="A3796" s="114" t="n">
        <v>4841600.01</v>
      </c>
      <c r="B3796" s="114" t="n">
        <v>4842880</v>
      </c>
      <c r="C3796" s="114" t="n">
        <v>108720.660000009</v>
      </c>
    </row>
    <row r="3797" customFormat="false" ht="15" hidden="false" customHeight="true" outlineLevel="0" collapsed="false">
      <c r="A3797" s="115" t="n">
        <v>4842880.01</v>
      </c>
      <c r="B3797" s="115" t="n">
        <v>4844160</v>
      </c>
      <c r="C3797" s="115" t="n">
        <v>108749.320000009</v>
      </c>
    </row>
    <row r="3798" customFormat="false" ht="15" hidden="false" customHeight="true" outlineLevel="0" collapsed="false">
      <c r="A3798" s="114" t="n">
        <v>4844160.01</v>
      </c>
      <c r="B3798" s="114" t="n">
        <v>4845440</v>
      </c>
      <c r="C3798" s="114" t="n">
        <v>108777.980000009</v>
      </c>
    </row>
    <row r="3799" customFormat="false" ht="15" hidden="false" customHeight="true" outlineLevel="0" collapsed="false">
      <c r="A3799" s="115" t="n">
        <v>4845440.01</v>
      </c>
      <c r="B3799" s="115" t="n">
        <v>4846720</v>
      </c>
      <c r="C3799" s="115" t="n">
        <v>108806.640000009</v>
      </c>
    </row>
    <row r="3800" customFormat="false" ht="15" hidden="false" customHeight="true" outlineLevel="0" collapsed="false">
      <c r="A3800" s="114" t="n">
        <v>4846720.01</v>
      </c>
      <c r="B3800" s="114" t="n">
        <v>4848000</v>
      </c>
      <c r="C3800" s="114" t="n">
        <v>108835.300000009</v>
      </c>
    </row>
    <row r="3801" customFormat="false" ht="15" hidden="false" customHeight="true" outlineLevel="0" collapsed="false">
      <c r="A3801" s="115" t="n">
        <v>4848000.01</v>
      </c>
      <c r="B3801" s="115" t="n">
        <v>4849280</v>
      </c>
      <c r="C3801" s="115" t="n">
        <v>108863.960000009</v>
      </c>
    </row>
    <row r="3802" customFormat="false" ht="15" hidden="false" customHeight="true" outlineLevel="0" collapsed="false">
      <c r="A3802" s="114" t="n">
        <v>4849280.01</v>
      </c>
      <c r="B3802" s="114" t="n">
        <v>4850560</v>
      </c>
      <c r="C3802" s="114" t="n">
        <v>108892.620000009</v>
      </c>
    </row>
    <row r="3803" customFormat="false" ht="15" hidden="false" customHeight="true" outlineLevel="0" collapsed="false">
      <c r="A3803" s="115" t="n">
        <v>4850560.01</v>
      </c>
      <c r="B3803" s="115" t="n">
        <v>4851840</v>
      </c>
      <c r="C3803" s="115" t="n">
        <v>108921.280000009</v>
      </c>
    </row>
    <row r="3804" customFormat="false" ht="15" hidden="false" customHeight="true" outlineLevel="0" collapsed="false">
      <c r="A3804" s="114" t="n">
        <v>4851840.01</v>
      </c>
      <c r="B3804" s="114" t="n">
        <v>4853120</v>
      </c>
      <c r="C3804" s="114" t="n">
        <v>108949.940000009</v>
      </c>
    </row>
    <row r="3805" customFormat="false" ht="15" hidden="false" customHeight="true" outlineLevel="0" collapsed="false">
      <c r="A3805" s="115" t="n">
        <v>4853120.01</v>
      </c>
      <c r="B3805" s="115" t="n">
        <v>4854400</v>
      </c>
      <c r="C3805" s="115" t="n">
        <v>108978.600000009</v>
      </c>
    </row>
    <row r="3806" customFormat="false" ht="15" hidden="false" customHeight="true" outlineLevel="0" collapsed="false">
      <c r="A3806" s="114" t="n">
        <v>4854400.01</v>
      </c>
      <c r="B3806" s="114" t="n">
        <v>4855680</v>
      </c>
      <c r="C3806" s="114" t="n">
        <v>109007.260000009</v>
      </c>
    </row>
    <row r="3807" customFormat="false" ht="15" hidden="false" customHeight="true" outlineLevel="0" collapsed="false">
      <c r="A3807" s="115" t="n">
        <v>4855680.01</v>
      </c>
      <c r="B3807" s="115" t="n">
        <v>4856960</v>
      </c>
      <c r="C3807" s="115" t="n">
        <v>109035.920000009</v>
      </c>
    </row>
    <row r="3808" customFormat="false" ht="15" hidden="false" customHeight="true" outlineLevel="0" collapsed="false">
      <c r="A3808" s="114" t="n">
        <v>4856960.01</v>
      </c>
      <c r="B3808" s="114" t="n">
        <v>4858240</v>
      </c>
      <c r="C3808" s="114" t="n">
        <v>109064.580000009</v>
      </c>
    </row>
    <row r="3809" customFormat="false" ht="15" hidden="false" customHeight="true" outlineLevel="0" collapsed="false">
      <c r="A3809" s="115" t="n">
        <v>4858240.01</v>
      </c>
      <c r="B3809" s="115" t="n">
        <v>4859520</v>
      </c>
      <c r="C3809" s="115" t="n">
        <v>109093.240000009</v>
      </c>
    </row>
    <row r="3810" customFormat="false" ht="15" hidden="false" customHeight="true" outlineLevel="0" collapsed="false">
      <c r="A3810" s="114" t="n">
        <v>4859520.01</v>
      </c>
      <c r="B3810" s="114" t="n">
        <v>4860800</v>
      </c>
      <c r="C3810" s="114" t="n">
        <v>109121.900000009</v>
      </c>
    </row>
    <row r="3811" customFormat="false" ht="15" hidden="false" customHeight="true" outlineLevel="0" collapsed="false">
      <c r="A3811" s="115" t="n">
        <v>4860800.01</v>
      </c>
      <c r="B3811" s="115" t="n">
        <v>4862080</v>
      </c>
      <c r="C3811" s="115" t="n">
        <v>109150.560000009</v>
      </c>
    </row>
    <row r="3812" customFormat="false" ht="15" hidden="false" customHeight="true" outlineLevel="0" collapsed="false">
      <c r="A3812" s="114" t="n">
        <v>4862080.01</v>
      </c>
      <c r="B3812" s="114" t="n">
        <v>4863360</v>
      </c>
      <c r="C3812" s="114" t="n">
        <v>109179.220000009</v>
      </c>
    </row>
    <row r="3813" customFormat="false" ht="15" hidden="false" customHeight="true" outlineLevel="0" collapsed="false">
      <c r="A3813" s="115" t="n">
        <v>4863360.01</v>
      </c>
      <c r="B3813" s="115" t="n">
        <v>4864640</v>
      </c>
      <c r="C3813" s="115" t="n">
        <v>109207.880000009</v>
      </c>
    </row>
    <row r="3814" customFormat="false" ht="15" hidden="false" customHeight="true" outlineLevel="0" collapsed="false">
      <c r="A3814" s="114" t="n">
        <v>4864640.01</v>
      </c>
      <c r="B3814" s="114" t="n">
        <v>4865920</v>
      </c>
      <c r="C3814" s="114" t="n">
        <v>109236.540000009</v>
      </c>
    </row>
    <row r="3815" customFormat="false" ht="15" hidden="false" customHeight="true" outlineLevel="0" collapsed="false">
      <c r="A3815" s="115" t="n">
        <v>4865920.01</v>
      </c>
      <c r="B3815" s="115" t="n">
        <v>4867200</v>
      </c>
      <c r="C3815" s="115" t="n">
        <v>109265.200000009</v>
      </c>
    </row>
    <row r="3816" customFormat="false" ht="15" hidden="false" customHeight="true" outlineLevel="0" collapsed="false">
      <c r="A3816" s="114" t="n">
        <v>4867200.01</v>
      </c>
      <c r="B3816" s="114" t="n">
        <v>4868480</v>
      </c>
      <c r="C3816" s="114" t="n">
        <v>109293.860000009</v>
      </c>
    </row>
    <row r="3817" customFormat="false" ht="15" hidden="false" customHeight="true" outlineLevel="0" collapsed="false">
      <c r="A3817" s="115" t="n">
        <v>4868480.01</v>
      </c>
      <c r="B3817" s="115" t="n">
        <v>4869760</v>
      </c>
      <c r="C3817" s="115" t="n">
        <v>109322.520000009</v>
      </c>
    </row>
    <row r="3818" customFormat="false" ht="15" hidden="false" customHeight="true" outlineLevel="0" collapsed="false">
      <c r="A3818" s="114" t="n">
        <v>4869760.01</v>
      </c>
      <c r="B3818" s="114" t="n">
        <v>4871040</v>
      </c>
      <c r="C3818" s="114" t="n">
        <v>109351.180000009</v>
      </c>
    </row>
    <row r="3819" customFormat="false" ht="15" hidden="false" customHeight="true" outlineLevel="0" collapsed="false">
      <c r="A3819" s="115" t="n">
        <v>4871040.01</v>
      </c>
      <c r="B3819" s="115" t="n">
        <v>4872320</v>
      </c>
      <c r="C3819" s="115" t="n">
        <v>109379.840000009</v>
      </c>
    </row>
    <row r="3820" customFormat="false" ht="15" hidden="false" customHeight="true" outlineLevel="0" collapsed="false">
      <c r="A3820" s="114" t="n">
        <v>4872320.01</v>
      </c>
      <c r="B3820" s="114" t="n">
        <v>4873600</v>
      </c>
      <c r="C3820" s="114" t="n">
        <v>109408.500000009</v>
      </c>
    </row>
    <row r="3821" customFormat="false" ht="15" hidden="false" customHeight="true" outlineLevel="0" collapsed="false">
      <c r="A3821" s="115" t="n">
        <v>4873600.01</v>
      </c>
      <c r="B3821" s="115" t="n">
        <v>4874880</v>
      </c>
      <c r="C3821" s="115" t="n">
        <v>109437.160000009</v>
      </c>
    </row>
    <row r="3822" customFormat="false" ht="15" hidden="false" customHeight="true" outlineLevel="0" collapsed="false">
      <c r="A3822" s="114" t="n">
        <v>4874880.01</v>
      </c>
      <c r="B3822" s="114" t="n">
        <v>4876160</v>
      </c>
      <c r="C3822" s="114" t="n">
        <v>109465.820000009</v>
      </c>
    </row>
    <row r="3823" customFormat="false" ht="15" hidden="false" customHeight="true" outlineLevel="0" collapsed="false">
      <c r="A3823" s="115" t="n">
        <v>4876160.01</v>
      </c>
      <c r="B3823" s="115" t="n">
        <v>4877440</v>
      </c>
      <c r="C3823" s="115" t="n">
        <v>109494.480000009</v>
      </c>
    </row>
    <row r="3824" customFormat="false" ht="15" hidden="false" customHeight="true" outlineLevel="0" collapsed="false">
      <c r="A3824" s="114" t="n">
        <v>4877440.01</v>
      </c>
      <c r="B3824" s="114" t="n">
        <v>4878720</v>
      </c>
      <c r="C3824" s="114" t="n">
        <v>109523.140000009</v>
      </c>
    </row>
    <row r="3825" customFormat="false" ht="15" hidden="false" customHeight="true" outlineLevel="0" collapsed="false">
      <c r="A3825" s="115" t="n">
        <v>4878720.01</v>
      </c>
      <c r="B3825" s="115" t="n">
        <v>4880000</v>
      </c>
      <c r="C3825" s="115" t="n">
        <v>109551.800000009</v>
      </c>
    </row>
    <row r="3826" customFormat="false" ht="15" hidden="false" customHeight="true" outlineLevel="0" collapsed="false">
      <c r="A3826" s="114" t="n">
        <v>4880000.01</v>
      </c>
      <c r="B3826" s="114" t="n">
        <v>4881280</v>
      </c>
      <c r="C3826" s="114" t="n">
        <v>109580.460000009</v>
      </c>
    </row>
    <row r="3827" customFormat="false" ht="15" hidden="false" customHeight="true" outlineLevel="0" collapsed="false">
      <c r="A3827" s="115" t="n">
        <v>4881280.01</v>
      </c>
      <c r="B3827" s="115" t="n">
        <v>4882560</v>
      </c>
      <c r="C3827" s="115" t="n">
        <v>109609.120000009</v>
      </c>
    </row>
    <row r="3828" customFormat="false" ht="15" hidden="false" customHeight="true" outlineLevel="0" collapsed="false">
      <c r="A3828" s="114" t="n">
        <v>4882560.01</v>
      </c>
      <c r="B3828" s="114" t="n">
        <v>4883840</v>
      </c>
      <c r="C3828" s="114" t="n">
        <v>109637.780000009</v>
      </c>
    </row>
    <row r="3829" customFormat="false" ht="15" hidden="false" customHeight="true" outlineLevel="0" collapsed="false">
      <c r="A3829" s="115" t="n">
        <v>4883840.01</v>
      </c>
      <c r="B3829" s="115" t="n">
        <v>4885120</v>
      </c>
      <c r="C3829" s="115" t="n">
        <v>109666.440000009</v>
      </c>
    </row>
    <row r="3830" customFormat="false" ht="15" hidden="false" customHeight="true" outlineLevel="0" collapsed="false">
      <c r="A3830" s="114" t="n">
        <v>4885120.01</v>
      </c>
      <c r="B3830" s="114" t="n">
        <v>4886400</v>
      </c>
      <c r="C3830" s="114" t="n">
        <v>109695.100000009</v>
      </c>
    </row>
    <row r="3831" customFormat="false" ht="15" hidden="false" customHeight="true" outlineLevel="0" collapsed="false">
      <c r="A3831" s="115" t="n">
        <v>4886400.01</v>
      </c>
      <c r="B3831" s="115" t="n">
        <v>4887680</v>
      </c>
      <c r="C3831" s="115" t="n">
        <v>109723.760000009</v>
      </c>
    </row>
    <row r="3832" customFormat="false" ht="15" hidden="false" customHeight="true" outlineLevel="0" collapsed="false">
      <c r="A3832" s="114" t="n">
        <v>4887680.01</v>
      </c>
      <c r="B3832" s="114" t="n">
        <v>4888960</v>
      </c>
      <c r="C3832" s="114" t="n">
        <v>109752.420000009</v>
      </c>
    </row>
    <row r="3833" customFormat="false" ht="15" hidden="false" customHeight="true" outlineLevel="0" collapsed="false">
      <c r="A3833" s="115" t="n">
        <v>4888960.01</v>
      </c>
      <c r="B3833" s="115" t="n">
        <v>4890240</v>
      </c>
      <c r="C3833" s="115" t="n">
        <v>109781.080000009</v>
      </c>
    </row>
    <row r="3834" customFormat="false" ht="15" hidden="false" customHeight="true" outlineLevel="0" collapsed="false">
      <c r="A3834" s="114" t="n">
        <v>4890240.01</v>
      </c>
      <c r="B3834" s="114" t="n">
        <v>4891520</v>
      </c>
      <c r="C3834" s="114" t="n">
        <v>109809.740000009</v>
      </c>
    </row>
    <row r="3835" customFormat="false" ht="15" hidden="false" customHeight="true" outlineLevel="0" collapsed="false">
      <c r="A3835" s="115" t="n">
        <v>4891520.01</v>
      </c>
      <c r="B3835" s="115" t="n">
        <v>4892800</v>
      </c>
      <c r="C3835" s="115" t="n">
        <v>109838.400000009</v>
      </c>
    </row>
    <row r="3836" customFormat="false" ht="15" hidden="false" customHeight="true" outlineLevel="0" collapsed="false">
      <c r="A3836" s="114" t="n">
        <v>4892800.01</v>
      </c>
      <c r="B3836" s="114" t="n">
        <v>4894080</v>
      </c>
      <c r="C3836" s="114" t="n">
        <v>109867.060000009</v>
      </c>
    </row>
    <row r="3837" customFormat="false" ht="15" hidden="false" customHeight="true" outlineLevel="0" collapsed="false">
      <c r="A3837" s="115" t="n">
        <v>4894080.01</v>
      </c>
      <c r="B3837" s="115" t="n">
        <v>4895360</v>
      </c>
      <c r="C3837" s="115" t="n">
        <v>109895.720000009</v>
      </c>
    </row>
    <row r="3838" customFormat="false" ht="15" hidden="false" customHeight="true" outlineLevel="0" collapsed="false">
      <c r="A3838" s="114" t="n">
        <v>4895360.01</v>
      </c>
      <c r="B3838" s="114" t="n">
        <v>4896640</v>
      </c>
      <c r="C3838" s="114" t="n">
        <v>109924.380000009</v>
      </c>
    </row>
    <row r="3839" customFormat="false" ht="15" hidden="false" customHeight="true" outlineLevel="0" collapsed="false">
      <c r="A3839" s="115" t="n">
        <v>4896640.01</v>
      </c>
      <c r="B3839" s="115" t="n">
        <v>4897920</v>
      </c>
      <c r="C3839" s="115" t="n">
        <v>109953.040000009</v>
      </c>
    </row>
    <row r="3840" customFormat="false" ht="15" hidden="false" customHeight="true" outlineLevel="0" collapsed="false">
      <c r="A3840" s="114" t="n">
        <v>4897920.01</v>
      </c>
      <c r="B3840" s="114" t="n">
        <v>4899200</v>
      </c>
      <c r="C3840" s="114" t="n">
        <v>109981.700000009</v>
      </c>
    </row>
    <row r="3841" customFormat="false" ht="15" hidden="false" customHeight="true" outlineLevel="0" collapsed="false">
      <c r="A3841" s="115" t="n">
        <v>4899200.01</v>
      </c>
      <c r="B3841" s="115" t="n">
        <v>4900480</v>
      </c>
      <c r="C3841" s="115" t="n">
        <v>110010.360000009</v>
      </c>
    </row>
    <row r="3842" customFormat="false" ht="15" hidden="false" customHeight="true" outlineLevel="0" collapsed="false">
      <c r="A3842" s="114" t="n">
        <v>4900480.01</v>
      </c>
      <c r="B3842" s="114" t="n">
        <v>4901760</v>
      </c>
      <c r="C3842" s="114" t="n">
        <v>110039.020000009</v>
      </c>
    </row>
    <row r="3843" customFormat="false" ht="15" hidden="false" customHeight="true" outlineLevel="0" collapsed="false">
      <c r="A3843" s="115" t="n">
        <v>4901760.01</v>
      </c>
      <c r="B3843" s="115" t="n">
        <v>4903040</v>
      </c>
      <c r="C3843" s="115" t="n">
        <v>110067.680000009</v>
      </c>
    </row>
    <row r="3844" customFormat="false" ht="15" hidden="false" customHeight="true" outlineLevel="0" collapsed="false">
      <c r="A3844" s="114" t="n">
        <v>4903040.01</v>
      </c>
      <c r="B3844" s="114" t="n">
        <v>4904320</v>
      </c>
      <c r="C3844" s="114" t="n">
        <v>110096.340000009</v>
      </c>
    </row>
    <row r="3845" customFormat="false" ht="15" hidden="false" customHeight="true" outlineLevel="0" collapsed="false">
      <c r="A3845" s="115" t="n">
        <v>4904320.01</v>
      </c>
      <c r="B3845" s="115" t="n">
        <v>4905600</v>
      </c>
      <c r="C3845" s="115" t="n">
        <v>110125.000000009</v>
      </c>
    </row>
    <row r="3846" customFormat="false" ht="15" hidden="false" customHeight="true" outlineLevel="0" collapsed="false">
      <c r="A3846" s="114" t="n">
        <v>4905600.01</v>
      </c>
      <c r="B3846" s="114" t="n">
        <v>4906880</v>
      </c>
      <c r="C3846" s="114" t="n">
        <v>110153.660000009</v>
      </c>
    </row>
    <row r="3847" customFormat="false" ht="15" hidden="false" customHeight="true" outlineLevel="0" collapsed="false">
      <c r="A3847" s="115" t="n">
        <v>4906880.01</v>
      </c>
      <c r="B3847" s="115" t="n">
        <v>4908160</v>
      </c>
      <c r="C3847" s="115" t="n">
        <v>110182.320000009</v>
      </c>
    </row>
    <row r="3848" customFormat="false" ht="15" hidden="false" customHeight="true" outlineLevel="0" collapsed="false">
      <c r="A3848" s="114" t="n">
        <v>4908160.01</v>
      </c>
      <c r="B3848" s="114" t="n">
        <v>4909440</v>
      </c>
      <c r="C3848" s="114" t="n">
        <v>110210.980000009</v>
      </c>
    </row>
    <row r="3849" customFormat="false" ht="15" hidden="false" customHeight="true" outlineLevel="0" collapsed="false">
      <c r="A3849" s="115" t="n">
        <v>4909440.01</v>
      </c>
      <c r="B3849" s="115" t="n">
        <v>4910720</v>
      </c>
      <c r="C3849" s="115" t="n">
        <v>110239.640000009</v>
      </c>
    </row>
    <row r="3850" customFormat="false" ht="15" hidden="false" customHeight="true" outlineLevel="0" collapsed="false">
      <c r="A3850" s="114" t="n">
        <v>4910720.01</v>
      </c>
      <c r="B3850" s="114" t="n">
        <v>4912000</v>
      </c>
      <c r="C3850" s="114" t="n">
        <v>110268.300000009</v>
      </c>
    </row>
    <row r="3851" customFormat="false" ht="15" hidden="false" customHeight="true" outlineLevel="0" collapsed="false">
      <c r="A3851" s="115" t="n">
        <v>4912000.01</v>
      </c>
      <c r="B3851" s="115" t="n">
        <v>4913280</v>
      </c>
      <c r="C3851" s="115" t="n">
        <v>110296.960000009</v>
      </c>
    </row>
    <row r="3852" customFormat="false" ht="15" hidden="false" customHeight="true" outlineLevel="0" collapsed="false">
      <c r="A3852" s="114" t="n">
        <v>4913280.01</v>
      </c>
      <c r="B3852" s="114" t="n">
        <v>4914560</v>
      </c>
      <c r="C3852" s="114" t="n">
        <v>110325.620000009</v>
      </c>
    </row>
    <row r="3853" customFormat="false" ht="15" hidden="false" customHeight="true" outlineLevel="0" collapsed="false">
      <c r="A3853" s="115" t="n">
        <v>4914560.01</v>
      </c>
      <c r="B3853" s="115" t="n">
        <v>4915840</v>
      </c>
      <c r="C3853" s="115" t="n">
        <v>110354.280000009</v>
      </c>
    </row>
    <row r="3854" customFormat="false" ht="15" hidden="false" customHeight="true" outlineLevel="0" collapsed="false">
      <c r="A3854" s="114" t="n">
        <v>4915840.01</v>
      </c>
      <c r="B3854" s="114" t="n">
        <v>4917120</v>
      </c>
      <c r="C3854" s="114" t="n">
        <v>110382.940000009</v>
      </c>
    </row>
    <row r="3855" customFormat="false" ht="15" hidden="false" customHeight="true" outlineLevel="0" collapsed="false">
      <c r="A3855" s="115" t="n">
        <v>4917120.01</v>
      </c>
      <c r="B3855" s="115" t="n">
        <v>4918400</v>
      </c>
      <c r="C3855" s="115" t="n">
        <v>110411.600000009</v>
      </c>
    </row>
    <row r="3856" customFormat="false" ht="15" hidden="false" customHeight="true" outlineLevel="0" collapsed="false">
      <c r="A3856" s="114" t="n">
        <v>4918400.01</v>
      </c>
      <c r="B3856" s="114" t="n">
        <v>4919680</v>
      </c>
      <c r="C3856" s="114" t="n">
        <v>110440.260000009</v>
      </c>
    </row>
    <row r="3857" customFormat="false" ht="15" hidden="false" customHeight="true" outlineLevel="0" collapsed="false">
      <c r="A3857" s="115" t="n">
        <v>4919680.01</v>
      </c>
      <c r="B3857" s="115" t="n">
        <v>4920960</v>
      </c>
      <c r="C3857" s="115" t="n">
        <v>110468.920000009</v>
      </c>
    </row>
    <row r="3858" customFormat="false" ht="15" hidden="false" customHeight="true" outlineLevel="0" collapsed="false">
      <c r="A3858" s="114" t="n">
        <v>4920960.01</v>
      </c>
      <c r="B3858" s="114" t="n">
        <v>4922240</v>
      </c>
      <c r="C3858" s="114" t="n">
        <v>110497.580000009</v>
      </c>
    </row>
    <row r="3859" customFormat="false" ht="15" hidden="false" customHeight="true" outlineLevel="0" collapsed="false">
      <c r="A3859" s="115" t="n">
        <v>4922240.01</v>
      </c>
      <c r="B3859" s="115" t="n">
        <v>4923520</v>
      </c>
      <c r="C3859" s="115" t="n">
        <v>110526.240000009</v>
      </c>
    </row>
    <row r="3860" customFormat="false" ht="15" hidden="false" customHeight="true" outlineLevel="0" collapsed="false">
      <c r="A3860" s="114" t="n">
        <v>4923520.01</v>
      </c>
      <c r="B3860" s="114" t="n">
        <v>4924800</v>
      </c>
      <c r="C3860" s="114" t="n">
        <v>110554.900000009</v>
      </c>
    </row>
    <row r="3861" customFormat="false" ht="15" hidden="false" customHeight="true" outlineLevel="0" collapsed="false">
      <c r="A3861" s="115" t="n">
        <v>4924800.01</v>
      </c>
      <c r="B3861" s="115" t="n">
        <v>4926080</v>
      </c>
      <c r="C3861" s="115" t="n">
        <v>110583.560000009</v>
      </c>
    </row>
    <row r="3862" customFormat="false" ht="15" hidden="false" customHeight="true" outlineLevel="0" collapsed="false">
      <c r="A3862" s="114" t="n">
        <v>4926080.01</v>
      </c>
      <c r="B3862" s="114" t="n">
        <v>4927360</v>
      </c>
      <c r="C3862" s="114" t="n">
        <v>110612.220000009</v>
      </c>
    </row>
    <row r="3863" customFormat="false" ht="15" hidden="false" customHeight="true" outlineLevel="0" collapsed="false">
      <c r="A3863" s="115" t="n">
        <v>4927360.01</v>
      </c>
      <c r="B3863" s="115" t="n">
        <v>4928640</v>
      </c>
      <c r="C3863" s="115" t="n">
        <v>110640.880000009</v>
      </c>
    </row>
    <row r="3864" customFormat="false" ht="15" hidden="false" customHeight="true" outlineLevel="0" collapsed="false">
      <c r="A3864" s="114" t="n">
        <v>4928640.01</v>
      </c>
      <c r="B3864" s="114" t="n">
        <v>4929920</v>
      </c>
      <c r="C3864" s="114" t="n">
        <v>110669.540000009</v>
      </c>
    </row>
    <row r="3865" customFormat="false" ht="15" hidden="false" customHeight="true" outlineLevel="0" collapsed="false">
      <c r="A3865" s="115" t="n">
        <v>4929920.01</v>
      </c>
      <c r="B3865" s="115" t="n">
        <v>4931200</v>
      </c>
      <c r="C3865" s="115" t="n">
        <v>110698.200000009</v>
      </c>
    </row>
    <row r="3866" customFormat="false" ht="15" hidden="false" customHeight="true" outlineLevel="0" collapsed="false">
      <c r="A3866" s="114" t="n">
        <v>4931200.01</v>
      </c>
      <c r="B3866" s="114" t="n">
        <v>4932480</v>
      </c>
      <c r="C3866" s="114" t="n">
        <v>110726.860000009</v>
      </c>
    </row>
    <row r="3867" customFormat="false" ht="15" hidden="false" customHeight="true" outlineLevel="0" collapsed="false">
      <c r="A3867" s="115" t="n">
        <v>4932480.01</v>
      </c>
      <c r="B3867" s="115" t="n">
        <v>4933760</v>
      </c>
      <c r="C3867" s="115" t="n">
        <v>110755.520000009</v>
      </c>
    </row>
    <row r="3868" customFormat="false" ht="15" hidden="false" customHeight="true" outlineLevel="0" collapsed="false">
      <c r="A3868" s="114" t="n">
        <v>4933760.01</v>
      </c>
      <c r="B3868" s="114" t="n">
        <v>4935040</v>
      </c>
      <c r="C3868" s="114" t="n">
        <v>110784.180000009</v>
      </c>
    </row>
    <row r="3869" customFormat="false" ht="15" hidden="false" customHeight="true" outlineLevel="0" collapsed="false">
      <c r="A3869" s="115" t="n">
        <v>4935040.01</v>
      </c>
      <c r="B3869" s="115" t="n">
        <v>4936320</v>
      </c>
      <c r="C3869" s="115" t="n">
        <v>110812.840000009</v>
      </c>
    </row>
    <row r="3870" customFormat="false" ht="15" hidden="false" customHeight="true" outlineLevel="0" collapsed="false">
      <c r="A3870" s="114" t="n">
        <v>4936320.01</v>
      </c>
      <c r="B3870" s="114" t="n">
        <v>4937600</v>
      </c>
      <c r="C3870" s="114" t="n">
        <v>110841.500000009</v>
      </c>
    </row>
    <row r="3871" customFormat="false" ht="15" hidden="false" customHeight="true" outlineLevel="0" collapsed="false">
      <c r="A3871" s="115" t="n">
        <v>4937600.01</v>
      </c>
      <c r="B3871" s="115" t="n">
        <v>4938880</v>
      </c>
      <c r="C3871" s="115" t="n">
        <v>110870.160000009</v>
      </c>
    </row>
    <row r="3872" customFormat="false" ht="15" hidden="false" customHeight="true" outlineLevel="0" collapsed="false">
      <c r="A3872" s="114" t="n">
        <v>4938880.01</v>
      </c>
      <c r="B3872" s="114" t="n">
        <v>4940160</v>
      </c>
      <c r="C3872" s="114" t="n">
        <v>110898.820000009</v>
      </c>
    </row>
    <row r="3873" customFormat="false" ht="15" hidden="false" customHeight="true" outlineLevel="0" collapsed="false">
      <c r="A3873" s="115" t="n">
        <v>4940160.01</v>
      </c>
      <c r="B3873" s="115" t="n">
        <v>4941440</v>
      </c>
      <c r="C3873" s="115" t="n">
        <v>110927.480000009</v>
      </c>
    </row>
    <row r="3874" customFormat="false" ht="15" hidden="false" customHeight="true" outlineLevel="0" collapsed="false">
      <c r="A3874" s="114" t="n">
        <v>4941440.01</v>
      </c>
      <c r="B3874" s="114" t="n">
        <v>4942720</v>
      </c>
      <c r="C3874" s="114" t="n">
        <v>110956.140000009</v>
      </c>
    </row>
    <row r="3875" customFormat="false" ht="15" hidden="false" customHeight="true" outlineLevel="0" collapsed="false">
      <c r="A3875" s="115" t="n">
        <v>4942720.01</v>
      </c>
      <c r="B3875" s="115" t="n">
        <v>4944000</v>
      </c>
      <c r="C3875" s="115" t="n">
        <v>110984.800000009</v>
      </c>
    </row>
    <row r="3876" customFormat="false" ht="15" hidden="false" customHeight="true" outlineLevel="0" collapsed="false">
      <c r="A3876" s="114" t="n">
        <v>4944000.01</v>
      </c>
      <c r="B3876" s="114" t="n">
        <v>4945280</v>
      </c>
      <c r="C3876" s="114" t="n">
        <v>111013.460000009</v>
      </c>
    </row>
    <row r="3877" customFormat="false" ht="15" hidden="false" customHeight="true" outlineLevel="0" collapsed="false">
      <c r="A3877" s="115" t="n">
        <v>4945280.01</v>
      </c>
      <c r="B3877" s="115" t="n">
        <v>4946560</v>
      </c>
      <c r="C3877" s="115" t="n">
        <v>111042.120000009</v>
      </c>
    </row>
    <row r="3878" customFormat="false" ht="15" hidden="false" customHeight="true" outlineLevel="0" collapsed="false">
      <c r="A3878" s="114" t="n">
        <v>4946560.01</v>
      </c>
      <c r="B3878" s="114" t="n">
        <v>4947840</v>
      </c>
      <c r="C3878" s="114" t="n">
        <v>111070.780000009</v>
      </c>
    </row>
    <row r="3879" customFormat="false" ht="15" hidden="false" customHeight="true" outlineLevel="0" collapsed="false">
      <c r="A3879" s="115" t="n">
        <v>4947840.01</v>
      </c>
      <c r="B3879" s="115" t="n">
        <v>4949120</v>
      </c>
      <c r="C3879" s="115" t="n">
        <v>111099.440000009</v>
      </c>
    </row>
    <row r="3880" customFormat="false" ht="15" hidden="false" customHeight="true" outlineLevel="0" collapsed="false">
      <c r="A3880" s="114" t="n">
        <v>4949120.01</v>
      </c>
      <c r="B3880" s="114" t="n">
        <v>4950400</v>
      </c>
      <c r="C3880" s="114" t="n">
        <v>111128.100000009</v>
      </c>
    </row>
    <row r="3881" customFormat="false" ht="15" hidden="false" customHeight="true" outlineLevel="0" collapsed="false">
      <c r="A3881" s="115" t="n">
        <v>4950400.01</v>
      </c>
      <c r="B3881" s="115" t="n">
        <v>4951680</v>
      </c>
      <c r="C3881" s="115" t="n">
        <v>111156.760000009</v>
      </c>
    </row>
    <row r="3882" customFormat="false" ht="15" hidden="false" customHeight="true" outlineLevel="0" collapsed="false">
      <c r="A3882" s="114" t="n">
        <v>4951680.01</v>
      </c>
      <c r="B3882" s="114" t="n">
        <v>4952960</v>
      </c>
      <c r="C3882" s="114" t="n">
        <v>111185.420000009</v>
      </c>
    </row>
    <row r="3883" customFormat="false" ht="15" hidden="false" customHeight="true" outlineLevel="0" collapsed="false">
      <c r="A3883" s="115" t="n">
        <v>4952960.01</v>
      </c>
      <c r="B3883" s="115" t="n">
        <v>4954240</v>
      </c>
      <c r="C3883" s="115" t="n">
        <v>111214.080000009</v>
      </c>
    </row>
    <row r="3884" customFormat="false" ht="15" hidden="false" customHeight="true" outlineLevel="0" collapsed="false">
      <c r="A3884" s="114" t="n">
        <v>4954240.01</v>
      </c>
      <c r="B3884" s="114" t="n">
        <v>4955520</v>
      </c>
      <c r="C3884" s="114" t="n">
        <v>111242.740000009</v>
      </c>
    </row>
    <row r="3885" customFormat="false" ht="15" hidden="false" customHeight="true" outlineLevel="0" collapsed="false">
      <c r="A3885" s="115" t="n">
        <v>4955520.01</v>
      </c>
      <c r="B3885" s="115" t="n">
        <v>4956800</v>
      </c>
      <c r="C3885" s="115" t="n">
        <v>111271.400000009</v>
      </c>
    </row>
    <row r="3886" customFormat="false" ht="15" hidden="false" customHeight="true" outlineLevel="0" collapsed="false">
      <c r="A3886" s="114" t="n">
        <v>4956800.01</v>
      </c>
      <c r="B3886" s="114" t="n">
        <v>4958080</v>
      </c>
      <c r="C3886" s="114" t="n">
        <v>111300.060000009</v>
      </c>
    </row>
    <row r="3887" customFormat="false" ht="15" hidden="false" customHeight="true" outlineLevel="0" collapsed="false">
      <c r="A3887" s="115" t="n">
        <v>4958080.01</v>
      </c>
      <c r="B3887" s="115" t="n">
        <v>4959360</v>
      </c>
      <c r="C3887" s="115" t="n">
        <v>111328.720000009</v>
      </c>
    </row>
    <row r="3888" customFormat="false" ht="15" hidden="false" customHeight="true" outlineLevel="0" collapsed="false">
      <c r="A3888" s="114" t="n">
        <v>4959360.01</v>
      </c>
      <c r="B3888" s="114" t="n">
        <v>4960640</v>
      </c>
      <c r="C3888" s="114" t="n">
        <v>111357.380000009</v>
      </c>
    </row>
    <row r="3889" customFormat="false" ht="15" hidden="false" customHeight="true" outlineLevel="0" collapsed="false">
      <c r="A3889" s="115" t="n">
        <v>4960640.01</v>
      </c>
      <c r="B3889" s="115" t="n">
        <v>4961920</v>
      </c>
      <c r="C3889" s="115" t="n">
        <v>111386.040000009</v>
      </c>
    </row>
    <row r="3890" customFormat="false" ht="15" hidden="false" customHeight="true" outlineLevel="0" collapsed="false">
      <c r="A3890" s="114" t="n">
        <v>4961920.01</v>
      </c>
      <c r="B3890" s="114" t="n">
        <v>4963200</v>
      </c>
      <c r="C3890" s="114" t="n">
        <v>111414.700000009</v>
      </c>
    </row>
    <row r="3891" customFormat="false" ht="15" hidden="false" customHeight="true" outlineLevel="0" collapsed="false">
      <c r="A3891" s="115" t="n">
        <v>4963200.01</v>
      </c>
      <c r="B3891" s="115" t="n">
        <v>4964480</v>
      </c>
      <c r="C3891" s="115" t="n">
        <v>111443.360000009</v>
      </c>
    </row>
    <row r="3892" customFormat="false" ht="15" hidden="false" customHeight="true" outlineLevel="0" collapsed="false">
      <c r="A3892" s="114" t="n">
        <v>4964480.01</v>
      </c>
      <c r="B3892" s="114" t="n">
        <v>4965760</v>
      </c>
      <c r="C3892" s="114" t="n">
        <v>111472.020000009</v>
      </c>
    </row>
    <row r="3893" customFormat="false" ht="15" hidden="false" customHeight="true" outlineLevel="0" collapsed="false">
      <c r="A3893" s="115" t="n">
        <v>4965760.01</v>
      </c>
      <c r="B3893" s="115" t="n">
        <v>4967040</v>
      </c>
      <c r="C3893" s="115" t="n">
        <v>111500.680000009</v>
      </c>
    </row>
    <row r="3894" customFormat="false" ht="15" hidden="false" customHeight="true" outlineLevel="0" collapsed="false">
      <c r="A3894" s="114" t="n">
        <v>4967040.01</v>
      </c>
      <c r="B3894" s="114" t="n">
        <v>4968320</v>
      </c>
      <c r="C3894" s="114" t="n">
        <v>111529.340000009</v>
      </c>
    </row>
    <row r="3895" customFormat="false" ht="15" hidden="false" customHeight="true" outlineLevel="0" collapsed="false">
      <c r="A3895" s="115" t="n">
        <v>4968320.01</v>
      </c>
      <c r="B3895" s="115" t="n">
        <v>4969600</v>
      </c>
      <c r="C3895" s="115" t="n">
        <v>111558.000000009</v>
      </c>
    </row>
    <row r="3896" customFormat="false" ht="15" hidden="false" customHeight="true" outlineLevel="0" collapsed="false">
      <c r="A3896" s="114" t="n">
        <v>4969600.01</v>
      </c>
      <c r="B3896" s="114" t="n">
        <v>4970880</v>
      </c>
      <c r="C3896" s="114" t="n">
        <v>111586.660000009</v>
      </c>
    </row>
    <row r="3897" customFormat="false" ht="15" hidden="false" customHeight="true" outlineLevel="0" collapsed="false">
      <c r="A3897" s="115" t="n">
        <v>4970880.01</v>
      </c>
      <c r="B3897" s="115" t="n">
        <v>4972160</v>
      </c>
      <c r="C3897" s="115" t="n">
        <v>111615.32000001</v>
      </c>
    </row>
    <row r="3898" customFormat="false" ht="15" hidden="false" customHeight="true" outlineLevel="0" collapsed="false">
      <c r="A3898" s="114" t="n">
        <v>4972160.01</v>
      </c>
      <c r="B3898" s="114" t="n">
        <v>4973440</v>
      </c>
      <c r="C3898" s="114" t="n">
        <v>111643.98000001</v>
      </c>
    </row>
    <row r="3899" customFormat="false" ht="15" hidden="false" customHeight="true" outlineLevel="0" collapsed="false">
      <c r="A3899" s="115" t="n">
        <v>4973440.01</v>
      </c>
      <c r="B3899" s="115" t="n">
        <v>4974720</v>
      </c>
      <c r="C3899" s="115" t="n">
        <v>111672.64000001</v>
      </c>
    </row>
    <row r="3900" customFormat="false" ht="15" hidden="false" customHeight="true" outlineLevel="0" collapsed="false">
      <c r="A3900" s="114" t="n">
        <v>4974720.01</v>
      </c>
      <c r="B3900" s="114" t="n">
        <v>4976000</v>
      </c>
      <c r="C3900" s="114" t="n">
        <v>111701.30000001</v>
      </c>
    </row>
    <row r="3901" customFormat="false" ht="15" hidden="false" customHeight="true" outlineLevel="0" collapsed="false">
      <c r="A3901" s="115" t="n">
        <v>4976000.01</v>
      </c>
      <c r="B3901" s="115" t="n">
        <v>4977280</v>
      </c>
      <c r="C3901" s="115" t="n">
        <v>111729.96000001</v>
      </c>
    </row>
    <row r="3902" customFormat="false" ht="15" hidden="false" customHeight="true" outlineLevel="0" collapsed="false">
      <c r="A3902" s="114" t="n">
        <v>4977280.01</v>
      </c>
      <c r="B3902" s="114" t="n">
        <v>4978560</v>
      </c>
      <c r="C3902" s="114" t="n">
        <v>111758.62000001</v>
      </c>
    </row>
    <row r="3903" customFormat="false" ht="15" hidden="false" customHeight="true" outlineLevel="0" collapsed="false">
      <c r="A3903" s="115" t="n">
        <v>4978560.01</v>
      </c>
      <c r="B3903" s="115" t="n">
        <v>4979840</v>
      </c>
      <c r="C3903" s="115" t="n">
        <v>111787.28000001</v>
      </c>
    </row>
    <row r="3904" customFormat="false" ht="15" hidden="false" customHeight="true" outlineLevel="0" collapsed="false">
      <c r="A3904" s="114" t="n">
        <v>4979840.01</v>
      </c>
      <c r="B3904" s="114" t="n">
        <v>4981120</v>
      </c>
      <c r="C3904" s="114" t="n">
        <v>111815.94000001</v>
      </c>
    </row>
    <row r="3905" customFormat="false" ht="15" hidden="false" customHeight="true" outlineLevel="0" collapsed="false">
      <c r="A3905" s="115" t="n">
        <v>4981120.01</v>
      </c>
      <c r="B3905" s="115" t="n">
        <v>4982400</v>
      </c>
      <c r="C3905" s="115" t="n">
        <v>111844.60000001</v>
      </c>
    </row>
    <row r="3906" customFormat="false" ht="15" hidden="false" customHeight="true" outlineLevel="0" collapsed="false">
      <c r="A3906" s="114" t="n">
        <v>4982400.01</v>
      </c>
      <c r="B3906" s="114" t="n">
        <v>4983680</v>
      </c>
      <c r="C3906" s="114" t="n">
        <v>111873.26000001</v>
      </c>
    </row>
    <row r="3907" customFormat="false" ht="15" hidden="false" customHeight="true" outlineLevel="0" collapsed="false">
      <c r="A3907" s="115" t="n">
        <v>4983680.01</v>
      </c>
      <c r="B3907" s="115" t="n">
        <v>4984960</v>
      </c>
      <c r="C3907" s="115" t="n">
        <v>111901.92000001</v>
      </c>
    </row>
    <row r="3908" customFormat="false" ht="15" hidden="false" customHeight="true" outlineLevel="0" collapsed="false">
      <c r="A3908" s="114" t="n">
        <v>4984960.01</v>
      </c>
      <c r="B3908" s="114" t="n">
        <v>4986240</v>
      </c>
      <c r="C3908" s="114" t="n">
        <v>111930.58000001</v>
      </c>
    </row>
    <row r="3909" customFormat="false" ht="15" hidden="false" customHeight="true" outlineLevel="0" collapsed="false">
      <c r="A3909" s="115" t="n">
        <v>4986240.01</v>
      </c>
      <c r="B3909" s="115" t="n">
        <v>4987520</v>
      </c>
      <c r="C3909" s="115" t="n">
        <v>111959.24000001</v>
      </c>
    </row>
    <row r="3910" customFormat="false" ht="15" hidden="false" customHeight="true" outlineLevel="0" collapsed="false">
      <c r="A3910" s="114" t="n">
        <v>4987520.01</v>
      </c>
      <c r="B3910" s="114" t="n">
        <v>4988800</v>
      </c>
      <c r="C3910" s="114" t="n">
        <v>111987.90000001</v>
      </c>
    </row>
    <row r="3911" customFormat="false" ht="15" hidden="false" customHeight="true" outlineLevel="0" collapsed="false">
      <c r="A3911" s="115" t="n">
        <v>4988800.01</v>
      </c>
      <c r="B3911" s="115" t="n">
        <v>4990080</v>
      </c>
      <c r="C3911" s="115" t="n">
        <v>112016.56000001</v>
      </c>
    </row>
    <row r="3912" customFormat="false" ht="15" hidden="false" customHeight="true" outlineLevel="0" collapsed="false">
      <c r="A3912" s="114" t="n">
        <v>4990080.01</v>
      </c>
      <c r="B3912" s="114" t="n">
        <v>4991360</v>
      </c>
      <c r="C3912" s="114" t="n">
        <v>112045.22000001</v>
      </c>
    </row>
    <row r="3913" customFormat="false" ht="15" hidden="false" customHeight="true" outlineLevel="0" collapsed="false">
      <c r="A3913" s="115" t="n">
        <v>4991360.01</v>
      </c>
      <c r="B3913" s="115" t="n">
        <v>4992640</v>
      </c>
      <c r="C3913" s="115" t="n">
        <v>112073.88000001</v>
      </c>
    </row>
    <row r="3914" customFormat="false" ht="15" hidden="false" customHeight="true" outlineLevel="0" collapsed="false">
      <c r="A3914" s="114" t="n">
        <v>4992640.01</v>
      </c>
      <c r="B3914" s="114" t="n">
        <v>4993920</v>
      </c>
      <c r="C3914" s="114" t="n">
        <v>112102.54000001</v>
      </c>
    </row>
    <row r="3915" customFormat="false" ht="15" hidden="false" customHeight="true" outlineLevel="0" collapsed="false">
      <c r="A3915" s="115" t="n">
        <v>4993920.01</v>
      </c>
      <c r="B3915" s="115" t="n">
        <v>4995200</v>
      </c>
      <c r="C3915" s="115" t="n">
        <v>112131.20000001</v>
      </c>
    </row>
    <row r="3916" customFormat="false" ht="15" hidden="false" customHeight="true" outlineLevel="0" collapsed="false">
      <c r="A3916" s="114" t="n">
        <v>4995200.01</v>
      </c>
      <c r="B3916" s="114" t="n">
        <v>4996480</v>
      </c>
      <c r="C3916" s="114" t="n">
        <v>112159.86000001</v>
      </c>
    </row>
    <row r="3917" customFormat="false" ht="15" hidden="false" customHeight="true" outlineLevel="0" collapsed="false">
      <c r="A3917" s="115" t="n">
        <v>4996480.01</v>
      </c>
      <c r="B3917" s="115" t="n">
        <v>4997760</v>
      </c>
      <c r="C3917" s="115" t="n">
        <v>112188.52000001</v>
      </c>
    </row>
    <row r="3918" customFormat="false" ht="15" hidden="false" customHeight="true" outlineLevel="0" collapsed="false">
      <c r="A3918" s="114" t="n">
        <v>4997760.01</v>
      </c>
      <c r="B3918" s="114" t="n">
        <v>4999040</v>
      </c>
      <c r="C3918" s="114" t="n">
        <v>112217.18000001</v>
      </c>
    </row>
    <row r="3919" customFormat="false" ht="15" hidden="false" customHeight="true" outlineLevel="0" collapsed="false">
      <c r="A3919" s="115" t="n">
        <v>4999040.01</v>
      </c>
      <c r="B3919" s="115" t="n">
        <v>5000320</v>
      </c>
      <c r="C3919" s="115" t="n">
        <v>112245.84000001</v>
      </c>
    </row>
    <row r="3920" customFormat="false" ht="15" hidden="false" customHeight="true" outlineLevel="0" collapsed="false">
      <c r="A3920" s="114" t="n">
        <v>5000320.01</v>
      </c>
      <c r="B3920" s="114" t="n">
        <v>5001600</v>
      </c>
      <c r="C3920" s="114" t="n">
        <v>112274.50000001</v>
      </c>
    </row>
    <row r="3921" customFormat="false" ht="15" hidden="false" customHeight="true" outlineLevel="0" collapsed="false">
      <c r="A3921" s="115" t="n">
        <v>5001600.01</v>
      </c>
      <c r="B3921" s="115" t="n">
        <v>5002880</v>
      </c>
      <c r="C3921" s="115" t="n">
        <v>112303.16000001</v>
      </c>
    </row>
    <row r="3922" customFormat="false" ht="15" hidden="false" customHeight="true" outlineLevel="0" collapsed="false">
      <c r="A3922" s="114" t="n">
        <v>5002880.01</v>
      </c>
      <c r="B3922" s="114" t="n">
        <v>5004160</v>
      </c>
      <c r="C3922" s="114" t="n">
        <v>112331.82000001</v>
      </c>
    </row>
    <row r="3923" customFormat="false" ht="15" hidden="false" customHeight="true" outlineLevel="0" collapsed="false">
      <c r="A3923" s="115" t="n">
        <v>5004160.01</v>
      </c>
      <c r="B3923" s="115" t="n">
        <v>5005440</v>
      </c>
      <c r="C3923" s="115" t="n">
        <v>112360.48000001</v>
      </c>
    </row>
    <row r="3924" customFormat="false" ht="15" hidden="false" customHeight="true" outlineLevel="0" collapsed="false">
      <c r="A3924" s="114" t="n">
        <v>5005440.01</v>
      </c>
      <c r="B3924" s="114" t="n">
        <v>5006720</v>
      </c>
      <c r="C3924" s="114" t="n">
        <v>112389.14000001</v>
      </c>
    </row>
    <row r="3925" customFormat="false" ht="15" hidden="false" customHeight="true" outlineLevel="0" collapsed="false">
      <c r="A3925" s="115" t="n">
        <v>5006720.01</v>
      </c>
      <c r="B3925" s="115" t="n">
        <v>5008000</v>
      </c>
      <c r="C3925" s="115" t="n">
        <v>112417.80000001</v>
      </c>
    </row>
    <row r="3926" customFormat="false" ht="15" hidden="false" customHeight="true" outlineLevel="0" collapsed="false">
      <c r="A3926" s="114" t="n">
        <v>5008000.01</v>
      </c>
      <c r="B3926" s="114" t="n">
        <v>5009280</v>
      </c>
      <c r="C3926" s="114" t="n">
        <v>112446.46000001</v>
      </c>
    </row>
    <row r="3927" customFormat="false" ht="15" hidden="false" customHeight="true" outlineLevel="0" collapsed="false">
      <c r="A3927" s="115" t="n">
        <v>5009280.01</v>
      </c>
      <c r="B3927" s="115" t="n">
        <v>5010560</v>
      </c>
      <c r="C3927" s="115" t="n">
        <v>112475.12000001</v>
      </c>
    </row>
    <row r="3928" customFormat="false" ht="15" hidden="false" customHeight="true" outlineLevel="0" collapsed="false">
      <c r="A3928" s="114" t="n">
        <v>5010560.01</v>
      </c>
      <c r="B3928" s="114" t="n">
        <v>5011840</v>
      </c>
      <c r="C3928" s="114" t="n">
        <v>112503.78000001</v>
      </c>
    </row>
    <row r="3929" customFormat="false" ht="15" hidden="false" customHeight="true" outlineLevel="0" collapsed="false">
      <c r="A3929" s="115" t="n">
        <v>5011840.01</v>
      </c>
      <c r="B3929" s="115" t="n">
        <v>5013120</v>
      </c>
      <c r="C3929" s="115" t="n">
        <v>112532.44000001</v>
      </c>
    </row>
    <row r="3930" customFormat="false" ht="15" hidden="false" customHeight="true" outlineLevel="0" collapsed="false">
      <c r="A3930" s="114" t="n">
        <v>5013120.01</v>
      </c>
      <c r="B3930" s="114" t="n">
        <v>5014400</v>
      </c>
      <c r="C3930" s="114" t="n">
        <v>112561.10000001</v>
      </c>
    </row>
    <row r="3931" customFormat="false" ht="15" hidden="false" customHeight="true" outlineLevel="0" collapsed="false">
      <c r="A3931" s="115" t="n">
        <v>5014400.01</v>
      </c>
      <c r="B3931" s="115" t="n">
        <v>5015680</v>
      </c>
      <c r="C3931" s="115" t="n">
        <v>112589.76000001</v>
      </c>
    </row>
    <row r="3932" customFormat="false" ht="15" hidden="false" customHeight="true" outlineLevel="0" collapsed="false">
      <c r="A3932" s="114" t="n">
        <v>5015680.01</v>
      </c>
      <c r="B3932" s="114" t="n">
        <v>5016960</v>
      </c>
      <c r="C3932" s="114" t="n">
        <v>112618.42000001</v>
      </c>
    </row>
    <row r="3933" customFormat="false" ht="15" hidden="false" customHeight="true" outlineLevel="0" collapsed="false">
      <c r="A3933" s="115" t="n">
        <v>5016960.01</v>
      </c>
      <c r="B3933" s="115" t="n">
        <v>5018240</v>
      </c>
      <c r="C3933" s="115" t="n">
        <v>112647.08000001</v>
      </c>
    </row>
    <row r="3934" customFormat="false" ht="15" hidden="false" customHeight="true" outlineLevel="0" collapsed="false">
      <c r="A3934" s="114" t="n">
        <v>5018240.01</v>
      </c>
      <c r="B3934" s="114" t="n">
        <v>5019520</v>
      </c>
      <c r="C3934" s="114" t="n">
        <v>112675.74000001</v>
      </c>
    </row>
    <row r="3935" customFormat="false" ht="15" hidden="false" customHeight="true" outlineLevel="0" collapsed="false">
      <c r="A3935" s="115" t="n">
        <v>5019520.01</v>
      </c>
      <c r="B3935" s="115" t="n">
        <v>5020800</v>
      </c>
      <c r="C3935" s="115" t="n">
        <v>112704.40000001</v>
      </c>
    </row>
    <row r="3936" customFormat="false" ht="15" hidden="false" customHeight="true" outlineLevel="0" collapsed="false">
      <c r="A3936" s="114" t="n">
        <v>5020800.01</v>
      </c>
      <c r="B3936" s="114" t="n">
        <v>5022080</v>
      </c>
      <c r="C3936" s="114" t="n">
        <v>112733.06000001</v>
      </c>
    </row>
    <row r="3937" customFormat="false" ht="15" hidden="false" customHeight="true" outlineLevel="0" collapsed="false">
      <c r="A3937" s="115" t="n">
        <v>5022080.01</v>
      </c>
      <c r="B3937" s="115" t="n">
        <v>5023360</v>
      </c>
      <c r="C3937" s="115" t="n">
        <v>112761.72000001</v>
      </c>
    </row>
    <row r="3938" customFormat="false" ht="15" hidden="false" customHeight="true" outlineLevel="0" collapsed="false">
      <c r="A3938" s="114" t="n">
        <v>5023360.01</v>
      </c>
      <c r="B3938" s="114" t="n">
        <v>5024640</v>
      </c>
      <c r="C3938" s="114" t="n">
        <v>112790.38000001</v>
      </c>
    </row>
    <row r="3939" customFormat="false" ht="15" hidden="false" customHeight="true" outlineLevel="0" collapsed="false">
      <c r="A3939" s="115" t="n">
        <v>5024640.01</v>
      </c>
      <c r="B3939" s="115" t="n">
        <v>5025920</v>
      </c>
      <c r="C3939" s="115" t="n">
        <v>112819.04000001</v>
      </c>
    </row>
    <row r="3940" customFormat="false" ht="15" hidden="false" customHeight="true" outlineLevel="0" collapsed="false">
      <c r="A3940" s="114" t="n">
        <v>5025920.01</v>
      </c>
      <c r="B3940" s="114" t="n">
        <v>5027200</v>
      </c>
      <c r="C3940" s="114" t="n">
        <v>112847.70000001</v>
      </c>
    </row>
    <row r="3941" customFormat="false" ht="15" hidden="false" customHeight="true" outlineLevel="0" collapsed="false">
      <c r="A3941" s="115" t="n">
        <v>5027200.01</v>
      </c>
      <c r="B3941" s="115" t="n">
        <v>5028480</v>
      </c>
      <c r="C3941" s="115" t="n">
        <v>112876.36000001</v>
      </c>
    </row>
    <row r="3942" customFormat="false" ht="15" hidden="false" customHeight="true" outlineLevel="0" collapsed="false">
      <c r="A3942" s="114" t="n">
        <v>5028480.01</v>
      </c>
      <c r="B3942" s="114" t="n">
        <v>5029760</v>
      </c>
      <c r="C3942" s="114" t="n">
        <v>112905.02000001</v>
      </c>
    </row>
    <row r="3943" customFormat="false" ht="15" hidden="false" customHeight="true" outlineLevel="0" collapsed="false">
      <c r="A3943" s="115" t="n">
        <v>5029760.01</v>
      </c>
      <c r="B3943" s="115" t="n">
        <v>5031040</v>
      </c>
      <c r="C3943" s="115" t="n">
        <v>112933.68000001</v>
      </c>
    </row>
    <row r="3944" customFormat="false" ht="15" hidden="false" customHeight="true" outlineLevel="0" collapsed="false">
      <c r="A3944" s="114" t="n">
        <v>5031040.01</v>
      </c>
      <c r="B3944" s="114" t="n">
        <v>5032320</v>
      </c>
      <c r="C3944" s="114" t="n">
        <v>112962.34000001</v>
      </c>
    </row>
    <row r="3945" customFormat="false" ht="15" hidden="false" customHeight="true" outlineLevel="0" collapsed="false">
      <c r="A3945" s="115" t="n">
        <v>5032320.01</v>
      </c>
      <c r="B3945" s="115" t="n">
        <v>5033600</v>
      </c>
      <c r="C3945" s="115" t="n">
        <v>112991.00000001</v>
      </c>
    </row>
    <row r="3946" customFormat="false" ht="15" hidden="false" customHeight="true" outlineLevel="0" collapsed="false">
      <c r="A3946" s="114" t="n">
        <v>5033600.01</v>
      </c>
      <c r="B3946" s="114" t="n">
        <v>5034880</v>
      </c>
      <c r="C3946" s="114" t="n">
        <v>113019.66000001</v>
      </c>
    </row>
    <row r="3947" customFormat="false" ht="15" hidden="false" customHeight="true" outlineLevel="0" collapsed="false">
      <c r="A3947" s="115" t="n">
        <v>5034880.01</v>
      </c>
      <c r="B3947" s="115" t="n">
        <v>5036160</v>
      </c>
      <c r="C3947" s="115" t="n">
        <v>113048.32000001</v>
      </c>
    </row>
    <row r="3948" customFormat="false" ht="15" hidden="false" customHeight="true" outlineLevel="0" collapsed="false">
      <c r="A3948" s="114" t="n">
        <v>5036160.01</v>
      </c>
      <c r="B3948" s="114" t="n">
        <v>5037440</v>
      </c>
      <c r="C3948" s="114" t="n">
        <v>113076.98000001</v>
      </c>
    </row>
    <row r="3949" customFormat="false" ht="15" hidden="false" customHeight="true" outlineLevel="0" collapsed="false">
      <c r="A3949" s="115" t="n">
        <v>5037440.01</v>
      </c>
      <c r="B3949" s="115" t="n">
        <v>5038720</v>
      </c>
      <c r="C3949" s="115" t="n">
        <v>113105.64000001</v>
      </c>
    </row>
    <row r="3950" customFormat="false" ht="15" hidden="false" customHeight="true" outlineLevel="0" collapsed="false">
      <c r="A3950" s="114" t="n">
        <v>5038720.01</v>
      </c>
      <c r="B3950" s="114" t="n">
        <v>5040000</v>
      </c>
      <c r="C3950" s="114" t="n">
        <v>113134.30000001</v>
      </c>
    </row>
    <row r="3951" customFormat="false" ht="15" hidden="false" customHeight="true" outlineLevel="0" collapsed="false">
      <c r="A3951" s="115" t="n">
        <v>5040000.01</v>
      </c>
      <c r="B3951" s="115" t="n">
        <v>5041280</v>
      </c>
      <c r="C3951" s="115" t="n">
        <v>113162.96000001</v>
      </c>
    </row>
    <row r="3952" customFormat="false" ht="15" hidden="false" customHeight="true" outlineLevel="0" collapsed="false">
      <c r="A3952" s="114" t="n">
        <v>5041280.01</v>
      </c>
      <c r="B3952" s="114" t="n">
        <v>5042560</v>
      </c>
      <c r="C3952" s="114" t="n">
        <v>113191.62000001</v>
      </c>
    </row>
    <row r="3953" customFormat="false" ht="15" hidden="false" customHeight="true" outlineLevel="0" collapsed="false">
      <c r="A3953" s="115" t="n">
        <v>5042560.01</v>
      </c>
      <c r="B3953" s="115" t="n">
        <v>5043840</v>
      </c>
      <c r="C3953" s="115" t="n">
        <v>113220.28000001</v>
      </c>
    </row>
    <row r="3954" customFormat="false" ht="15" hidden="false" customHeight="true" outlineLevel="0" collapsed="false">
      <c r="A3954" s="114" t="n">
        <v>5043840.01</v>
      </c>
      <c r="B3954" s="114" t="n">
        <v>5045120</v>
      </c>
      <c r="C3954" s="114" t="n">
        <v>113248.94000001</v>
      </c>
    </row>
    <row r="3955" customFormat="false" ht="15" hidden="false" customHeight="true" outlineLevel="0" collapsed="false">
      <c r="A3955" s="115" t="n">
        <v>5045120.01</v>
      </c>
      <c r="B3955" s="115" t="n">
        <v>5046400</v>
      </c>
      <c r="C3955" s="115" t="n">
        <v>113277.60000001</v>
      </c>
    </row>
    <row r="3956" customFormat="false" ht="15" hidden="false" customHeight="true" outlineLevel="0" collapsed="false">
      <c r="A3956" s="114" t="n">
        <v>5046400.01</v>
      </c>
      <c r="B3956" s="114" t="n">
        <v>5047680</v>
      </c>
      <c r="C3956" s="114" t="n">
        <v>113306.26000001</v>
      </c>
    </row>
    <row r="3957" customFormat="false" ht="15" hidden="false" customHeight="true" outlineLevel="0" collapsed="false">
      <c r="A3957" s="115" t="n">
        <v>5047680.01</v>
      </c>
      <c r="B3957" s="115" t="n">
        <v>5048960</v>
      </c>
      <c r="C3957" s="115" t="n">
        <v>113334.92000001</v>
      </c>
    </row>
    <row r="3958" customFormat="false" ht="15" hidden="false" customHeight="true" outlineLevel="0" collapsed="false">
      <c r="A3958" s="114" t="n">
        <v>5048960.01</v>
      </c>
      <c r="B3958" s="114" t="n">
        <v>5050240</v>
      </c>
      <c r="C3958" s="114" t="n">
        <v>113363.58000001</v>
      </c>
    </row>
    <row r="3959" customFormat="false" ht="15" hidden="false" customHeight="true" outlineLevel="0" collapsed="false">
      <c r="A3959" s="115" t="n">
        <v>5050240.01</v>
      </c>
      <c r="B3959" s="115" t="n">
        <v>5051520</v>
      </c>
      <c r="C3959" s="115" t="n">
        <v>113392.24000001</v>
      </c>
    </row>
    <row r="3960" customFormat="false" ht="15" hidden="false" customHeight="true" outlineLevel="0" collapsed="false">
      <c r="A3960" s="114" t="n">
        <v>5051520.01</v>
      </c>
      <c r="B3960" s="114" t="n">
        <v>5052800</v>
      </c>
      <c r="C3960" s="114" t="n">
        <v>113420.90000001</v>
      </c>
    </row>
    <row r="3961" customFormat="false" ht="15" hidden="false" customHeight="true" outlineLevel="0" collapsed="false">
      <c r="A3961" s="115" t="n">
        <v>5052800.01</v>
      </c>
      <c r="B3961" s="115" t="n">
        <v>5054080</v>
      </c>
      <c r="C3961" s="115" t="n">
        <v>113449.56000001</v>
      </c>
    </row>
    <row r="3962" customFormat="false" ht="15" hidden="false" customHeight="true" outlineLevel="0" collapsed="false">
      <c r="A3962" s="114" t="n">
        <v>5054080.01</v>
      </c>
      <c r="B3962" s="114" t="n">
        <v>5055360</v>
      </c>
      <c r="C3962" s="114" t="n">
        <v>113478.22000001</v>
      </c>
    </row>
    <row r="3963" customFormat="false" ht="15" hidden="false" customHeight="true" outlineLevel="0" collapsed="false">
      <c r="A3963" s="115" t="n">
        <v>5055360.01</v>
      </c>
      <c r="B3963" s="115" t="n">
        <v>5056640</v>
      </c>
      <c r="C3963" s="115" t="n">
        <v>113506.88000001</v>
      </c>
    </row>
    <row r="3964" customFormat="false" ht="15" hidden="false" customHeight="true" outlineLevel="0" collapsed="false">
      <c r="A3964" s="114" t="n">
        <v>5056640.01</v>
      </c>
      <c r="B3964" s="114" t="n">
        <v>5057920</v>
      </c>
      <c r="C3964" s="114" t="n">
        <v>113535.54000001</v>
      </c>
    </row>
    <row r="3965" customFormat="false" ht="15" hidden="false" customHeight="true" outlineLevel="0" collapsed="false">
      <c r="A3965" s="115" t="n">
        <v>5057920.01</v>
      </c>
      <c r="B3965" s="115" t="n">
        <v>5059200</v>
      </c>
      <c r="C3965" s="115" t="n">
        <v>113564.20000001</v>
      </c>
    </row>
    <row r="3966" customFormat="false" ht="15" hidden="false" customHeight="true" outlineLevel="0" collapsed="false">
      <c r="A3966" s="114" t="n">
        <v>5059200.01</v>
      </c>
      <c r="B3966" s="114" t="n">
        <v>5060480</v>
      </c>
      <c r="C3966" s="114" t="n">
        <v>113592.86000001</v>
      </c>
    </row>
    <row r="3967" customFormat="false" ht="15" hidden="false" customHeight="true" outlineLevel="0" collapsed="false">
      <c r="A3967" s="115" t="n">
        <v>5060480.01</v>
      </c>
      <c r="B3967" s="115" t="n">
        <v>5061760</v>
      </c>
      <c r="C3967" s="115" t="n">
        <v>113621.52000001</v>
      </c>
    </row>
    <row r="3968" customFormat="false" ht="15" hidden="false" customHeight="true" outlineLevel="0" collapsed="false">
      <c r="A3968" s="114" t="n">
        <v>5061760.01</v>
      </c>
      <c r="B3968" s="114" t="n">
        <v>5063040</v>
      </c>
      <c r="C3968" s="114" t="n">
        <v>113650.18000001</v>
      </c>
    </row>
    <row r="3969" customFormat="false" ht="15" hidden="false" customHeight="true" outlineLevel="0" collapsed="false">
      <c r="A3969" s="115" t="n">
        <v>5063040.01</v>
      </c>
      <c r="B3969" s="115" t="n">
        <v>5064320</v>
      </c>
      <c r="C3969" s="115" t="n">
        <v>113678.84000001</v>
      </c>
    </row>
    <row r="3970" customFormat="false" ht="15" hidden="false" customHeight="true" outlineLevel="0" collapsed="false">
      <c r="A3970" s="114" t="n">
        <v>5064320.01</v>
      </c>
      <c r="B3970" s="114" t="n">
        <v>5065600</v>
      </c>
      <c r="C3970" s="114" t="n">
        <v>113707.50000001</v>
      </c>
    </row>
    <row r="3971" customFormat="false" ht="15" hidden="false" customHeight="true" outlineLevel="0" collapsed="false">
      <c r="A3971" s="115" t="n">
        <v>5065600.01</v>
      </c>
      <c r="B3971" s="115" t="n">
        <v>5066880</v>
      </c>
      <c r="C3971" s="115" t="n">
        <v>113736.16000001</v>
      </c>
    </row>
    <row r="3972" customFormat="false" ht="15" hidden="false" customHeight="true" outlineLevel="0" collapsed="false">
      <c r="A3972" s="114" t="n">
        <v>5066880.01</v>
      </c>
      <c r="B3972" s="114" t="n">
        <v>5068160</v>
      </c>
      <c r="C3972" s="114" t="n">
        <v>113764.82000001</v>
      </c>
    </row>
    <row r="3973" customFormat="false" ht="15" hidden="false" customHeight="true" outlineLevel="0" collapsed="false">
      <c r="A3973" s="115" t="n">
        <v>5068160.01</v>
      </c>
      <c r="B3973" s="115" t="n">
        <v>5069440</v>
      </c>
      <c r="C3973" s="115" t="n">
        <v>113793.48000001</v>
      </c>
    </row>
    <row r="3974" customFormat="false" ht="15" hidden="false" customHeight="true" outlineLevel="0" collapsed="false">
      <c r="A3974" s="114" t="n">
        <v>5069440.01</v>
      </c>
      <c r="B3974" s="114" t="n">
        <v>5070720</v>
      </c>
      <c r="C3974" s="114" t="n">
        <v>113822.14000001</v>
      </c>
    </row>
    <row r="3975" customFormat="false" ht="15" hidden="false" customHeight="true" outlineLevel="0" collapsed="false">
      <c r="A3975" s="115" t="n">
        <v>5070720.01</v>
      </c>
      <c r="B3975" s="115" t="n">
        <v>5072000</v>
      </c>
      <c r="C3975" s="115" t="n">
        <v>113850.80000001</v>
      </c>
    </row>
    <row r="3976" customFormat="false" ht="15" hidden="false" customHeight="true" outlineLevel="0" collapsed="false">
      <c r="A3976" s="114" t="n">
        <v>5072000.01</v>
      </c>
      <c r="B3976" s="114" t="n">
        <v>5073280</v>
      </c>
      <c r="C3976" s="114" t="n">
        <v>113879.46000001</v>
      </c>
    </row>
    <row r="3977" customFormat="false" ht="15" hidden="false" customHeight="true" outlineLevel="0" collapsed="false">
      <c r="A3977" s="115" t="n">
        <v>5073280.01</v>
      </c>
      <c r="B3977" s="115" t="n">
        <v>5074560</v>
      </c>
      <c r="C3977" s="115" t="n">
        <v>113908.12000001</v>
      </c>
    </row>
    <row r="3978" customFormat="false" ht="15" hidden="false" customHeight="true" outlineLevel="0" collapsed="false">
      <c r="A3978" s="114" t="n">
        <v>5074560.01</v>
      </c>
      <c r="B3978" s="114" t="n">
        <v>5075840</v>
      </c>
      <c r="C3978" s="114" t="n">
        <v>113936.78000001</v>
      </c>
    </row>
    <row r="3979" customFormat="false" ht="15" hidden="false" customHeight="true" outlineLevel="0" collapsed="false">
      <c r="A3979" s="115" t="n">
        <v>5075840.01</v>
      </c>
      <c r="B3979" s="115" t="n">
        <v>5077120</v>
      </c>
      <c r="C3979" s="115" t="n">
        <v>113965.44000001</v>
      </c>
    </row>
    <row r="3980" customFormat="false" ht="15" hidden="false" customHeight="true" outlineLevel="0" collapsed="false">
      <c r="A3980" s="114" t="n">
        <v>5077120.01</v>
      </c>
      <c r="B3980" s="114" t="n">
        <v>5078400</v>
      </c>
      <c r="C3980" s="114" t="n">
        <v>113994.10000001</v>
      </c>
    </row>
    <row r="3981" customFormat="false" ht="15" hidden="false" customHeight="true" outlineLevel="0" collapsed="false">
      <c r="A3981" s="115" t="n">
        <v>5078400.01</v>
      </c>
      <c r="B3981" s="115" t="n">
        <v>5079680</v>
      </c>
      <c r="C3981" s="115" t="n">
        <v>114022.76000001</v>
      </c>
    </row>
    <row r="3982" customFormat="false" ht="15" hidden="false" customHeight="true" outlineLevel="0" collapsed="false">
      <c r="A3982" s="114" t="n">
        <v>5079680.01</v>
      </c>
      <c r="B3982" s="114" t="n">
        <v>5080960</v>
      </c>
      <c r="C3982" s="114" t="n">
        <v>114051.42000001</v>
      </c>
    </row>
    <row r="3983" customFormat="false" ht="15" hidden="false" customHeight="true" outlineLevel="0" collapsed="false">
      <c r="A3983" s="115" t="n">
        <v>5080960.01</v>
      </c>
      <c r="B3983" s="115" t="n">
        <v>5082240</v>
      </c>
      <c r="C3983" s="115" t="n">
        <v>114080.08000001</v>
      </c>
    </row>
    <row r="3984" customFormat="false" ht="15" hidden="false" customHeight="true" outlineLevel="0" collapsed="false">
      <c r="A3984" s="114" t="n">
        <v>5082240.01</v>
      </c>
      <c r="B3984" s="114" t="n">
        <v>5083520</v>
      </c>
      <c r="C3984" s="114" t="n">
        <v>114108.74000001</v>
      </c>
    </row>
    <row r="3985" customFormat="false" ht="15" hidden="false" customHeight="true" outlineLevel="0" collapsed="false">
      <c r="A3985" s="115" t="n">
        <v>5083520.01</v>
      </c>
      <c r="B3985" s="115" t="n">
        <v>5084800</v>
      </c>
      <c r="C3985" s="115" t="n">
        <v>114137.40000001</v>
      </c>
    </row>
    <row r="3986" customFormat="false" ht="15" hidden="false" customHeight="true" outlineLevel="0" collapsed="false">
      <c r="A3986" s="114" t="n">
        <v>5084800.01</v>
      </c>
      <c r="B3986" s="114" t="n">
        <v>5086080</v>
      </c>
      <c r="C3986" s="114" t="n">
        <v>114166.06000001</v>
      </c>
    </row>
    <row r="3987" customFormat="false" ht="15" hidden="false" customHeight="true" outlineLevel="0" collapsed="false">
      <c r="A3987" s="115" t="n">
        <v>5086080.01</v>
      </c>
      <c r="B3987" s="115" t="n">
        <v>5087360</v>
      </c>
      <c r="C3987" s="115" t="n">
        <v>114194.72000001</v>
      </c>
    </row>
    <row r="3988" customFormat="false" ht="15" hidden="false" customHeight="true" outlineLevel="0" collapsed="false">
      <c r="A3988" s="114" t="n">
        <v>5087360.01</v>
      </c>
      <c r="B3988" s="114" t="n">
        <v>5088640</v>
      </c>
      <c r="C3988" s="114" t="n">
        <v>114223.38000001</v>
      </c>
    </row>
    <row r="3989" customFormat="false" ht="15" hidden="false" customHeight="true" outlineLevel="0" collapsed="false">
      <c r="A3989" s="115" t="n">
        <v>5088640.01</v>
      </c>
      <c r="B3989" s="115" t="n">
        <v>5089920</v>
      </c>
      <c r="C3989" s="115" t="n">
        <v>114252.04000001</v>
      </c>
    </row>
    <row r="3990" customFormat="false" ht="15" hidden="false" customHeight="true" outlineLevel="0" collapsed="false">
      <c r="A3990" s="114" t="n">
        <v>5089920.01</v>
      </c>
      <c r="B3990" s="114" t="n">
        <v>5091200</v>
      </c>
      <c r="C3990" s="114" t="n">
        <v>114280.70000001</v>
      </c>
    </row>
    <row r="3991" customFormat="false" ht="15" hidden="false" customHeight="true" outlineLevel="0" collapsed="false">
      <c r="A3991" s="115" t="n">
        <v>5091200.01</v>
      </c>
      <c r="B3991" s="115" t="n">
        <v>5092480</v>
      </c>
      <c r="C3991" s="115" t="n">
        <v>114309.36000001</v>
      </c>
    </row>
    <row r="3992" customFormat="false" ht="15" hidden="false" customHeight="true" outlineLevel="0" collapsed="false">
      <c r="A3992" s="114" t="n">
        <v>5092480.01</v>
      </c>
      <c r="B3992" s="114" t="n">
        <v>5093760</v>
      </c>
      <c r="C3992" s="114" t="n">
        <v>114338.02000001</v>
      </c>
    </row>
    <row r="3993" customFormat="false" ht="15" hidden="false" customHeight="true" outlineLevel="0" collapsed="false">
      <c r="A3993" s="115" t="n">
        <v>5093760.01</v>
      </c>
      <c r="B3993" s="115" t="n">
        <v>5095040</v>
      </c>
      <c r="C3993" s="115" t="n">
        <v>114366.68000001</v>
      </c>
    </row>
    <row r="3994" customFormat="false" ht="15" hidden="false" customHeight="true" outlineLevel="0" collapsed="false">
      <c r="A3994" s="114" t="n">
        <v>5095040.01</v>
      </c>
      <c r="B3994" s="114" t="n">
        <v>5096320</v>
      </c>
      <c r="C3994" s="114" t="n">
        <v>114395.34000001</v>
      </c>
    </row>
    <row r="3995" customFormat="false" ht="15" hidden="false" customHeight="true" outlineLevel="0" collapsed="false">
      <c r="A3995" s="115" t="n">
        <v>5096320.01</v>
      </c>
      <c r="B3995" s="115" t="n">
        <v>5097600</v>
      </c>
      <c r="C3995" s="115" t="n">
        <v>114424.00000001</v>
      </c>
    </row>
    <row r="3996" customFormat="false" ht="15" hidden="false" customHeight="true" outlineLevel="0" collapsed="false">
      <c r="A3996" s="114" t="n">
        <v>5097600.01</v>
      </c>
      <c r="B3996" s="114" t="n">
        <v>5098880</v>
      </c>
      <c r="C3996" s="114" t="n">
        <v>114452.66000001</v>
      </c>
    </row>
    <row r="3997" customFormat="false" ht="15" hidden="false" customHeight="true" outlineLevel="0" collapsed="false">
      <c r="A3997" s="115" t="n">
        <v>5098880.01</v>
      </c>
      <c r="B3997" s="115" t="n">
        <v>5100160</v>
      </c>
      <c r="C3997" s="115" t="n">
        <v>114481.32000001</v>
      </c>
    </row>
    <row r="3998" customFormat="false" ht="15" hidden="false" customHeight="true" outlineLevel="0" collapsed="false">
      <c r="A3998" s="114" t="n">
        <v>5100160.01</v>
      </c>
      <c r="B3998" s="114" t="n">
        <v>5101440</v>
      </c>
      <c r="C3998" s="114" t="n">
        <v>114509.98000001</v>
      </c>
    </row>
    <row r="3999" customFormat="false" ht="15" hidden="false" customHeight="true" outlineLevel="0" collapsed="false">
      <c r="A3999" s="115" t="n">
        <v>5101440.01</v>
      </c>
      <c r="B3999" s="115" t="n">
        <v>5102720</v>
      </c>
      <c r="C3999" s="115" t="n">
        <v>114538.64000001</v>
      </c>
    </row>
    <row r="4000" customFormat="false" ht="15" hidden="false" customHeight="true" outlineLevel="0" collapsed="false">
      <c r="A4000" s="114" t="n">
        <v>5102720.01</v>
      </c>
      <c r="B4000" s="114" t="n">
        <v>5104000</v>
      </c>
      <c r="C4000" s="114" t="n">
        <v>114567.30000001</v>
      </c>
    </row>
    <row r="4001" customFormat="false" ht="15" hidden="false" customHeight="true" outlineLevel="0" collapsed="false">
      <c r="A4001" s="115" t="n">
        <v>5104000.01</v>
      </c>
      <c r="B4001" s="115" t="n">
        <v>5105280</v>
      </c>
      <c r="C4001" s="115" t="n">
        <v>114595.96000001</v>
      </c>
    </row>
    <row r="4002" customFormat="false" ht="15" hidden="false" customHeight="true" outlineLevel="0" collapsed="false">
      <c r="A4002" s="114" t="n">
        <v>5105280.01</v>
      </c>
      <c r="B4002" s="114" t="n">
        <v>5106560</v>
      </c>
      <c r="C4002" s="114" t="n">
        <v>114624.62000001</v>
      </c>
    </row>
    <row r="4003" customFormat="false" ht="15" hidden="false" customHeight="true" outlineLevel="0" collapsed="false">
      <c r="A4003" s="115" t="n">
        <v>5106560.01</v>
      </c>
      <c r="B4003" s="115" t="n">
        <v>5107840</v>
      </c>
      <c r="C4003" s="115" t="n">
        <v>114653.28000001</v>
      </c>
    </row>
    <row r="4004" customFormat="false" ht="15" hidden="false" customHeight="true" outlineLevel="0" collapsed="false">
      <c r="A4004" s="114" t="n">
        <v>5107840.01</v>
      </c>
      <c r="B4004" s="114" t="n">
        <v>5109120</v>
      </c>
      <c r="C4004" s="114" t="n">
        <v>114681.94000001</v>
      </c>
    </row>
    <row r="4005" customFormat="false" ht="15" hidden="false" customHeight="true" outlineLevel="0" collapsed="false">
      <c r="A4005" s="115" t="n">
        <v>5109120.01</v>
      </c>
      <c r="B4005" s="115" t="n">
        <v>5110400</v>
      </c>
      <c r="C4005" s="115" t="n">
        <v>114710.60000001</v>
      </c>
    </row>
    <row r="4006" customFormat="false" ht="15" hidden="false" customHeight="true" outlineLevel="0" collapsed="false">
      <c r="A4006" s="114" t="n">
        <v>5110400.01</v>
      </c>
      <c r="B4006" s="114" t="n">
        <v>5111680</v>
      </c>
      <c r="C4006" s="114" t="n">
        <v>114739.26000001</v>
      </c>
    </row>
    <row r="4007" customFormat="false" ht="15" hidden="false" customHeight="true" outlineLevel="0" collapsed="false">
      <c r="A4007" s="115" t="n">
        <v>5111680.01</v>
      </c>
      <c r="B4007" s="115" t="n">
        <v>5112960</v>
      </c>
      <c r="C4007" s="115" t="n">
        <v>114767.92000001</v>
      </c>
    </row>
    <row r="4008" customFormat="false" ht="15" hidden="false" customHeight="true" outlineLevel="0" collapsed="false">
      <c r="A4008" s="114" t="n">
        <v>5112960.01</v>
      </c>
      <c r="B4008" s="114" t="n">
        <v>5114240</v>
      </c>
      <c r="C4008" s="114" t="n">
        <v>114796.58000001</v>
      </c>
    </row>
    <row r="4009" customFormat="false" ht="15" hidden="false" customHeight="true" outlineLevel="0" collapsed="false">
      <c r="A4009" s="115" t="n">
        <v>5114240.01</v>
      </c>
      <c r="B4009" s="115" t="n">
        <v>5115520</v>
      </c>
      <c r="C4009" s="115" t="n">
        <v>114825.24000001</v>
      </c>
    </row>
    <row r="4010" customFormat="false" ht="15" hidden="false" customHeight="true" outlineLevel="0" collapsed="false">
      <c r="A4010" s="114" t="n">
        <v>5115520.01</v>
      </c>
      <c r="B4010" s="114" t="n">
        <v>5116800</v>
      </c>
      <c r="C4010" s="114" t="n">
        <v>114853.90000001</v>
      </c>
    </row>
    <row r="4011" customFormat="false" ht="15" hidden="false" customHeight="true" outlineLevel="0" collapsed="false">
      <c r="A4011" s="115" t="n">
        <v>5116800.01</v>
      </c>
      <c r="B4011" s="115" t="n">
        <v>5118080</v>
      </c>
      <c r="C4011" s="115" t="n">
        <v>114882.56000001</v>
      </c>
    </row>
    <row r="4012" customFormat="false" ht="15" hidden="false" customHeight="true" outlineLevel="0" collapsed="false">
      <c r="A4012" s="114" t="n">
        <v>5118080.01</v>
      </c>
      <c r="B4012" s="114" t="n">
        <v>5119360</v>
      </c>
      <c r="C4012" s="114" t="n">
        <v>114911.22000001</v>
      </c>
    </row>
    <row r="4013" customFormat="false" ht="15" hidden="false" customHeight="true" outlineLevel="0" collapsed="false">
      <c r="A4013" s="115" t="n">
        <v>5119360.01</v>
      </c>
      <c r="B4013" s="115" t="n">
        <v>5120640</v>
      </c>
      <c r="C4013" s="115" t="n">
        <v>114939.88000001</v>
      </c>
    </row>
    <row r="4014" customFormat="false" ht="15" hidden="false" customHeight="true" outlineLevel="0" collapsed="false">
      <c r="A4014" s="114" t="n">
        <v>5120640.01</v>
      </c>
      <c r="B4014" s="114" t="n">
        <v>5121920</v>
      </c>
      <c r="C4014" s="114" t="n">
        <v>114968.54000001</v>
      </c>
    </row>
    <row r="4015" customFormat="false" ht="15" hidden="false" customHeight="true" outlineLevel="0" collapsed="false">
      <c r="A4015" s="115" t="n">
        <v>5121920.01</v>
      </c>
      <c r="B4015" s="115" t="n">
        <v>5123200</v>
      </c>
      <c r="C4015" s="115" t="n">
        <v>114997.20000001</v>
      </c>
    </row>
    <row r="4016" customFormat="false" ht="15" hidden="false" customHeight="true" outlineLevel="0" collapsed="false">
      <c r="A4016" s="114" t="n">
        <v>5123200.01</v>
      </c>
      <c r="B4016" s="114" t="n">
        <v>5124480</v>
      </c>
      <c r="C4016" s="114" t="n">
        <v>115025.86000001</v>
      </c>
    </row>
    <row r="4017" customFormat="false" ht="15" hidden="false" customHeight="true" outlineLevel="0" collapsed="false">
      <c r="A4017" s="115" t="n">
        <v>5124480.01</v>
      </c>
      <c r="B4017" s="115" t="n">
        <v>5125760</v>
      </c>
      <c r="C4017" s="115" t="n">
        <v>115054.52000001</v>
      </c>
    </row>
    <row r="4018" customFormat="false" ht="15" hidden="false" customHeight="true" outlineLevel="0" collapsed="false">
      <c r="A4018" s="114" t="n">
        <v>5125760.01</v>
      </c>
      <c r="B4018" s="114" t="n">
        <v>5127040</v>
      </c>
      <c r="C4018" s="114" t="n">
        <v>115083.18000001</v>
      </c>
    </row>
    <row r="4019" customFormat="false" ht="15" hidden="false" customHeight="true" outlineLevel="0" collapsed="false">
      <c r="A4019" s="115" t="n">
        <v>5127040.01</v>
      </c>
      <c r="B4019" s="115" t="n">
        <v>5128320</v>
      </c>
      <c r="C4019" s="115" t="n">
        <v>115111.84000001</v>
      </c>
    </row>
    <row r="4020" customFormat="false" ht="15" hidden="false" customHeight="true" outlineLevel="0" collapsed="false">
      <c r="A4020" s="114" t="n">
        <v>5128320.01</v>
      </c>
      <c r="B4020" s="114" t="n">
        <v>5129600</v>
      </c>
      <c r="C4020" s="114" t="n">
        <v>115140.50000001</v>
      </c>
    </row>
    <row r="4021" customFormat="false" ht="15" hidden="false" customHeight="true" outlineLevel="0" collapsed="false">
      <c r="A4021" s="115" t="n">
        <v>5129600.01</v>
      </c>
      <c r="B4021" s="115" t="n">
        <v>5130880</v>
      </c>
      <c r="C4021" s="115" t="n">
        <v>115169.16000001</v>
      </c>
    </row>
    <row r="4022" customFormat="false" ht="15" hidden="false" customHeight="true" outlineLevel="0" collapsed="false">
      <c r="A4022" s="114" t="n">
        <v>5130880.01</v>
      </c>
      <c r="B4022" s="114" t="n">
        <v>5132160</v>
      </c>
      <c r="C4022" s="114" t="n">
        <v>115197.82000001</v>
      </c>
    </row>
    <row r="4023" customFormat="false" ht="15" hidden="false" customHeight="true" outlineLevel="0" collapsed="false">
      <c r="A4023" s="115" t="n">
        <v>5132160.01</v>
      </c>
      <c r="B4023" s="115" t="n">
        <v>5133440</v>
      </c>
      <c r="C4023" s="115" t="n">
        <v>115226.48000001</v>
      </c>
    </row>
    <row r="4024" customFormat="false" ht="15" hidden="false" customHeight="true" outlineLevel="0" collapsed="false">
      <c r="A4024" s="114" t="n">
        <v>5133440.01</v>
      </c>
      <c r="B4024" s="114" t="n">
        <v>5134720</v>
      </c>
      <c r="C4024" s="114" t="n">
        <v>115255.14000001</v>
      </c>
    </row>
    <row r="4025" customFormat="false" ht="15" hidden="false" customHeight="true" outlineLevel="0" collapsed="false">
      <c r="A4025" s="115" t="n">
        <v>5134720.01</v>
      </c>
      <c r="B4025" s="115" t="n">
        <v>5136000</v>
      </c>
      <c r="C4025" s="115" t="n">
        <v>115283.80000001</v>
      </c>
    </row>
    <row r="4026" customFormat="false" ht="15" hidden="false" customHeight="true" outlineLevel="0" collapsed="false">
      <c r="A4026" s="114" t="n">
        <v>5136000.01</v>
      </c>
      <c r="B4026" s="114" t="n">
        <v>5137280</v>
      </c>
      <c r="C4026" s="114" t="n">
        <v>115312.46000001</v>
      </c>
    </row>
    <row r="4027" customFormat="false" ht="15" hidden="false" customHeight="true" outlineLevel="0" collapsed="false">
      <c r="A4027" s="115" t="n">
        <v>5137280.01</v>
      </c>
      <c r="B4027" s="115" t="n">
        <v>5138560</v>
      </c>
      <c r="C4027" s="115" t="n">
        <v>115341.12000001</v>
      </c>
    </row>
    <row r="4028" customFormat="false" ht="15" hidden="false" customHeight="true" outlineLevel="0" collapsed="false">
      <c r="A4028" s="114" t="n">
        <v>5138560.01</v>
      </c>
      <c r="B4028" s="114" t="n">
        <v>5139840</v>
      </c>
      <c r="C4028" s="114" t="n">
        <v>115369.78000001</v>
      </c>
    </row>
    <row r="4029" customFormat="false" ht="15" hidden="false" customHeight="true" outlineLevel="0" collapsed="false">
      <c r="A4029" s="115" t="n">
        <v>5139840.01</v>
      </c>
      <c r="B4029" s="115" t="n">
        <v>5141120</v>
      </c>
      <c r="C4029" s="115" t="n">
        <v>115398.44000001</v>
      </c>
    </row>
    <row r="4030" customFormat="false" ht="15" hidden="false" customHeight="true" outlineLevel="0" collapsed="false">
      <c r="A4030" s="114" t="n">
        <v>5141120.01</v>
      </c>
      <c r="B4030" s="114" t="n">
        <v>5142400</v>
      </c>
      <c r="C4030" s="114" t="n">
        <v>115427.10000001</v>
      </c>
    </row>
    <row r="4031" customFormat="false" ht="15" hidden="false" customHeight="true" outlineLevel="0" collapsed="false">
      <c r="A4031" s="115" t="n">
        <v>5142400.01</v>
      </c>
      <c r="B4031" s="115" t="n">
        <v>5143680</v>
      </c>
      <c r="C4031" s="115" t="n">
        <v>115455.76000001</v>
      </c>
    </row>
    <row r="4032" customFormat="false" ht="15" hidden="false" customHeight="true" outlineLevel="0" collapsed="false">
      <c r="A4032" s="114" t="n">
        <v>5143680.01</v>
      </c>
      <c r="B4032" s="114" t="n">
        <v>5144960</v>
      </c>
      <c r="C4032" s="114" t="n">
        <v>115484.42000001</v>
      </c>
    </row>
    <row r="4033" customFormat="false" ht="15" hidden="false" customHeight="true" outlineLevel="0" collapsed="false">
      <c r="A4033" s="115" t="n">
        <v>5144960.01</v>
      </c>
      <c r="B4033" s="115" t="n">
        <v>5146240</v>
      </c>
      <c r="C4033" s="115" t="n">
        <v>115513.08000001</v>
      </c>
    </row>
    <row r="4034" customFormat="false" ht="15" hidden="false" customHeight="true" outlineLevel="0" collapsed="false">
      <c r="A4034" s="114" t="n">
        <v>5146240.01</v>
      </c>
      <c r="B4034" s="114" t="n">
        <v>5147520</v>
      </c>
      <c r="C4034" s="114" t="n">
        <v>115541.74000001</v>
      </c>
    </row>
    <row r="4035" customFormat="false" ht="15" hidden="false" customHeight="true" outlineLevel="0" collapsed="false">
      <c r="A4035" s="115" t="n">
        <v>5147520.01</v>
      </c>
      <c r="B4035" s="115" t="n">
        <v>5148800</v>
      </c>
      <c r="C4035" s="115" t="n">
        <v>115570.40000001</v>
      </c>
    </row>
    <row r="4036" customFormat="false" ht="15" hidden="false" customHeight="true" outlineLevel="0" collapsed="false">
      <c r="A4036" s="114" t="n">
        <v>5148800.01</v>
      </c>
      <c r="B4036" s="114" t="n">
        <v>5150080</v>
      </c>
      <c r="C4036" s="114" t="n">
        <v>115599.06000001</v>
      </c>
    </row>
    <row r="4037" customFormat="false" ht="15" hidden="false" customHeight="true" outlineLevel="0" collapsed="false">
      <c r="A4037" s="115" t="n">
        <v>5150080.01</v>
      </c>
      <c r="B4037" s="115" t="n">
        <v>5151360</v>
      </c>
      <c r="C4037" s="115" t="n">
        <v>115627.72000001</v>
      </c>
    </row>
    <row r="4038" customFormat="false" ht="15" hidden="false" customHeight="true" outlineLevel="0" collapsed="false">
      <c r="A4038" s="114" t="n">
        <v>5151360.01</v>
      </c>
      <c r="B4038" s="114" t="n">
        <v>5152640</v>
      </c>
      <c r="C4038" s="114" t="n">
        <v>115656.38000001</v>
      </c>
    </row>
    <row r="4039" customFormat="false" ht="15" hidden="false" customHeight="true" outlineLevel="0" collapsed="false">
      <c r="A4039" s="115" t="n">
        <v>5152640.01</v>
      </c>
      <c r="B4039" s="115" t="n">
        <v>5153920</v>
      </c>
      <c r="C4039" s="115" t="n">
        <v>115685.04000001</v>
      </c>
    </row>
    <row r="4040" customFormat="false" ht="15" hidden="false" customHeight="true" outlineLevel="0" collapsed="false">
      <c r="A4040" s="114" t="n">
        <v>5153920.01</v>
      </c>
      <c r="B4040" s="114" t="n">
        <v>5155200</v>
      </c>
      <c r="C4040" s="114" t="n">
        <v>115713.70000001</v>
      </c>
    </row>
    <row r="4041" customFormat="false" ht="15" hidden="false" customHeight="true" outlineLevel="0" collapsed="false">
      <c r="A4041" s="115" t="n">
        <v>5155200.01</v>
      </c>
      <c r="B4041" s="115" t="n">
        <v>5156480</v>
      </c>
      <c r="C4041" s="115" t="n">
        <v>115742.36000001</v>
      </c>
    </row>
    <row r="4042" customFormat="false" ht="15" hidden="false" customHeight="true" outlineLevel="0" collapsed="false">
      <c r="A4042" s="114" t="n">
        <v>5156480.01</v>
      </c>
      <c r="B4042" s="114" t="n">
        <v>5157760</v>
      </c>
      <c r="C4042" s="114" t="n">
        <v>115771.02000001</v>
      </c>
    </row>
    <row r="4043" customFormat="false" ht="15" hidden="false" customHeight="true" outlineLevel="0" collapsed="false">
      <c r="A4043" s="115" t="n">
        <v>5157760.01</v>
      </c>
      <c r="B4043" s="115" t="n">
        <v>5159040</v>
      </c>
      <c r="C4043" s="115" t="n">
        <v>115799.68000001</v>
      </c>
    </row>
    <row r="4044" customFormat="false" ht="15" hidden="false" customHeight="true" outlineLevel="0" collapsed="false">
      <c r="A4044" s="114" t="n">
        <v>5159040.01</v>
      </c>
      <c r="B4044" s="114" t="n">
        <v>5160320</v>
      </c>
      <c r="C4044" s="114" t="n">
        <v>115828.34000001</v>
      </c>
    </row>
    <row r="4045" customFormat="false" ht="15" hidden="false" customHeight="true" outlineLevel="0" collapsed="false">
      <c r="A4045" s="115" t="n">
        <v>5160320.01</v>
      </c>
      <c r="B4045" s="115" t="n">
        <v>5161600</v>
      </c>
      <c r="C4045" s="115" t="n">
        <v>115857.00000001</v>
      </c>
    </row>
    <row r="4046" customFormat="false" ht="15" hidden="false" customHeight="true" outlineLevel="0" collapsed="false">
      <c r="A4046" s="114" t="n">
        <v>5161600.01</v>
      </c>
      <c r="B4046" s="114" t="n">
        <v>5162880</v>
      </c>
      <c r="C4046" s="114" t="n">
        <v>115885.66000001</v>
      </c>
    </row>
    <row r="4047" customFormat="false" ht="15" hidden="false" customHeight="true" outlineLevel="0" collapsed="false">
      <c r="A4047" s="115" t="n">
        <v>5162880.01</v>
      </c>
      <c r="B4047" s="115" t="n">
        <v>5164160</v>
      </c>
      <c r="C4047" s="115" t="n">
        <v>115914.32000001</v>
      </c>
    </row>
    <row r="4048" customFormat="false" ht="15" hidden="false" customHeight="true" outlineLevel="0" collapsed="false">
      <c r="A4048" s="114" t="n">
        <v>5164160.01</v>
      </c>
      <c r="B4048" s="114" t="n">
        <v>5165440</v>
      </c>
      <c r="C4048" s="114" t="n">
        <v>115942.98000001</v>
      </c>
    </row>
    <row r="4049" customFormat="false" ht="15" hidden="false" customHeight="true" outlineLevel="0" collapsed="false">
      <c r="A4049" s="115" t="n">
        <v>5165440.01</v>
      </c>
      <c r="B4049" s="115" t="n">
        <v>5166720</v>
      </c>
      <c r="C4049" s="115" t="n">
        <v>115971.64000001</v>
      </c>
    </row>
    <row r="4050" customFormat="false" ht="15" hidden="false" customHeight="true" outlineLevel="0" collapsed="false">
      <c r="A4050" s="114" t="n">
        <v>5166720.01</v>
      </c>
      <c r="B4050" s="114" t="n">
        <v>5168000</v>
      </c>
      <c r="C4050" s="114" t="n">
        <v>116000.30000001</v>
      </c>
    </row>
    <row r="4051" customFormat="false" ht="15" hidden="false" customHeight="true" outlineLevel="0" collapsed="false">
      <c r="A4051" s="115" t="n">
        <v>5168000.01</v>
      </c>
      <c r="B4051" s="115" t="n">
        <v>5169280</v>
      </c>
      <c r="C4051" s="115" t="n">
        <v>116028.96000001</v>
      </c>
    </row>
    <row r="4052" customFormat="false" ht="15" hidden="false" customHeight="true" outlineLevel="0" collapsed="false">
      <c r="A4052" s="114" t="n">
        <v>5169280.01</v>
      </c>
      <c r="B4052" s="114" t="n">
        <v>5170560</v>
      </c>
      <c r="C4052" s="114" t="n">
        <v>116057.62000001</v>
      </c>
    </row>
    <row r="4053" customFormat="false" ht="15" hidden="false" customHeight="true" outlineLevel="0" collapsed="false">
      <c r="A4053" s="115" t="n">
        <v>5170560.01</v>
      </c>
      <c r="B4053" s="115" t="n">
        <v>5171840</v>
      </c>
      <c r="C4053" s="115" t="n">
        <v>116086.28000001</v>
      </c>
    </row>
    <row r="4054" customFormat="false" ht="15" hidden="false" customHeight="true" outlineLevel="0" collapsed="false">
      <c r="A4054" s="114" t="n">
        <v>5171840.01</v>
      </c>
      <c r="B4054" s="114" t="n">
        <v>5173120</v>
      </c>
      <c r="C4054" s="114" t="n">
        <v>116114.94000001</v>
      </c>
    </row>
    <row r="4055" customFormat="false" ht="15" hidden="false" customHeight="true" outlineLevel="0" collapsed="false">
      <c r="A4055" s="115" t="n">
        <v>5173120.01</v>
      </c>
      <c r="B4055" s="115" t="n">
        <v>5174400</v>
      </c>
      <c r="C4055" s="115" t="n">
        <v>116143.60000001</v>
      </c>
    </row>
    <row r="4056" customFormat="false" ht="15" hidden="false" customHeight="true" outlineLevel="0" collapsed="false">
      <c r="A4056" s="114" t="n">
        <v>5174400.01</v>
      </c>
      <c r="B4056" s="114" t="n">
        <v>5175680</v>
      </c>
      <c r="C4056" s="114" t="n">
        <v>116172.26000001</v>
      </c>
    </row>
    <row r="4057" customFormat="false" ht="15" hidden="false" customHeight="true" outlineLevel="0" collapsed="false">
      <c r="A4057" s="115" t="n">
        <v>5175680.01</v>
      </c>
      <c r="B4057" s="115" t="n">
        <v>5176960</v>
      </c>
      <c r="C4057" s="115" t="n">
        <v>116200.92000001</v>
      </c>
    </row>
    <row r="4058" customFormat="false" ht="15" hidden="false" customHeight="true" outlineLevel="0" collapsed="false">
      <c r="A4058" s="114" t="n">
        <v>5176960.01</v>
      </c>
      <c r="B4058" s="114" t="n">
        <v>5178240</v>
      </c>
      <c r="C4058" s="114" t="n">
        <v>116229.58000001</v>
      </c>
    </row>
    <row r="4059" customFormat="false" ht="15" hidden="false" customHeight="true" outlineLevel="0" collapsed="false">
      <c r="A4059" s="115" t="n">
        <v>5178240.01</v>
      </c>
      <c r="B4059" s="115" t="n">
        <v>5179520</v>
      </c>
      <c r="C4059" s="115" t="n">
        <v>116258.24000001</v>
      </c>
    </row>
    <row r="4060" customFormat="false" ht="15" hidden="false" customHeight="true" outlineLevel="0" collapsed="false">
      <c r="A4060" s="114" t="n">
        <v>5179520.01</v>
      </c>
      <c r="B4060" s="114" t="n">
        <v>5180800</v>
      </c>
      <c r="C4060" s="114" t="n">
        <v>116286.90000001</v>
      </c>
    </row>
    <row r="4061" customFormat="false" ht="15" hidden="false" customHeight="true" outlineLevel="0" collapsed="false">
      <c r="A4061" s="115" t="n">
        <v>5180800.01</v>
      </c>
      <c r="B4061" s="115" t="n">
        <v>5182080</v>
      </c>
      <c r="C4061" s="115" t="n">
        <v>116315.56000001</v>
      </c>
    </row>
    <row r="4062" customFormat="false" ht="15" hidden="false" customHeight="true" outlineLevel="0" collapsed="false">
      <c r="A4062" s="114" t="n">
        <v>5182080.01</v>
      </c>
      <c r="B4062" s="114" t="n">
        <v>5183360</v>
      </c>
      <c r="C4062" s="114" t="n">
        <v>116344.22000001</v>
      </c>
    </row>
    <row r="4063" customFormat="false" ht="15" hidden="false" customHeight="true" outlineLevel="0" collapsed="false">
      <c r="A4063" s="115" t="n">
        <v>5183360.01</v>
      </c>
      <c r="B4063" s="115" t="n">
        <v>5184640</v>
      </c>
      <c r="C4063" s="115" t="n">
        <v>116372.88000001</v>
      </c>
    </row>
    <row r="4064" customFormat="false" ht="15" hidden="false" customHeight="true" outlineLevel="0" collapsed="false">
      <c r="A4064" s="114" t="n">
        <v>5184640.01</v>
      </c>
      <c r="B4064" s="114" t="n">
        <v>5185920</v>
      </c>
      <c r="C4064" s="114" t="n">
        <v>116401.54000001</v>
      </c>
    </row>
    <row r="4065" customFormat="false" ht="15" hidden="false" customHeight="true" outlineLevel="0" collapsed="false">
      <c r="A4065" s="115" t="n">
        <v>5185920.01</v>
      </c>
      <c r="B4065" s="115" t="n">
        <v>5187200</v>
      </c>
      <c r="C4065" s="115" t="n">
        <v>116430.20000001</v>
      </c>
    </row>
    <row r="4066" customFormat="false" ht="15" hidden="false" customHeight="true" outlineLevel="0" collapsed="false">
      <c r="A4066" s="114" t="n">
        <v>5187200.01</v>
      </c>
      <c r="B4066" s="114" t="n">
        <v>5188480</v>
      </c>
      <c r="C4066" s="114" t="n">
        <v>116458.86000001</v>
      </c>
    </row>
    <row r="4067" customFormat="false" ht="15" hidden="false" customHeight="true" outlineLevel="0" collapsed="false">
      <c r="A4067" s="115" t="n">
        <v>5188480.01</v>
      </c>
      <c r="B4067" s="115" t="n">
        <v>5189760</v>
      </c>
      <c r="C4067" s="115" t="n">
        <v>116487.52000001</v>
      </c>
    </row>
    <row r="4068" customFormat="false" ht="15" hidden="false" customHeight="true" outlineLevel="0" collapsed="false">
      <c r="A4068" s="114" t="n">
        <v>5189760.01</v>
      </c>
      <c r="B4068" s="114" t="n">
        <v>5191040</v>
      </c>
      <c r="C4068" s="114" t="n">
        <v>116516.18000001</v>
      </c>
    </row>
    <row r="4069" customFormat="false" ht="15" hidden="false" customHeight="true" outlineLevel="0" collapsed="false">
      <c r="A4069" s="115" t="n">
        <v>5191040.01</v>
      </c>
      <c r="B4069" s="115" t="n">
        <v>5192320</v>
      </c>
      <c r="C4069" s="115" t="n">
        <v>116544.84000001</v>
      </c>
    </row>
    <row r="4070" customFormat="false" ht="15" hidden="false" customHeight="true" outlineLevel="0" collapsed="false">
      <c r="A4070" s="114" t="n">
        <v>5192320.01</v>
      </c>
      <c r="B4070" s="114" t="n">
        <v>5193600</v>
      </c>
      <c r="C4070" s="114" t="n">
        <v>116573.50000001</v>
      </c>
    </row>
    <row r="4071" customFormat="false" ht="15" hidden="false" customHeight="true" outlineLevel="0" collapsed="false">
      <c r="A4071" s="115" t="n">
        <v>5193600.01</v>
      </c>
      <c r="B4071" s="115" t="n">
        <v>5194880</v>
      </c>
      <c r="C4071" s="115" t="n">
        <v>116602.16000001</v>
      </c>
    </row>
    <row r="4072" customFormat="false" ht="15" hidden="false" customHeight="true" outlineLevel="0" collapsed="false">
      <c r="A4072" s="114" t="n">
        <v>5194880.01</v>
      </c>
      <c r="B4072" s="114" t="n">
        <v>5196160</v>
      </c>
      <c r="C4072" s="114" t="n">
        <v>116630.82000001</v>
      </c>
    </row>
    <row r="4073" customFormat="false" ht="15" hidden="false" customHeight="true" outlineLevel="0" collapsed="false">
      <c r="A4073" s="115" t="n">
        <v>5196160.01</v>
      </c>
      <c r="B4073" s="115" t="n">
        <v>5197440</v>
      </c>
      <c r="C4073" s="115" t="n">
        <v>116659.48000001</v>
      </c>
    </row>
    <row r="4074" customFormat="false" ht="15" hidden="false" customHeight="true" outlineLevel="0" collapsed="false">
      <c r="A4074" s="114" t="n">
        <v>5197440.01</v>
      </c>
      <c r="B4074" s="114" t="n">
        <v>5198720</v>
      </c>
      <c r="C4074" s="114" t="n">
        <v>116688.14000001</v>
      </c>
    </row>
    <row r="4075" customFormat="false" ht="15" hidden="false" customHeight="true" outlineLevel="0" collapsed="false">
      <c r="A4075" s="115" t="n">
        <v>5198720.01</v>
      </c>
      <c r="B4075" s="115" t="n">
        <v>5200000</v>
      </c>
      <c r="C4075" s="115" t="n">
        <v>116716.80000001</v>
      </c>
    </row>
    <row r="4076" customFormat="false" ht="15" hidden="false" customHeight="true" outlineLevel="0" collapsed="false">
      <c r="A4076" s="114" t="n">
        <v>5200000.01</v>
      </c>
      <c r="B4076" s="114" t="n">
        <v>5201280</v>
      </c>
      <c r="C4076" s="114" t="n">
        <v>116745.46000001</v>
      </c>
    </row>
    <row r="4077" customFormat="false" ht="15" hidden="false" customHeight="true" outlineLevel="0" collapsed="false">
      <c r="A4077" s="115" t="n">
        <v>5201280.01</v>
      </c>
      <c r="B4077" s="115" t="n">
        <v>5202560</v>
      </c>
      <c r="C4077" s="115" t="n">
        <v>116774.12000001</v>
      </c>
    </row>
    <row r="4078" customFormat="false" ht="15" hidden="false" customHeight="true" outlineLevel="0" collapsed="false">
      <c r="A4078" s="114" t="n">
        <v>5202560.01</v>
      </c>
      <c r="B4078" s="114" t="n">
        <v>5203840</v>
      </c>
      <c r="C4078" s="114" t="n">
        <v>116802.78000001</v>
      </c>
    </row>
    <row r="4079" customFormat="false" ht="15" hidden="false" customHeight="true" outlineLevel="0" collapsed="false">
      <c r="A4079" s="115" t="n">
        <v>5203840.01</v>
      </c>
      <c r="B4079" s="115" t="n">
        <v>5205120</v>
      </c>
      <c r="C4079" s="115" t="n">
        <v>116831.44000001</v>
      </c>
    </row>
    <row r="4080" customFormat="false" ht="15" hidden="false" customHeight="true" outlineLevel="0" collapsed="false">
      <c r="A4080" s="114" t="n">
        <v>5205120.01</v>
      </c>
      <c r="B4080" s="114" t="n">
        <v>5206400</v>
      </c>
      <c r="C4080" s="114" t="n">
        <v>116860.10000001</v>
      </c>
    </row>
    <row r="4081" customFormat="false" ht="15" hidden="false" customHeight="true" outlineLevel="0" collapsed="false">
      <c r="A4081" s="115" t="n">
        <v>5206400.01</v>
      </c>
      <c r="B4081" s="115" t="n">
        <v>5207680</v>
      </c>
      <c r="C4081" s="115" t="n">
        <v>116888.76000001</v>
      </c>
    </row>
    <row r="4082" customFormat="false" ht="15" hidden="false" customHeight="true" outlineLevel="0" collapsed="false">
      <c r="A4082" s="114" t="n">
        <v>5207680.01</v>
      </c>
      <c r="B4082" s="114" t="n">
        <v>5208960</v>
      </c>
      <c r="C4082" s="114" t="n">
        <v>116917.42000001</v>
      </c>
    </row>
    <row r="4083" customFormat="false" ht="15" hidden="false" customHeight="true" outlineLevel="0" collapsed="false">
      <c r="A4083" s="115" t="n">
        <v>5208960.01</v>
      </c>
      <c r="B4083" s="115" t="n">
        <v>5210240</v>
      </c>
      <c r="C4083" s="115" t="n">
        <v>116946.08000001</v>
      </c>
    </row>
    <row r="4084" customFormat="false" ht="15" hidden="false" customHeight="true" outlineLevel="0" collapsed="false">
      <c r="A4084" s="114" t="n">
        <v>5210240.01</v>
      </c>
      <c r="B4084" s="114" t="n">
        <v>5211520</v>
      </c>
      <c r="C4084" s="114" t="n">
        <v>116974.74000001</v>
      </c>
    </row>
    <row r="4085" customFormat="false" ht="15" hidden="false" customHeight="true" outlineLevel="0" collapsed="false">
      <c r="A4085" s="115" t="n">
        <v>5211520.01</v>
      </c>
      <c r="B4085" s="115" t="n">
        <v>5212800</v>
      </c>
      <c r="C4085" s="115" t="n">
        <v>117003.40000001</v>
      </c>
    </row>
    <row r="4086" customFormat="false" ht="15" hidden="false" customHeight="true" outlineLevel="0" collapsed="false">
      <c r="A4086" s="114" t="n">
        <v>5212800.01</v>
      </c>
      <c r="B4086" s="114" t="n">
        <v>5214080</v>
      </c>
      <c r="C4086" s="114" t="n">
        <v>117032.06000001</v>
      </c>
    </row>
    <row r="4087" customFormat="false" ht="15" hidden="false" customHeight="true" outlineLevel="0" collapsed="false">
      <c r="A4087" s="115" t="n">
        <v>5214080.01</v>
      </c>
      <c r="B4087" s="115" t="n">
        <v>5215360</v>
      </c>
      <c r="C4087" s="115" t="n">
        <v>117060.72000001</v>
      </c>
    </row>
    <row r="4088" customFormat="false" ht="15" hidden="false" customHeight="true" outlineLevel="0" collapsed="false">
      <c r="A4088" s="114" t="n">
        <v>5215360.01</v>
      </c>
      <c r="B4088" s="114" t="n">
        <v>5216640</v>
      </c>
      <c r="C4088" s="114" t="n">
        <v>117089.38000001</v>
      </c>
    </row>
    <row r="4089" customFormat="false" ht="15" hidden="false" customHeight="true" outlineLevel="0" collapsed="false">
      <c r="A4089" s="115" t="n">
        <v>5216640.01</v>
      </c>
      <c r="B4089" s="115" t="n">
        <v>5217920</v>
      </c>
      <c r="C4089" s="115" t="n">
        <v>117118.04000001</v>
      </c>
    </row>
    <row r="4090" customFormat="false" ht="15" hidden="false" customHeight="true" outlineLevel="0" collapsed="false">
      <c r="A4090" s="114" t="n">
        <v>5217920.01</v>
      </c>
      <c r="B4090" s="114" t="n">
        <v>5219200</v>
      </c>
      <c r="C4090" s="114" t="n">
        <v>117146.70000001</v>
      </c>
    </row>
    <row r="4091" customFormat="false" ht="15" hidden="false" customHeight="true" outlineLevel="0" collapsed="false">
      <c r="A4091" s="115" t="n">
        <v>5219200.01</v>
      </c>
      <c r="B4091" s="115" t="n">
        <v>5220480</v>
      </c>
      <c r="C4091" s="115" t="n">
        <v>117175.36000001</v>
      </c>
    </row>
    <row r="4092" customFormat="false" ht="15" hidden="false" customHeight="true" outlineLevel="0" collapsed="false">
      <c r="A4092" s="114" t="n">
        <v>5220480.01</v>
      </c>
      <c r="B4092" s="114" t="n">
        <v>5221760</v>
      </c>
      <c r="C4092" s="114" t="n">
        <v>117204.02000001</v>
      </c>
    </row>
    <row r="4093" customFormat="false" ht="15" hidden="false" customHeight="true" outlineLevel="0" collapsed="false">
      <c r="A4093" s="115" t="n">
        <v>5221760.01</v>
      </c>
      <c r="B4093" s="115" t="n">
        <v>5223040</v>
      </c>
      <c r="C4093" s="115" t="n">
        <v>117232.68000001</v>
      </c>
    </row>
    <row r="4094" customFormat="false" ht="15" hidden="false" customHeight="true" outlineLevel="0" collapsed="false">
      <c r="A4094" s="114" t="n">
        <v>5223040.01</v>
      </c>
      <c r="B4094" s="114" t="n">
        <v>5224320</v>
      </c>
      <c r="C4094" s="114" t="n">
        <v>117261.34000001</v>
      </c>
    </row>
    <row r="4095" customFormat="false" ht="15" hidden="false" customHeight="true" outlineLevel="0" collapsed="false">
      <c r="A4095" s="115" t="n">
        <v>5224320.01</v>
      </c>
      <c r="B4095" s="115" t="n">
        <v>5225600</v>
      </c>
      <c r="C4095" s="115" t="n">
        <v>117290.00000001</v>
      </c>
    </row>
    <row r="4096" customFormat="false" ht="15" hidden="false" customHeight="true" outlineLevel="0" collapsed="false">
      <c r="A4096" s="114" t="n">
        <v>5225600.01</v>
      </c>
      <c r="B4096" s="114" t="n">
        <v>5226880</v>
      </c>
      <c r="C4096" s="114" t="n">
        <v>117318.66000001</v>
      </c>
    </row>
    <row r="4097" customFormat="false" ht="15" hidden="false" customHeight="true" outlineLevel="0" collapsed="false">
      <c r="A4097" s="115" t="n">
        <v>5226880.01</v>
      </c>
      <c r="B4097" s="115" t="n">
        <v>5228160</v>
      </c>
      <c r="C4097" s="115" t="n">
        <v>117347.32000001</v>
      </c>
    </row>
    <row r="4098" customFormat="false" ht="15" hidden="false" customHeight="true" outlineLevel="0" collapsed="false">
      <c r="A4098" s="114" t="n">
        <v>5228160.01</v>
      </c>
      <c r="B4098" s="114" t="n">
        <v>5229440</v>
      </c>
      <c r="C4098" s="114" t="n">
        <v>117375.98000001</v>
      </c>
    </row>
    <row r="4099" customFormat="false" ht="15" hidden="false" customHeight="true" outlineLevel="0" collapsed="false">
      <c r="A4099" s="115" t="n">
        <v>5229440.01</v>
      </c>
      <c r="B4099" s="115" t="n">
        <v>5230720</v>
      </c>
      <c r="C4099" s="115" t="n">
        <v>117404.64000001</v>
      </c>
    </row>
    <row r="4100" customFormat="false" ht="15" hidden="false" customHeight="true" outlineLevel="0" collapsed="false">
      <c r="A4100" s="114" t="n">
        <v>5230720.01</v>
      </c>
      <c r="B4100" s="114" t="n">
        <v>5232000</v>
      </c>
      <c r="C4100" s="114" t="n">
        <v>117433.30000001</v>
      </c>
    </row>
    <row r="4101" customFormat="false" ht="15" hidden="false" customHeight="true" outlineLevel="0" collapsed="false">
      <c r="A4101" s="115" t="n">
        <v>5232000.01</v>
      </c>
      <c r="B4101" s="115" t="n">
        <v>5233280</v>
      </c>
      <c r="C4101" s="115" t="n">
        <v>117461.96000001</v>
      </c>
    </row>
    <row r="4102" customFormat="false" ht="15" hidden="false" customHeight="true" outlineLevel="0" collapsed="false">
      <c r="A4102" s="114" t="n">
        <v>5233280.01</v>
      </c>
      <c r="B4102" s="114" t="n">
        <v>5234560</v>
      </c>
      <c r="C4102" s="114" t="n">
        <v>117490.62000001</v>
      </c>
    </row>
    <row r="4103" customFormat="false" ht="15" hidden="false" customHeight="true" outlineLevel="0" collapsed="false">
      <c r="A4103" s="115" t="n">
        <v>5234560.01</v>
      </c>
      <c r="B4103" s="115" t="n">
        <v>5235840</v>
      </c>
      <c r="C4103" s="115" t="n">
        <v>117519.28000001</v>
      </c>
    </row>
    <row r="4104" customFormat="false" ht="15" hidden="false" customHeight="true" outlineLevel="0" collapsed="false">
      <c r="A4104" s="114" t="n">
        <v>5235840.01</v>
      </c>
      <c r="B4104" s="114" t="n">
        <v>5237120</v>
      </c>
      <c r="C4104" s="114" t="n">
        <v>117547.94000001</v>
      </c>
    </row>
    <row r="4105" customFormat="false" ht="15" hidden="false" customHeight="true" outlineLevel="0" collapsed="false">
      <c r="A4105" s="115" t="n">
        <v>5237120.01</v>
      </c>
      <c r="B4105" s="115" t="n">
        <v>5238400</v>
      </c>
      <c r="C4105" s="115" t="n">
        <v>117576.60000001</v>
      </c>
    </row>
    <row r="4106" customFormat="false" ht="15" hidden="false" customHeight="true" outlineLevel="0" collapsed="false">
      <c r="A4106" s="114" t="n">
        <v>5238400.01</v>
      </c>
      <c r="B4106" s="114" t="n">
        <v>5239680</v>
      </c>
      <c r="C4106" s="114" t="n">
        <v>117605.26000001</v>
      </c>
    </row>
    <row r="4107" customFormat="false" ht="15" hidden="false" customHeight="true" outlineLevel="0" collapsed="false">
      <c r="A4107" s="115" t="n">
        <v>5239680.01</v>
      </c>
      <c r="B4107" s="115" t="n">
        <v>5240960</v>
      </c>
      <c r="C4107" s="115" t="n">
        <v>117633.92000001</v>
      </c>
    </row>
    <row r="4108" customFormat="false" ht="15" hidden="false" customHeight="true" outlineLevel="0" collapsed="false">
      <c r="A4108" s="114" t="n">
        <v>5240960.01</v>
      </c>
      <c r="B4108" s="114" t="n">
        <v>5242240</v>
      </c>
      <c r="C4108" s="114" t="n">
        <v>117662.58000001</v>
      </c>
    </row>
    <row r="4109" customFormat="false" ht="15" hidden="false" customHeight="true" outlineLevel="0" collapsed="false">
      <c r="A4109" s="115" t="n">
        <v>5242240.01</v>
      </c>
      <c r="B4109" s="115" t="n">
        <v>5243520</v>
      </c>
      <c r="C4109" s="115" t="n">
        <v>117691.24000001</v>
      </c>
    </row>
    <row r="4110" customFormat="false" ht="15" hidden="false" customHeight="true" outlineLevel="0" collapsed="false">
      <c r="A4110" s="114" t="n">
        <v>5243520.01</v>
      </c>
      <c r="B4110" s="114" t="n">
        <v>5244800</v>
      </c>
      <c r="C4110" s="114" t="n">
        <v>117719.90000001</v>
      </c>
    </row>
    <row r="4111" customFormat="false" ht="15" hidden="false" customHeight="true" outlineLevel="0" collapsed="false">
      <c r="A4111" s="115" t="n">
        <v>5244800.01</v>
      </c>
      <c r="B4111" s="115" t="n">
        <v>5246080</v>
      </c>
      <c r="C4111" s="115" t="n">
        <v>117748.56000001</v>
      </c>
    </row>
    <row r="4112" customFormat="false" ht="15" hidden="false" customHeight="true" outlineLevel="0" collapsed="false">
      <c r="A4112" s="114" t="n">
        <v>5246080.01</v>
      </c>
      <c r="B4112" s="114" t="n">
        <v>5247360</v>
      </c>
      <c r="C4112" s="114" t="n">
        <v>117777.22000001</v>
      </c>
    </row>
    <row r="4113" customFormat="false" ht="15" hidden="false" customHeight="true" outlineLevel="0" collapsed="false">
      <c r="A4113" s="115" t="n">
        <v>5247360.01</v>
      </c>
      <c r="B4113" s="115" t="n">
        <v>5248640</v>
      </c>
      <c r="C4113" s="115" t="n">
        <v>117805.88000001</v>
      </c>
    </row>
    <row r="4114" customFormat="false" ht="15" hidden="false" customHeight="true" outlineLevel="0" collapsed="false">
      <c r="A4114" s="114" t="n">
        <v>5248640.01</v>
      </c>
      <c r="B4114" s="114" t="n">
        <v>5249920</v>
      </c>
      <c r="C4114" s="114" t="n">
        <v>117834.54000001</v>
      </c>
    </row>
    <row r="4115" customFormat="false" ht="15" hidden="false" customHeight="true" outlineLevel="0" collapsed="false">
      <c r="A4115" s="115" t="n">
        <v>5249920.01</v>
      </c>
      <c r="B4115" s="115" t="n">
        <v>5251200</v>
      </c>
      <c r="C4115" s="115" t="n">
        <v>117863.20000001</v>
      </c>
    </row>
    <row r="4116" customFormat="false" ht="15" hidden="false" customHeight="true" outlineLevel="0" collapsed="false">
      <c r="A4116" s="114" t="n">
        <v>5251200.01</v>
      </c>
      <c r="B4116" s="114" t="n">
        <v>5252480</v>
      </c>
      <c r="C4116" s="114" t="n">
        <v>117891.86000001</v>
      </c>
    </row>
    <row r="4117" customFormat="false" ht="15" hidden="false" customHeight="true" outlineLevel="0" collapsed="false">
      <c r="A4117" s="115" t="n">
        <v>5252480.01</v>
      </c>
      <c r="B4117" s="115" t="n">
        <v>5253760</v>
      </c>
      <c r="C4117" s="115" t="n">
        <v>117920.52000001</v>
      </c>
    </row>
    <row r="4118" customFormat="false" ht="15" hidden="false" customHeight="true" outlineLevel="0" collapsed="false">
      <c r="A4118" s="114" t="n">
        <v>5253760.01</v>
      </c>
      <c r="B4118" s="114" t="n">
        <v>5255040</v>
      </c>
      <c r="C4118" s="114" t="n">
        <v>117949.18000001</v>
      </c>
    </row>
    <row r="4119" customFormat="false" ht="15" hidden="false" customHeight="true" outlineLevel="0" collapsed="false">
      <c r="A4119" s="115" t="n">
        <v>5255040.01</v>
      </c>
      <c r="B4119" s="115" t="n">
        <v>5256320</v>
      </c>
      <c r="C4119" s="115" t="n">
        <v>117977.84000001</v>
      </c>
    </row>
    <row r="4120" customFormat="false" ht="15" hidden="false" customHeight="true" outlineLevel="0" collapsed="false">
      <c r="A4120" s="114" t="n">
        <v>5256320.01</v>
      </c>
      <c r="B4120" s="114" t="n">
        <v>5257600</v>
      </c>
      <c r="C4120" s="114" t="n">
        <v>118006.50000001</v>
      </c>
    </row>
    <row r="4121" customFormat="false" ht="15" hidden="false" customHeight="true" outlineLevel="0" collapsed="false">
      <c r="A4121" s="115" t="n">
        <v>5257600.01</v>
      </c>
      <c r="B4121" s="115" t="n">
        <v>5258880</v>
      </c>
      <c r="C4121" s="115" t="n">
        <v>118035.16000001</v>
      </c>
    </row>
    <row r="4122" customFormat="false" ht="15" hidden="false" customHeight="true" outlineLevel="0" collapsed="false">
      <c r="A4122" s="114" t="n">
        <v>5258880.01</v>
      </c>
      <c r="B4122" s="114" t="n">
        <v>5260160</v>
      </c>
      <c r="C4122" s="114" t="n">
        <v>118063.82000001</v>
      </c>
    </row>
    <row r="4123" customFormat="false" ht="15" hidden="false" customHeight="true" outlineLevel="0" collapsed="false">
      <c r="A4123" s="115" t="n">
        <v>5260160.01</v>
      </c>
      <c r="B4123" s="115" t="n">
        <v>5261440</v>
      </c>
      <c r="C4123" s="115" t="n">
        <v>118092.48000001</v>
      </c>
    </row>
    <row r="4124" customFormat="false" ht="15" hidden="false" customHeight="true" outlineLevel="0" collapsed="false">
      <c r="A4124" s="114" t="n">
        <v>5261440.01</v>
      </c>
      <c r="B4124" s="114" t="n">
        <v>5262720</v>
      </c>
      <c r="C4124" s="114" t="n">
        <v>118121.14000001</v>
      </c>
    </row>
    <row r="4125" customFormat="false" ht="15" hidden="false" customHeight="true" outlineLevel="0" collapsed="false">
      <c r="A4125" s="115" t="n">
        <v>5262720.01</v>
      </c>
      <c r="B4125" s="115" t="n">
        <v>5264000</v>
      </c>
      <c r="C4125" s="115" t="n">
        <v>118149.80000001</v>
      </c>
    </row>
    <row r="4126" customFormat="false" ht="15" hidden="false" customHeight="true" outlineLevel="0" collapsed="false">
      <c r="A4126" s="114" t="n">
        <v>5264000.01</v>
      </c>
      <c r="B4126" s="114" t="n">
        <v>5265280</v>
      </c>
      <c r="C4126" s="114" t="n">
        <v>118178.46000001</v>
      </c>
    </row>
    <row r="4127" customFormat="false" ht="15" hidden="false" customHeight="true" outlineLevel="0" collapsed="false">
      <c r="A4127" s="115" t="n">
        <v>5265280.01</v>
      </c>
      <c r="B4127" s="115" t="n">
        <v>5266560</v>
      </c>
      <c r="C4127" s="115" t="n">
        <v>118207.12000001</v>
      </c>
    </row>
    <row r="4128" customFormat="false" ht="15" hidden="false" customHeight="true" outlineLevel="0" collapsed="false">
      <c r="A4128" s="114" t="n">
        <v>5266560.01</v>
      </c>
      <c r="B4128" s="114" t="n">
        <v>5267840</v>
      </c>
      <c r="C4128" s="114" t="n">
        <v>118235.78000001</v>
      </c>
    </row>
    <row r="4129" customFormat="false" ht="15" hidden="false" customHeight="true" outlineLevel="0" collapsed="false">
      <c r="A4129" s="115" t="n">
        <v>5267840.01</v>
      </c>
      <c r="B4129" s="115" t="n">
        <v>5269120</v>
      </c>
      <c r="C4129" s="115" t="n">
        <v>118264.44000001</v>
      </c>
    </row>
    <row r="4130" customFormat="false" ht="15" hidden="false" customHeight="true" outlineLevel="0" collapsed="false">
      <c r="A4130" s="114" t="n">
        <v>5269120.01</v>
      </c>
      <c r="B4130" s="114" t="n">
        <v>5270400</v>
      </c>
      <c r="C4130" s="114" t="n">
        <v>118293.10000001</v>
      </c>
    </row>
    <row r="4131" customFormat="false" ht="15" hidden="false" customHeight="true" outlineLevel="0" collapsed="false">
      <c r="A4131" s="115" t="n">
        <v>5270400.01</v>
      </c>
      <c r="B4131" s="115" t="n">
        <v>5271680</v>
      </c>
      <c r="C4131" s="115" t="n">
        <v>118321.76000001</v>
      </c>
    </row>
    <row r="4132" customFormat="false" ht="15" hidden="false" customHeight="true" outlineLevel="0" collapsed="false">
      <c r="A4132" s="114" t="n">
        <v>5271680.01</v>
      </c>
      <c r="B4132" s="114" t="n">
        <v>5272960</v>
      </c>
      <c r="C4132" s="114" t="n">
        <v>118350.42000001</v>
      </c>
    </row>
    <row r="4133" customFormat="false" ht="15" hidden="false" customHeight="true" outlineLevel="0" collapsed="false">
      <c r="A4133" s="115" t="n">
        <v>5272960.01</v>
      </c>
      <c r="B4133" s="115" t="n">
        <v>5274240</v>
      </c>
      <c r="C4133" s="115" t="n">
        <v>118379.08000001</v>
      </c>
    </row>
    <row r="4134" customFormat="false" ht="15" hidden="false" customHeight="true" outlineLevel="0" collapsed="false">
      <c r="A4134" s="114" t="n">
        <v>5274240.01</v>
      </c>
      <c r="B4134" s="114" t="n">
        <v>5275520</v>
      </c>
      <c r="C4134" s="114" t="n">
        <v>118407.74000001</v>
      </c>
    </row>
    <row r="4135" customFormat="false" ht="15" hidden="false" customHeight="true" outlineLevel="0" collapsed="false">
      <c r="A4135" s="115" t="n">
        <v>5275520.01</v>
      </c>
      <c r="B4135" s="115" t="n">
        <v>5276800</v>
      </c>
      <c r="C4135" s="115" t="n">
        <v>118436.40000001</v>
      </c>
    </row>
    <row r="4136" customFormat="false" ht="15" hidden="false" customHeight="true" outlineLevel="0" collapsed="false">
      <c r="A4136" s="114" t="n">
        <v>5276800.01</v>
      </c>
      <c r="B4136" s="114" t="n">
        <v>5278080</v>
      </c>
      <c r="C4136" s="114" t="n">
        <v>118465.06000001</v>
      </c>
    </row>
    <row r="4137" customFormat="false" ht="15" hidden="false" customHeight="true" outlineLevel="0" collapsed="false">
      <c r="A4137" s="115" t="n">
        <v>5278080.01</v>
      </c>
      <c r="B4137" s="115" t="n">
        <v>5279360</v>
      </c>
      <c r="C4137" s="115" t="n">
        <v>118493.72000001</v>
      </c>
    </row>
    <row r="4138" customFormat="false" ht="15" hidden="false" customHeight="true" outlineLevel="0" collapsed="false">
      <c r="A4138" s="114" t="n">
        <v>5279360.01</v>
      </c>
      <c r="B4138" s="114" t="n">
        <v>5280640</v>
      </c>
      <c r="C4138" s="114" t="n">
        <v>118522.38000001</v>
      </c>
    </row>
    <row r="4139" customFormat="false" ht="15" hidden="false" customHeight="true" outlineLevel="0" collapsed="false">
      <c r="A4139" s="115" t="n">
        <v>5280640.01</v>
      </c>
      <c r="B4139" s="115" t="n">
        <v>5281920</v>
      </c>
      <c r="C4139" s="115" t="n">
        <v>118551.04000001</v>
      </c>
    </row>
    <row r="4140" customFormat="false" ht="15" hidden="false" customHeight="true" outlineLevel="0" collapsed="false">
      <c r="A4140" s="114" t="n">
        <v>5281920.01</v>
      </c>
      <c r="B4140" s="114" t="n">
        <v>5283200</v>
      </c>
      <c r="C4140" s="114" t="n">
        <v>118579.70000001</v>
      </c>
    </row>
    <row r="4141" customFormat="false" ht="15" hidden="false" customHeight="true" outlineLevel="0" collapsed="false">
      <c r="A4141" s="115" t="n">
        <v>5283200.01</v>
      </c>
      <c r="B4141" s="115" t="n">
        <v>5284480</v>
      </c>
      <c r="C4141" s="115" t="n">
        <v>118608.36000001</v>
      </c>
    </row>
    <row r="4142" customFormat="false" ht="15" hidden="false" customHeight="true" outlineLevel="0" collapsed="false">
      <c r="A4142" s="114" t="n">
        <v>5284480.01</v>
      </c>
      <c r="B4142" s="114" t="n">
        <v>5285760</v>
      </c>
      <c r="C4142" s="114" t="n">
        <v>118637.02000001</v>
      </c>
    </row>
    <row r="4143" customFormat="false" ht="15" hidden="false" customHeight="true" outlineLevel="0" collapsed="false">
      <c r="A4143" s="115" t="n">
        <v>5285760.01</v>
      </c>
      <c r="B4143" s="115" t="n">
        <v>5287040</v>
      </c>
      <c r="C4143" s="115" t="n">
        <v>118665.68000001</v>
      </c>
    </row>
    <row r="4144" customFormat="false" ht="15" hidden="false" customHeight="true" outlineLevel="0" collapsed="false">
      <c r="A4144" s="114" t="n">
        <v>5287040.01</v>
      </c>
      <c r="B4144" s="114" t="n">
        <v>5288320</v>
      </c>
      <c r="C4144" s="114" t="n">
        <v>118694.34000001</v>
      </c>
    </row>
    <row r="4145" customFormat="false" ht="15" hidden="false" customHeight="true" outlineLevel="0" collapsed="false">
      <c r="A4145" s="115" t="n">
        <v>5288320.01</v>
      </c>
      <c r="B4145" s="115" t="n">
        <v>5289600</v>
      </c>
      <c r="C4145" s="115" t="n">
        <v>118723.00000001</v>
      </c>
    </row>
    <row r="4146" customFormat="false" ht="15" hidden="false" customHeight="true" outlineLevel="0" collapsed="false">
      <c r="A4146" s="114" t="n">
        <v>5289600.01</v>
      </c>
      <c r="B4146" s="114" t="n">
        <v>5290880</v>
      </c>
      <c r="C4146" s="114" t="n">
        <v>118751.66000001</v>
      </c>
    </row>
    <row r="4147" customFormat="false" ht="15" hidden="false" customHeight="true" outlineLevel="0" collapsed="false">
      <c r="A4147" s="115" t="n">
        <v>5290880.01</v>
      </c>
      <c r="B4147" s="115" t="n">
        <v>5292160</v>
      </c>
      <c r="C4147" s="115" t="n">
        <v>118780.32000001</v>
      </c>
    </row>
    <row r="4148" customFormat="false" ht="15" hidden="false" customHeight="true" outlineLevel="0" collapsed="false">
      <c r="A4148" s="114" t="n">
        <v>5292160.01</v>
      </c>
      <c r="B4148" s="114" t="n">
        <v>5293440</v>
      </c>
      <c r="C4148" s="114" t="n">
        <v>118808.98000001</v>
      </c>
    </row>
    <row r="4149" customFormat="false" ht="15" hidden="false" customHeight="true" outlineLevel="0" collapsed="false">
      <c r="A4149" s="115" t="n">
        <v>5293440.01</v>
      </c>
      <c r="B4149" s="115" t="n">
        <v>5294720</v>
      </c>
      <c r="C4149" s="115" t="n">
        <v>118837.64000001</v>
      </c>
    </row>
    <row r="4150" customFormat="false" ht="15" hidden="false" customHeight="true" outlineLevel="0" collapsed="false">
      <c r="A4150" s="114" t="n">
        <v>5294720.01</v>
      </c>
      <c r="B4150" s="114" t="n">
        <v>5296000</v>
      </c>
      <c r="C4150" s="114" t="n">
        <v>118866.30000001</v>
      </c>
    </row>
    <row r="4151" customFormat="false" ht="15" hidden="false" customHeight="true" outlineLevel="0" collapsed="false">
      <c r="A4151" s="115" t="n">
        <v>5296000.01</v>
      </c>
      <c r="B4151" s="115" t="n">
        <v>5297280</v>
      </c>
      <c r="C4151" s="115" t="n">
        <v>118894.96000001</v>
      </c>
    </row>
    <row r="4152" customFormat="false" ht="15" hidden="false" customHeight="true" outlineLevel="0" collapsed="false">
      <c r="A4152" s="114" t="n">
        <v>5297280.01</v>
      </c>
      <c r="B4152" s="114" t="n">
        <v>5298560</v>
      </c>
      <c r="C4152" s="114" t="n">
        <v>118923.62000001</v>
      </c>
    </row>
    <row r="4153" customFormat="false" ht="15" hidden="false" customHeight="true" outlineLevel="0" collapsed="false">
      <c r="A4153" s="115" t="n">
        <v>5298560.01</v>
      </c>
      <c r="B4153" s="115" t="n">
        <v>5299840</v>
      </c>
      <c r="C4153" s="115" t="n">
        <v>118952.28000001</v>
      </c>
    </row>
    <row r="4154" customFormat="false" ht="15" hidden="false" customHeight="true" outlineLevel="0" collapsed="false">
      <c r="A4154" s="114" t="n">
        <v>5299840.01</v>
      </c>
      <c r="B4154" s="114" t="n">
        <v>5301120</v>
      </c>
      <c r="C4154" s="114" t="n">
        <v>118980.94000001</v>
      </c>
    </row>
    <row r="4155" customFormat="false" ht="15" hidden="false" customHeight="true" outlineLevel="0" collapsed="false">
      <c r="A4155" s="115" t="n">
        <v>5301120.01</v>
      </c>
      <c r="B4155" s="115" t="n">
        <v>5302400</v>
      </c>
      <c r="C4155" s="115" t="n">
        <v>119009.60000001</v>
      </c>
    </row>
    <row r="4156" customFormat="false" ht="15" hidden="false" customHeight="true" outlineLevel="0" collapsed="false">
      <c r="A4156" s="114" t="n">
        <v>5302400.01</v>
      </c>
      <c r="B4156" s="114" t="n">
        <v>5303680</v>
      </c>
      <c r="C4156" s="114" t="n">
        <v>119038.26000001</v>
      </c>
    </row>
    <row r="4157" customFormat="false" ht="15" hidden="false" customHeight="true" outlineLevel="0" collapsed="false">
      <c r="A4157" s="115" t="n">
        <v>5303680.01</v>
      </c>
      <c r="B4157" s="115" t="n">
        <v>5304960</v>
      </c>
      <c r="C4157" s="115" t="n">
        <v>119066.92000001</v>
      </c>
    </row>
    <row r="4158" customFormat="false" ht="15" hidden="false" customHeight="true" outlineLevel="0" collapsed="false">
      <c r="A4158" s="114" t="n">
        <v>5304960.01</v>
      </c>
      <c r="B4158" s="114" t="n">
        <v>5306240</v>
      </c>
      <c r="C4158" s="114" t="n">
        <v>119095.58000001</v>
      </c>
    </row>
    <row r="4159" customFormat="false" ht="15" hidden="false" customHeight="true" outlineLevel="0" collapsed="false">
      <c r="A4159" s="115" t="n">
        <v>5306240.01</v>
      </c>
      <c r="B4159" s="115" t="n">
        <v>5307520</v>
      </c>
      <c r="C4159" s="115" t="n">
        <v>119124.24000001</v>
      </c>
    </row>
    <row r="4160" customFormat="false" ht="15" hidden="false" customHeight="true" outlineLevel="0" collapsed="false">
      <c r="A4160" s="114" t="n">
        <v>5307520.01</v>
      </c>
      <c r="B4160" s="114" t="n">
        <v>5308800</v>
      </c>
      <c r="C4160" s="114" t="n">
        <v>119152.90000001</v>
      </c>
    </row>
    <row r="4161" customFormat="false" ht="15" hidden="false" customHeight="true" outlineLevel="0" collapsed="false">
      <c r="A4161" s="115" t="n">
        <v>5308800.01</v>
      </c>
      <c r="B4161" s="115" t="n">
        <v>5310080</v>
      </c>
      <c r="C4161" s="115" t="n">
        <v>119181.56000001</v>
      </c>
    </row>
    <row r="4162" customFormat="false" ht="15" hidden="false" customHeight="true" outlineLevel="0" collapsed="false">
      <c r="A4162" s="114" t="n">
        <v>5310080.01</v>
      </c>
      <c r="B4162" s="114" t="n">
        <v>5311360</v>
      </c>
      <c r="C4162" s="114" t="n">
        <v>119210.22000001</v>
      </c>
    </row>
    <row r="4163" customFormat="false" ht="15" hidden="false" customHeight="true" outlineLevel="0" collapsed="false">
      <c r="A4163" s="115" t="n">
        <v>5311360.01</v>
      </c>
      <c r="B4163" s="115" t="n">
        <v>5312640</v>
      </c>
      <c r="C4163" s="115" t="n">
        <v>119238.88000001</v>
      </c>
    </row>
    <row r="4164" customFormat="false" ht="15" hidden="false" customHeight="true" outlineLevel="0" collapsed="false">
      <c r="A4164" s="114" t="n">
        <v>5312640.01</v>
      </c>
      <c r="B4164" s="114" t="n">
        <v>5313920</v>
      </c>
      <c r="C4164" s="114" t="n">
        <v>119267.54000001</v>
      </c>
    </row>
    <row r="4165" customFormat="false" ht="15" hidden="false" customHeight="true" outlineLevel="0" collapsed="false">
      <c r="A4165" s="115" t="n">
        <v>5313920.01</v>
      </c>
      <c r="B4165" s="115" t="n">
        <v>5315200</v>
      </c>
      <c r="C4165" s="115" t="n">
        <v>119296.20000001</v>
      </c>
    </row>
    <row r="4166" customFormat="false" ht="15" hidden="false" customHeight="true" outlineLevel="0" collapsed="false">
      <c r="A4166" s="114" t="n">
        <v>5315200.01</v>
      </c>
      <c r="B4166" s="114" t="n">
        <v>5316480</v>
      </c>
      <c r="C4166" s="114" t="n">
        <v>119324.86000001</v>
      </c>
    </row>
    <row r="4167" customFormat="false" ht="15" hidden="false" customHeight="true" outlineLevel="0" collapsed="false">
      <c r="A4167" s="115" t="n">
        <v>5316480.01</v>
      </c>
      <c r="B4167" s="115" t="n">
        <v>5317760</v>
      </c>
      <c r="C4167" s="115" t="n">
        <v>119353.52000001</v>
      </c>
    </row>
    <row r="4168" customFormat="false" ht="15" hidden="false" customHeight="true" outlineLevel="0" collapsed="false">
      <c r="A4168" s="114" t="n">
        <v>5317760.01</v>
      </c>
      <c r="B4168" s="114" t="n">
        <v>5319040</v>
      </c>
      <c r="C4168" s="114" t="n">
        <v>119382.18000001</v>
      </c>
    </row>
    <row r="4169" customFormat="false" ht="15" hidden="false" customHeight="true" outlineLevel="0" collapsed="false">
      <c r="A4169" s="115" t="n">
        <v>5319040.01</v>
      </c>
      <c r="B4169" s="115" t="n">
        <v>5320320</v>
      </c>
      <c r="C4169" s="115" t="n">
        <v>119410.84000001</v>
      </c>
    </row>
    <row r="4170" customFormat="false" ht="15" hidden="false" customHeight="true" outlineLevel="0" collapsed="false">
      <c r="A4170" s="114" t="n">
        <v>5320320.01</v>
      </c>
      <c r="B4170" s="114" t="n">
        <v>5321600</v>
      </c>
      <c r="C4170" s="114" t="n">
        <v>119439.50000001</v>
      </c>
    </row>
    <row r="4171" customFormat="false" ht="15" hidden="false" customHeight="true" outlineLevel="0" collapsed="false">
      <c r="A4171" s="115" t="n">
        <v>5321600.01</v>
      </c>
      <c r="B4171" s="115" t="n">
        <v>5322880</v>
      </c>
      <c r="C4171" s="115" t="n">
        <v>119468.16000001</v>
      </c>
    </row>
    <row r="4172" customFormat="false" ht="15" hidden="false" customHeight="true" outlineLevel="0" collapsed="false">
      <c r="A4172" s="114" t="n">
        <v>5322880.01</v>
      </c>
      <c r="B4172" s="114" t="n">
        <v>5324160</v>
      </c>
      <c r="C4172" s="114" t="n">
        <v>119496.82000001</v>
      </c>
    </row>
    <row r="4173" customFormat="false" ht="15" hidden="false" customHeight="true" outlineLevel="0" collapsed="false">
      <c r="A4173" s="115" t="n">
        <v>5324160.01</v>
      </c>
      <c r="B4173" s="115" t="n">
        <v>5325440</v>
      </c>
      <c r="C4173" s="115" t="n">
        <v>119525.48000001</v>
      </c>
    </row>
    <row r="4174" customFormat="false" ht="15" hidden="false" customHeight="true" outlineLevel="0" collapsed="false">
      <c r="A4174" s="114" t="n">
        <v>5325440.01</v>
      </c>
      <c r="B4174" s="114" t="n">
        <v>5326720</v>
      </c>
      <c r="C4174" s="114" t="n">
        <v>119554.14000001</v>
      </c>
    </row>
    <row r="4175" customFormat="false" ht="15" hidden="false" customHeight="true" outlineLevel="0" collapsed="false">
      <c r="A4175" s="115" t="n">
        <v>5326720.01</v>
      </c>
      <c r="B4175" s="115" t="n">
        <v>5328000</v>
      </c>
      <c r="C4175" s="115" t="n">
        <v>119582.80000001</v>
      </c>
    </row>
    <row r="4176" customFormat="false" ht="15" hidden="false" customHeight="true" outlineLevel="0" collapsed="false">
      <c r="A4176" s="114" t="n">
        <v>5328000.01</v>
      </c>
      <c r="B4176" s="114" t="n">
        <v>5329280</v>
      </c>
      <c r="C4176" s="114" t="n">
        <v>119611.46000001</v>
      </c>
    </row>
    <row r="4177" customFormat="false" ht="15" hidden="false" customHeight="true" outlineLevel="0" collapsed="false">
      <c r="A4177" s="115" t="n">
        <v>5329280.01</v>
      </c>
      <c r="B4177" s="115" t="n">
        <v>5330560</v>
      </c>
      <c r="C4177" s="115" t="n">
        <v>119640.12000001</v>
      </c>
    </row>
    <row r="4178" customFormat="false" ht="15" hidden="false" customHeight="true" outlineLevel="0" collapsed="false">
      <c r="A4178" s="114" t="n">
        <v>5330560.01</v>
      </c>
      <c r="B4178" s="114" t="n">
        <v>5331840</v>
      </c>
      <c r="C4178" s="114" t="n">
        <v>119668.78000001</v>
      </c>
    </row>
    <row r="4179" customFormat="false" ht="15" hidden="false" customHeight="true" outlineLevel="0" collapsed="false">
      <c r="A4179" s="115" t="n">
        <v>5331840.01</v>
      </c>
      <c r="B4179" s="115" t="n">
        <v>5333120</v>
      </c>
      <c r="C4179" s="115" t="n">
        <v>119697.44000001</v>
      </c>
    </row>
    <row r="4180" customFormat="false" ht="15" hidden="false" customHeight="true" outlineLevel="0" collapsed="false">
      <c r="A4180" s="114" t="n">
        <v>5333120.01</v>
      </c>
      <c r="B4180" s="114" t="n">
        <v>5334400</v>
      </c>
      <c r="C4180" s="114" t="n">
        <v>119726.10000001</v>
      </c>
    </row>
    <row r="4181" customFormat="false" ht="15" hidden="false" customHeight="true" outlineLevel="0" collapsed="false">
      <c r="A4181" s="115" t="n">
        <v>5334400.01</v>
      </c>
      <c r="B4181" s="115" t="n">
        <v>5335680</v>
      </c>
      <c r="C4181" s="115" t="n">
        <v>119754.76000001</v>
      </c>
    </row>
    <row r="4182" customFormat="false" ht="15" hidden="false" customHeight="true" outlineLevel="0" collapsed="false">
      <c r="A4182" s="114" t="n">
        <v>5335680.01</v>
      </c>
      <c r="B4182" s="114" t="n">
        <v>5336960</v>
      </c>
      <c r="C4182" s="114" t="n">
        <v>119783.42000001</v>
      </c>
    </row>
    <row r="4183" customFormat="false" ht="15" hidden="false" customHeight="true" outlineLevel="0" collapsed="false">
      <c r="A4183" s="115" t="n">
        <v>5336960.01</v>
      </c>
      <c r="B4183" s="115" t="n">
        <v>5338240</v>
      </c>
      <c r="C4183" s="115" t="n">
        <v>119812.080000011</v>
      </c>
    </row>
    <row r="4184" customFormat="false" ht="15" hidden="false" customHeight="true" outlineLevel="0" collapsed="false">
      <c r="A4184" s="114" t="n">
        <v>5338240.01</v>
      </c>
      <c r="B4184" s="114" t="n">
        <v>5339520</v>
      </c>
      <c r="C4184" s="114" t="n">
        <v>119840.740000011</v>
      </c>
    </row>
    <row r="4185" customFormat="false" ht="15" hidden="false" customHeight="true" outlineLevel="0" collapsed="false">
      <c r="A4185" s="115" t="n">
        <v>5339520.01</v>
      </c>
      <c r="B4185" s="115" t="n">
        <v>5340800</v>
      </c>
      <c r="C4185" s="115" t="n">
        <v>119869.400000011</v>
      </c>
    </row>
    <row r="4186" customFormat="false" ht="15" hidden="false" customHeight="true" outlineLevel="0" collapsed="false">
      <c r="A4186" s="114" t="n">
        <v>5340800.01</v>
      </c>
      <c r="B4186" s="114" t="n">
        <v>5342080</v>
      </c>
      <c r="C4186" s="114" t="n">
        <v>119898.060000011</v>
      </c>
    </row>
    <row r="4187" customFormat="false" ht="15" hidden="false" customHeight="true" outlineLevel="0" collapsed="false">
      <c r="A4187" s="115" t="n">
        <v>5342080.01</v>
      </c>
      <c r="B4187" s="115" t="n">
        <v>5343360</v>
      </c>
      <c r="C4187" s="115" t="n">
        <v>119926.720000011</v>
      </c>
    </row>
    <row r="4188" customFormat="false" ht="15" hidden="false" customHeight="true" outlineLevel="0" collapsed="false">
      <c r="A4188" s="114" t="n">
        <v>5343360.01</v>
      </c>
      <c r="B4188" s="114" t="n">
        <v>5344640</v>
      </c>
      <c r="C4188" s="114" t="n">
        <v>119955.380000011</v>
      </c>
    </row>
    <row r="4189" customFormat="false" ht="15" hidden="false" customHeight="true" outlineLevel="0" collapsed="false">
      <c r="A4189" s="115" t="n">
        <v>5344640.01</v>
      </c>
      <c r="B4189" s="115" t="n">
        <v>5345920</v>
      </c>
      <c r="C4189" s="115" t="n">
        <v>119984.040000011</v>
      </c>
    </row>
    <row r="4190" customFormat="false" ht="15" hidden="false" customHeight="true" outlineLevel="0" collapsed="false">
      <c r="A4190" s="114" t="n">
        <v>5345920.01</v>
      </c>
      <c r="B4190" s="114" t="n">
        <v>5347200</v>
      </c>
      <c r="C4190" s="114" t="n">
        <v>120012.700000011</v>
      </c>
    </row>
    <row r="4191" customFormat="false" ht="15" hidden="false" customHeight="true" outlineLevel="0" collapsed="false">
      <c r="A4191" s="115" t="n">
        <v>5347200.01</v>
      </c>
      <c r="B4191" s="115" t="n">
        <v>5348480</v>
      </c>
      <c r="C4191" s="115" t="n">
        <v>120041.360000011</v>
      </c>
    </row>
    <row r="4192" customFormat="false" ht="15" hidden="false" customHeight="true" outlineLevel="0" collapsed="false">
      <c r="A4192" s="114" t="n">
        <v>5348480.01</v>
      </c>
      <c r="B4192" s="114" t="n">
        <v>5349760</v>
      </c>
      <c r="C4192" s="114" t="n">
        <v>120070.020000011</v>
      </c>
    </row>
    <row r="4193" customFormat="false" ht="15" hidden="false" customHeight="true" outlineLevel="0" collapsed="false">
      <c r="A4193" s="115" t="n">
        <v>5349760.01</v>
      </c>
      <c r="B4193" s="115" t="n">
        <v>5351040</v>
      </c>
      <c r="C4193" s="115" t="n">
        <v>120098.680000011</v>
      </c>
    </row>
    <row r="4194" customFormat="false" ht="15" hidden="false" customHeight="true" outlineLevel="0" collapsed="false">
      <c r="A4194" s="114" t="n">
        <v>5351040.01</v>
      </c>
      <c r="B4194" s="114" t="n">
        <v>5352320</v>
      </c>
      <c r="C4194" s="114" t="n">
        <v>120127.340000011</v>
      </c>
    </row>
    <row r="4195" customFormat="false" ht="15" hidden="false" customHeight="true" outlineLevel="0" collapsed="false">
      <c r="A4195" s="115" t="n">
        <v>5352320.01</v>
      </c>
      <c r="B4195" s="115" t="n">
        <v>5353600</v>
      </c>
      <c r="C4195" s="115" t="n">
        <v>120156.000000011</v>
      </c>
    </row>
    <row r="4196" customFormat="false" ht="15" hidden="false" customHeight="true" outlineLevel="0" collapsed="false">
      <c r="A4196" s="114" t="n">
        <v>5353600.01</v>
      </c>
      <c r="B4196" s="114" t="n">
        <v>5354880</v>
      </c>
      <c r="C4196" s="114" t="n">
        <v>120184.660000011</v>
      </c>
    </row>
    <row r="4197" customFormat="false" ht="15" hidden="false" customHeight="true" outlineLevel="0" collapsed="false">
      <c r="A4197" s="115" t="n">
        <v>5354880.01</v>
      </c>
      <c r="B4197" s="115" t="n">
        <v>5356160</v>
      </c>
      <c r="C4197" s="115" t="n">
        <v>120213.320000011</v>
      </c>
    </row>
    <row r="4198" customFormat="false" ht="15" hidden="false" customHeight="true" outlineLevel="0" collapsed="false">
      <c r="A4198" s="114" t="n">
        <v>5356160.01</v>
      </c>
      <c r="B4198" s="114" t="n">
        <v>5357440</v>
      </c>
      <c r="C4198" s="114" t="n">
        <v>120241.980000011</v>
      </c>
    </row>
    <row r="4199" customFormat="false" ht="15" hidden="false" customHeight="true" outlineLevel="0" collapsed="false">
      <c r="A4199" s="115" t="n">
        <v>5357440.01</v>
      </c>
      <c r="B4199" s="115" t="n">
        <v>5358720</v>
      </c>
      <c r="C4199" s="115" t="n">
        <v>120270.640000011</v>
      </c>
    </row>
    <row r="4200" customFormat="false" ht="15" hidden="false" customHeight="true" outlineLevel="0" collapsed="false">
      <c r="A4200" s="114" t="n">
        <v>5358720.01</v>
      </c>
      <c r="B4200" s="114" t="n">
        <v>5360000</v>
      </c>
      <c r="C4200" s="114" t="n">
        <v>120299.300000011</v>
      </c>
    </row>
    <row r="4201" customFormat="false" ht="15" hidden="false" customHeight="true" outlineLevel="0" collapsed="false">
      <c r="A4201" s="115" t="n">
        <v>5360000.01</v>
      </c>
      <c r="B4201" s="115" t="n">
        <v>5361280</v>
      </c>
      <c r="C4201" s="115" t="n">
        <v>120327.960000011</v>
      </c>
    </row>
    <row r="4202" customFormat="false" ht="15" hidden="false" customHeight="true" outlineLevel="0" collapsed="false">
      <c r="A4202" s="114" t="n">
        <v>5361280.01</v>
      </c>
      <c r="B4202" s="114" t="n">
        <v>5362560</v>
      </c>
      <c r="C4202" s="114" t="n">
        <v>120356.620000011</v>
      </c>
    </row>
    <row r="4203" customFormat="false" ht="15" hidden="false" customHeight="true" outlineLevel="0" collapsed="false">
      <c r="A4203" s="115" t="n">
        <v>5362560.01</v>
      </c>
      <c r="B4203" s="115" t="n">
        <v>5363840</v>
      </c>
      <c r="C4203" s="115" t="n">
        <v>120385.280000011</v>
      </c>
    </row>
    <row r="4204" customFormat="false" ht="15" hidden="false" customHeight="true" outlineLevel="0" collapsed="false">
      <c r="A4204" s="114" t="n">
        <v>5363840.01</v>
      </c>
      <c r="B4204" s="114" t="n">
        <v>5365120</v>
      </c>
      <c r="C4204" s="114" t="n">
        <v>120413.940000011</v>
      </c>
    </row>
    <row r="4205" customFormat="false" ht="15" hidden="false" customHeight="true" outlineLevel="0" collapsed="false">
      <c r="A4205" s="115" t="n">
        <v>5365120.01</v>
      </c>
      <c r="B4205" s="115" t="n">
        <v>5366400</v>
      </c>
      <c r="C4205" s="115" t="n">
        <v>120442.600000011</v>
      </c>
    </row>
    <row r="4206" customFormat="false" ht="15" hidden="false" customHeight="true" outlineLevel="0" collapsed="false">
      <c r="A4206" s="114" t="n">
        <v>5366400.01</v>
      </c>
      <c r="B4206" s="114" t="n">
        <v>5367680</v>
      </c>
      <c r="C4206" s="114" t="n">
        <v>120471.260000011</v>
      </c>
    </row>
    <row r="4207" customFormat="false" ht="15" hidden="false" customHeight="true" outlineLevel="0" collapsed="false">
      <c r="A4207" s="115" t="n">
        <v>5367680.01</v>
      </c>
      <c r="B4207" s="115" t="n">
        <v>5368960</v>
      </c>
      <c r="C4207" s="115" t="n">
        <v>120499.920000011</v>
      </c>
    </row>
    <row r="4208" customFormat="false" ht="15" hidden="false" customHeight="true" outlineLevel="0" collapsed="false">
      <c r="A4208" s="114" t="n">
        <v>5368960.01</v>
      </c>
      <c r="B4208" s="114" t="n">
        <v>5370240</v>
      </c>
      <c r="C4208" s="114" t="n">
        <v>120528.580000011</v>
      </c>
    </row>
    <row r="4209" customFormat="false" ht="15" hidden="false" customHeight="true" outlineLevel="0" collapsed="false">
      <c r="A4209" s="115" t="n">
        <v>5370240.01</v>
      </c>
      <c r="B4209" s="115" t="n">
        <v>5371520</v>
      </c>
      <c r="C4209" s="115" t="n">
        <v>120557.240000011</v>
      </c>
    </row>
    <row r="4210" customFormat="false" ht="15" hidden="false" customHeight="true" outlineLevel="0" collapsed="false">
      <c r="A4210" s="114" t="n">
        <v>5371520.01</v>
      </c>
      <c r="B4210" s="114" t="n">
        <v>5372800</v>
      </c>
      <c r="C4210" s="114" t="n">
        <v>120585.900000011</v>
      </c>
    </row>
    <row r="4211" customFormat="false" ht="15" hidden="false" customHeight="true" outlineLevel="0" collapsed="false">
      <c r="A4211" s="115" t="n">
        <v>5372800.01</v>
      </c>
      <c r="B4211" s="115" t="n">
        <v>5374080</v>
      </c>
      <c r="C4211" s="115" t="n">
        <v>120614.560000011</v>
      </c>
    </row>
    <row r="4212" customFormat="false" ht="15" hidden="false" customHeight="true" outlineLevel="0" collapsed="false">
      <c r="A4212" s="114" t="n">
        <v>5374080.01</v>
      </c>
      <c r="B4212" s="114" t="n">
        <v>5375360</v>
      </c>
      <c r="C4212" s="114" t="n">
        <v>120643.220000011</v>
      </c>
    </row>
    <row r="4213" customFormat="false" ht="15" hidden="false" customHeight="true" outlineLevel="0" collapsed="false">
      <c r="A4213" s="115" t="n">
        <v>5375360.01</v>
      </c>
      <c r="B4213" s="115" t="n">
        <v>5376640</v>
      </c>
      <c r="C4213" s="115" t="n">
        <v>120671.880000011</v>
      </c>
    </row>
    <row r="4214" customFormat="false" ht="15" hidden="false" customHeight="true" outlineLevel="0" collapsed="false">
      <c r="A4214" s="114" t="n">
        <v>5376640.01</v>
      </c>
      <c r="B4214" s="114" t="n">
        <v>5377920</v>
      </c>
      <c r="C4214" s="114" t="n">
        <v>120700.540000011</v>
      </c>
    </row>
    <row r="4215" customFormat="false" ht="15" hidden="false" customHeight="true" outlineLevel="0" collapsed="false">
      <c r="A4215" s="115" t="n">
        <v>5377920.01</v>
      </c>
      <c r="B4215" s="115" t="n">
        <v>5379200</v>
      </c>
      <c r="C4215" s="115" t="n">
        <v>120729.200000011</v>
      </c>
    </row>
    <row r="4216" customFormat="false" ht="15" hidden="false" customHeight="true" outlineLevel="0" collapsed="false">
      <c r="A4216" s="114" t="n">
        <v>5379200.01</v>
      </c>
      <c r="B4216" s="114" t="n">
        <v>5380480</v>
      </c>
      <c r="C4216" s="114" t="n">
        <v>120757.860000011</v>
      </c>
    </row>
    <row r="4217" customFormat="false" ht="15" hidden="false" customHeight="true" outlineLevel="0" collapsed="false">
      <c r="A4217" s="115" t="n">
        <v>5380480.01</v>
      </c>
      <c r="B4217" s="115" t="n">
        <v>5381760</v>
      </c>
      <c r="C4217" s="115" t="n">
        <v>120786.520000011</v>
      </c>
    </row>
    <row r="4218" customFormat="false" ht="15" hidden="false" customHeight="true" outlineLevel="0" collapsed="false">
      <c r="A4218" s="114" t="n">
        <v>5381760.01</v>
      </c>
      <c r="B4218" s="114" t="n">
        <v>5383040</v>
      </c>
      <c r="C4218" s="114" t="n">
        <v>120815.180000011</v>
      </c>
    </row>
    <row r="4219" customFormat="false" ht="15" hidden="false" customHeight="true" outlineLevel="0" collapsed="false">
      <c r="A4219" s="115" t="n">
        <v>5383040.01</v>
      </c>
      <c r="B4219" s="115" t="n">
        <v>5384320</v>
      </c>
      <c r="C4219" s="115" t="n">
        <v>120843.840000011</v>
      </c>
    </row>
    <row r="4220" customFormat="false" ht="15" hidden="false" customHeight="true" outlineLevel="0" collapsed="false">
      <c r="A4220" s="114" t="n">
        <v>5384320.01</v>
      </c>
      <c r="B4220" s="114" t="n">
        <v>5385600</v>
      </c>
      <c r="C4220" s="114" t="n">
        <v>120872.500000011</v>
      </c>
    </row>
    <row r="4221" customFormat="false" ht="15" hidden="false" customHeight="true" outlineLevel="0" collapsed="false">
      <c r="A4221" s="115" t="n">
        <v>5385600.01</v>
      </c>
      <c r="B4221" s="115" t="n">
        <v>5386880</v>
      </c>
      <c r="C4221" s="115" t="n">
        <v>120901.160000011</v>
      </c>
    </row>
    <row r="4222" customFormat="false" ht="15" hidden="false" customHeight="true" outlineLevel="0" collapsed="false">
      <c r="A4222" s="114" t="n">
        <v>5386880.01</v>
      </c>
      <c r="B4222" s="114" t="n">
        <v>5388160</v>
      </c>
      <c r="C4222" s="114" t="n">
        <v>120929.820000011</v>
      </c>
    </row>
    <row r="4223" customFormat="false" ht="15" hidden="false" customHeight="true" outlineLevel="0" collapsed="false">
      <c r="A4223" s="115" t="n">
        <v>5388160.01</v>
      </c>
      <c r="B4223" s="115" t="n">
        <v>5389440</v>
      </c>
      <c r="C4223" s="115" t="n">
        <v>120958.480000011</v>
      </c>
    </row>
    <row r="4224" customFormat="false" ht="15" hidden="false" customHeight="true" outlineLevel="0" collapsed="false">
      <c r="A4224" s="114" t="n">
        <v>5389440.01</v>
      </c>
      <c r="B4224" s="114" t="n">
        <v>5390720</v>
      </c>
      <c r="C4224" s="114" t="n">
        <v>120987.140000011</v>
      </c>
    </row>
    <row r="4225" customFormat="false" ht="15" hidden="false" customHeight="true" outlineLevel="0" collapsed="false">
      <c r="A4225" s="115" t="n">
        <v>5390720.01</v>
      </c>
      <c r="B4225" s="115" t="n">
        <v>5392000</v>
      </c>
      <c r="C4225" s="115" t="n">
        <v>121015.800000011</v>
      </c>
    </row>
    <row r="4226" customFormat="false" ht="15" hidden="false" customHeight="true" outlineLevel="0" collapsed="false">
      <c r="A4226" s="114" t="n">
        <v>5392000.01</v>
      </c>
      <c r="B4226" s="114" t="n">
        <v>5393280</v>
      </c>
      <c r="C4226" s="114" t="n">
        <v>121044.460000011</v>
      </c>
    </row>
    <row r="4227" customFormat="false" ht="15" hidden="false" customHeight="true" outlineLevel="0" collapsed="false">
      <c r="A4227" s="115" t="n">
        <v>5393280.01</v>
      </c>
      <c r="B4227" s="115" t="n">
        <v>5394560</v>
      </c>
      <c r="C4227" s="115" t="n">
        <v>121073.120000011</v>
      </c>
    </row>
    <row r="4228" customFormat="false" ht="15" hidden="false" customHeight="true" outlineLevel="0" collapsed="false">
      <c r="A4228" s="114" t="n">
        <v>5394560.01</v>
      </c>
      <c r="B4228" s="114" t="n">
        <v>5395840</v>
      </c>
      <c r="C4228" s="114" t="n">
        <v>121101.780000011</v>
      </c>
    </row>
    <row r="4229" customFormat="false" ht="15" hidden="false" customHeight="true" outlineLevel="0" collapsed="false">
      <c r="A4229" s="115" t="n">
        <v>5395840.01</v>
      </c>
      <c r="B4229" s="115" t="n">
        <v>5397120</v>
      </c>
      <c r="C4229" s="115" t="n">
        <v>121130.440000011</v>
      </c>
    </row>
    <row r="4230" customFormat="false" ht="15" hidden="false" customHeight="true" outlineLevel="0" collapsed="false">
      <c r="A4230" s="114" t="n">
        <v>5397120.01</v>
      </c>
      <c r="B4230" s="114" t="n">
        <v>5398400</v>
      </c>
      <c r="C4230" s="114" t="n">
        <v>121159.100000011</v>
      </c>
    </row>
    <row r="4231" customFormat="false" ht="15" hidden="false" customHeight="true" outlineLevel="0" collapsed="false">
      <c r="A4231" s="115" t="n">
        <v>5398400.01</v>
      </c>
      <c r="B4231" s="115" t="n">
        <v>5399680</v>
      </c>
      <c r="C4231" s="115" t="n">
        <v>121187.760000011</v>
      </c>
    </row>
    <row r="4232" customFormat="false" ht="15" hidden="false" customHeight="true" outlineLevel="0" collapsed="false">
      <c r="A4232" s="114" t="n">
        <v>5399680.01</v>
      </c>
      <c r="B4232" s="114" t="n">
        <v>5400960</v>
      </c>
      <c r="C4232" s="114" t="n">
        <v>121216.420000011</v>
      </c>
    </row>
    <row r="4233" customFormat="false" ht="15" hidden="false" customHeight="true" outlineLevel="0" collapsed="false">
      <c r="A4233" s="115" t="n">
        <v>5400960.01</v>
      </c>
      <c r="B4233" s="115" t="n">
        <v>5402240</v>
      </c>
      <c r="C4233" s="115" t="n">
        <v>121245.080000011</v>
      </c>
    </row>
    <row r="4234" customFormat="false" ht="15" hidden="false" customHeight="true" outlineLevel="0" collapsed="false">
      <c r="A4234" s="114" t="n">
        <v>5402240.01</v>
      </c>
      <c r="B4234" s="114" t="n">
        <v>5403520</v>
      </c>
      <c r="C4234" s="114" t="n">
        <v>121273.740000011</v>
      </c>
    </row>
    <row r="4235" customFormat="false" ht="15" hidden="false" customHeight="true" outlineLevel="0" collapsed="false">
      <c r="A4235" s="115" t="n">
        <v>5403520.01</v>
      </c>
      <c r="B4235" s="115" t="n">
        <v>5404800</v>
      </c>
      <c r="C4235" s="115" t="n">
        <v>121302.400000011</v>
      </c>
    </row>
    <row r="4236" customFormat="false" ht="15" hidden="false" customHeight="true" outlineLevel="0" collapsed="false">
      <c r="A4236" s="114" t="n">
        <v>5404800.01</v>
      </c>
      <c r="B4236" s="114" t="n">
        <v>5406080</v>
      </c>
      <c r="C4236" s="114" t="n">
        <v>121331.060000011</v>
      </c>
    </row>
    <row r="4237" customFormat="false" ht="15" hidden="false" customHeight="true" outlineLevel="0" collapsed="false">
      <c r="A4237" s="115" t="n">
        <v>5406080.01</v>
      </c>
      <c r="B4237" s="115" t="n">
        <v>5407360</v>
      </c>
      <c r="C4237" s="115" t="n">
        <v>121359.720000011</v>
      </c>
    </row>
    <row r="4238" customFormat="false" ht="15" hidden="false" customHeight="true" outlineLevel="0" collapsed="false">
      <c r="A4238" s="114" t="n">
        <v>5407360.01</v>
      </c>
      <c r="B4238" s="114" t="n">
        <v>5408640</v>
      </c>
      <c r="C4238" s="114" t="n">
        <v>121388.380000011</v>
      </c>
    </row>
    <row r="4239" customFormat="false" ht="15" hidden="false" customHeight="true" outlineLevel="0" collapsed="false">
      <c r="A4239" s="115" t="n">
        <v>5408640.01</v>
      </c>
      <c r="B4239" s="115" t="n">
        <v>5409920</v>
      </c>
      <c r="C4239" s="115" t="n">
        <v>121417.040000011</v>
      </c>
    </row>
    <row r="4240" customFormat="false" ht="15" hidden="false" customHeight="true" outlineLevel="0" collapsed="false">
      <c r="A4240" s="114" t="n">
        <v>5409920.01</v>
      </c>
      <c r="B4240" s="114" t="n">
        <v>5411200</v>
      </c>
      <c r="C4240" s="114" t="n">
        <v>121445.700000011</v>
      </c>
    </row>
    <row r="4241" customFormat="false" ht="15" hidden="false" customHeight="true" outlineLevel="0" collapsed="false">
      <c r="A4241" s="115" t="n">
        <v>5411200.01</v>
      </c>
      <c r="B4241" s="115" t="n">
        <v>5412480</v>
      </c>
      <c r="C4241" s="115" t="n">
        <v>121474.360000011</v>
      </c>
    </row>
    <row r="4242" customFormat="false" ht="15" hidden="false" customHeight="true" outlineLevel="0" collapsed="false">
      <c r="A4242" s="114" t="n">
        <v>5412480.01</v>
      </c>
      <c r="B4242" s="114" t="n">
        <v>5413760</v>
      </c>
      <c r="C4242" s="114" t="n">
        <v>121503.020000011</v>
      </c>
    </row>
    <row r="4243" customFormat="false" ht="15" hidden="false" customHeight="true" outlineLevel="0" collapsed="false">
      <c r="A4243" s="115" t="n">
        <v>5413760.01</v>
      </c>
      <c r="B4243" s="115" t="n">
        <v>5415040</v>
      </c>
      <c r="C4243" s="115" t="n">
        <v>121531.680000011</v>
      </c>
    </row>
    <row r="4244" customFormat="false" ht="15" hidden="false" customHeight="true" outlineLevel="0" collapsed="false">
      <c r="A4244" s="114" t="n">
        <v>5415040.01</v>
      </c>
      <c r="B4244" s="114" t="n">
        <v>5416320</v>
      </c>
      <c r="C4244" s="114" t="n">
        <v>121560.340000011</v>
      </c>
    </row>
    <row r="4245" customFormat="false" ht="15" hidden="false" customHeight="true" outlineLevel="0" collapsed="false">
      <c r="A4245" s="115" t="n">
        <v>5416320.01</v>
      </c>
      <c r="B4245" s="115" t="n">
        <v>5417600</v>
      </c>
      <c r="C4245" s="115" t="n">
        <v>121589.000000011</v>
      </c>
    </row>
    <row r="4246" customFormat="false" ht="15" hidden="false" customHeight="true" outlineLevel="0" collapsed="false">
      <c r="A4246" s="114" t="n">
        <v>5417600.01</v>
      </c>
      <c r="B4246" s="114" t="n">
        <v>5418880</v>
      </c>
      <c r="C4246" s="114" t="n">
        <v>121617.660000011</v>
      </c>
    </row>
    <row r="4247" customFormat="false" ht="15" hidden="false" customHeight="true" outlineLevel="0" collapsed="false">
      <c r="A4247" s="115" t="n">
        <v>5418880.01</v>
      </c>
      <c r="B4247" s="115" t="n">
        <v>5420160</v>
      </c>
      <c r="C4247" s="115" t="n">
        <v>121646.320000011</v>
      </c>
    </row>
    <row r="4248" customFormat="false" ht="15" hidden="false" customHeight="true" outlineLevel="0" collapsed="false">
      <c r="A4248" s="114" t="n">
        <v>5420160.01</v>
      </c>
      <c r="B4248" s="114" t="n">
        <v>5421440</v>
      </c>
      <c r="C4248" s="114" t="n">
        <v>121674.980000011</v>
      </c>
    </row>
    <row r="4249" customFormat="false" ht="15" hidden="false" customHeight="true" outlineLevel="0" collapsed="false">
      <c r="A4249" s="115" t="n">
        <v>5421440.01</v>
      </c>
      <c r="B4249" s="115" t="n">
        <v>5422720</v>
      </c>
      <c r="C4249" s="115" t="n">
        <v>121703.640000011</v>
      </c>
    </row>
    <row r="4250" customFormat="false" ht="15" hidden="false" customHeight="true" outlineLevel="0" collapsed="false">
      <c r="A4250" s="114" t="n">
        <v>5422720.01</v>
      </c>
      <c r="B4250" s="114" t="n">
        <v>5424000</v>
      </c>
      <c r="C4250" s="114" t="n">
        <v>121732.300000011</v>
      </c>
    </row>
    <row r="4251" customFormat="false" ht="15" hidden="false" customHeight="true" outlineLevel="0" collapsed="false">
      <c r="A4251" s="115" t="n">
        <v>5424000.01</v>
      </c>
      <c r="B4251" s="115" t="n">
        <v>5425280</v>
      </c>
      <c r="C4251" s="115" t="n">
        <v>121760.960000011</v>
      </c>
    </row>
    <row r="4252" customFormat="false" ht="15" hidden="false" customHeight="true" outlineLevel="0" collapsed="false">
      <c r="A4252" s="114" t="n">
        <v>5425280.01</v>
      </c>
      <c r="B4252" s="114" t="n">
        <v>5426560</v>
      </c>
      <c r="C4252" s="114" t="n">
        <v>121789.620000011</v>
      </c>
    </row>
    <row r="4253" customFormat="false" ht="15" hidden="false" customHeight="true" outlineLevel="0" collapsed="false">
      <c r="A4253" s="115" t="n">
        <v>5426560.01</v>
      </c>
      <c r="B4253" s="115" t="n">
        <v>5427840</v>
      </c>
      <c r="C4253" s="115" t="n">
        <v>121818.280000011</v>
      </c>
    </row>
    <row r="4254" customFormat="false" ht="15" hidden="false" customHeight="true" outlineLevel="0" collapsed="false">
      <c r="A4254" s="114" t="n">
        <v>5427840.01</v>
      </c>
      <c r="B4254" s="114" t="n">
        <v>5429120</v>
      </c>
      <c r="C4254" s="114" t="n">
        <v>121846.940000011</v>
      </c>
    </row>
    <row r="4255" customFormat="false" ht="15" hidden="false" customHeight="true" outlineLevel="0" collapsed="false">
      <c r="A4255" s="115" t="n">
        <v>5429120.01</v>
      </c>
      <c r="B4255" s="115" t="n">
        <v>5430400</v>
      </c>
      <c r="C4255" s="115" t="n">
        <v>121875.600000011</v>
      </c>
    </row>
    <row r="4256" customFormat="false" ht="15" hidden="false" customHeight="true" outlineLevel="0" collapsed="false">
      <c r="A4256" s="114" t="n">
        <v>5430400.01</v>
      </c>
      <c r="B4256" s="114" t="n">
        <v>5431680</v>
      </c>
      <c r="C4256" s="114" t="n">
        <v>121904.260000011</v>
      </c>
    </row>
    <row r="4257" customFormat="false" ht="15" hidden="false" customHeight="true" outlineLevel="0" collapsed="false">
      <c r="A4257" s="115" t="n">
        <v>5431680.01</v>
      </c>
      <c r="B4257" s="115" t="n">
        <v>5432960</v>
      </c>
      <c r="C4257" s="115" t="n">
        <v>121932.920000011</v>
      </c>
    </row>
    <row r="4258" customFormat="false" ht="15" hidden="false" customHeight="true" outlineLevel="0" collapsed="false">
      <c r="A4258" s="114" t="n">
        <v>5432960.01</v>
      </c>
      <c r="B4258" s="114" t="n">
        <v>5434240</v>
      </c>
      <c r="C4258" s="114" t="n">
        <v>121961.580000011</v>
      </c>
    </row>
    <row r="4259" customFormat="false" ht="15" hidden="false" customHeight="true" outlineLevel="0" collapsed="false">
      <c r="A4259" s="115" t="n">
        <v>5434240.01</v>
      </c>
      <c r="B4259" s="115" t="n">
        <v>5435520</v>
      </c>
      <c r="C4259" s="115" t="n">
        <v>121990.240000011</v>
      </c>
    </row>
    <row r="4260" customFormat="false" ht="15" hidden="false" customHeight="true" outlineLevel="0" collapsed="false">
      <c r="A4260" s="114" t="n">
        <v>5435520.01</v>
      </c>
      <c r="B4260" s="114" t="n">
        <v>5436800</v>
      </c>
      <c r="C4260" s="114" t="n">
        <v>122018.900000011</v>
      </c>
    </row>
    <row r="4261" customFormat="false" ht="15" hidden="false" customHeight="true" outlineLevel="0" collapsed="false">
      <c r="A4261" s="115" t="n">
        <v>5436800.01</v>
      </c>
      <c r="B4261" s="115" t="n">
        <v>5438080</v>
      </c>
      <c r="C4261" s="115" t="n">
        <v>122047.560000011</v>
      </c>
    </row>
    <row r="4262" customFormat="false" ht="15" hidden="false" customHeight="true" outlineLevel="0" collapsed="false">
      <c r="A4262" s="114" t="n">
        <v>5438080.01</v>
      </c>
      <c r="B4262" s="114" t="n">
        <v>5439360</v>
      </c>
      <c r="C4262" s="114" t="n">
        <v>122076.220000011</v>
      </c>
    </row>
    <row r="4263" customFormat="false" ht="15" hidden="false" customHeight="true" outlineLevel="0" collapsed="false">
      <c r="A4263" s="115" t="n">
        <v>5439360.01</v>
      </c>
      <c r="B4263" s="115" t="n">
        <v>5440640</v>
      </c>
      <c r="C4263" s="115" t="n">
        <v>122104.880000011</v>
      </c>
    </row>
    <row r="4264" customFormat="false" ht="15" hidden="false" customHeight="true" outlineLevel="0" collapsed="false">
      <c r="A4264" s="114" t="n">
        <v>5440640.01</v>
      </c>
      <c r="B4264" s="114" t="n">
        <v>5441920</v>
      </c>
      <c r="C4264" s="114" t="n">
        <v>122133.540000011</v>
      </c>
    </row>
    <row r="4265" customFormat="false" ht="15" hidden="false" customHeight="true" outlineLevel="0" collapsed="false">
      <c r="A4265" s="115" t="n">
        <v>5441920.01</v>
      </c>
      <c r="B4265" s="115" t="n">
        <v>5443200</v>
      </c>
      <c r="C4265" s="115" t="n">
        <v>122162.200000011</v>
      </c>
    </row>
    <row r="4266" customFormat="false" ht="15" hidden="false" customHeight="true" outlineLevel="0" collapsed="false">
      <c r="A4266" s="114" t="n">
        <v>5443200.01</v>
      </c>
      <c r="B4266" s="114" t="n">
        <v>5444480</v>
      </c>
      <c r="C4266" s="114" t="n">
        <v>122190.860000011</v>
      </c>
    </row>
    <row r="4267" customFormat="false" ht="15" hidden="false" customHeight="true" outlineLevel="0" collapsed="false">
      <c r="A4267" s="115" t="n">
        <v>5444480.01</v>
      </c>
      <c r="B4267" s="115" t="n">
        <v>5445760</v>
      </c>
      <c r="C4267" s="115" t="n">
        <v>122219.520000011</v>
      </c>
    </row>
    <row r="4268" customFormat="false" ht="15" hidden="false" customHeight="true" outlineLevel="0" collapsed="false">
      <c r="A4268" s="114" t="n">
        <v>5445760.01</v>
      </c>
      <c r="B4268" s="114" t="n">
        <v>5447040</v>
      </c>
      <c r="C4268" s="114" t="n">
        <v>122248.180000011</v>
      </c>
    </row>
    <row r="4269" customFormat="false" ht="15" hidden="false" customHeight="true" outlineLevel="0" collapsed="false">
      <c r="A4269" s="115" t="n">
        <v>5447040.01</v>
      </c>
      <c r="B4269" s="115" t="n">
        <v>5448320</v>
      </c>
      <c r="C4269" s="115" t="n">
        <v>122276.840000011</v>
      </c>
    </row>
    <row r="4270" customFormat="false" ht="15" hidden="false" customHeight="true" outlineLevel="0" collapsed="false">
      <c r="A4270" s="114" t="n">
        <v>5448320.01</v>
      </c>
      <c r="B4270" s="114" t="n">
        <v>5449600</v>
      </c>
      <c r="C4270" s="114" t="n">
        <v>122305.500000011</v>
      </c>
    </row>
    <row r="4271" customFormat="false" ht="15" hidden="false" customHeight="true" outlineLevel="0" collapsed="false">
      <c r="A4271" s="115" t="n">
        <v>5449600.01</v>
      </c>
      <c r="B4271" s="115" t="n">
        <v>5450880</v>
      </c>
      <c r="C4271" s="115" t="n">
        <v>122334.160000011</v>
      </c>
    </row>
    <row r="4272" customFormat="false" ht="15" hidden="false" customHeight="true" outlineLevel="0" collapsed="false">
      <c r="A4272" s="114" t="n">
        <v>5450880.01</v>
      </c>
      <c r="B4272" s="114" t="n">
        <v>5452160</v>
      </c>
      <c r="C4272" s="114" t="n">
        <v>122362.820000011</v>
      </c>
    </row>
    <row r="4273" customFormat="false" ht="15" hidden="false" customHeight="true" outlineLevel="0" collapsed="false">
      <c r="A4273" s="115" t="n">
        <v>5452160.01</v>
      </c>
      <c r="B4273" s="115" t="n">
        <v>5453440</v>
      </c>
      <c r="C4273" s="115" t="n">
        <v>122391.480000011</v>
      </c>
    </row>
    <row r="4274" customFormat="false" ht="15" hidden="false" customHeight="true" outlineLevel="0" collapsed="false">
      <c r="A4274" s="114" t="n">
        <v>5453440.01</v>
      </c>
      <c r="B4274" s="114" t="n">
        <v>5454720</v>
      </c>
      <c r="C4274" s="114" t="n">
        <v>122420.140000011</v>
      </c>
    </row>
    <row r="4275" customFormat="false" ht="15" hidden="false" customHeight="true" outlineLevel="0" collapsed="false">
      <c r="A4275" s="115" t="n">
        <v>5454720.01</v>
      </c>
      <c r="B4275" s="115" t="n">
        <v>5456000</v>
      </c>
      <c r="C4275" s="115" t="n">
        <v>122448.800000011</v>
      </c>
    </row>
    <row r="4276" customFormat="false" ht="15" hidden="false" customHeight="true" outlineLevel="0" collapsed="false">
      <c r="A4276" s="114" t="n">
        <v>5456000.01</v>
      </c>
      <c r="B4276" s="114" t="n">
        <v>5457280</v>
      </c>
      <c r="C4276" s="114" t="n">
        <v>122477.460000011</v>
      </c>
    </row>
    <row r="4277" customFormat="false" ht="15" hidden="false" customHeight="true" outlineLevel="0" collapsed="false">
      <c r="A4277" s="115" t="n">
        <v>5457280.01</v>
      </c>
      <c r="B4277" s="115" t="n">
        <v>5458560</v>
      </c>
      <c r="C4277" s="115" t="n">
        <v>122506.120000011</v>
      </c>
    </row>
    <row r="4278" customFormat="false" ht="15" hidden="false" customHeight="true" outlineLevel="0" collapsed="false">
      <c r="A4278" s="114" t="n">
        <v>5458560.01</v>
      </c>
      <c r="B4278" s="114" t="n">
        <v>5459840</v>
      </c>
      <c r="C4278" s="114" t="n">
        <v>122534.780000011</v>
      </c>
    </row>
    <row r="4279" customFormat="false" ht="15" hidden="false" customHeight="true" outlineLevel="0" collapsed="false">
      <c r="A4279" s="115" t="n">
        <v>5459840.01</v>
      </c>
      <c r="B4279" s="115" t="n">
        <v>5461120</v>
      </c>
      <c r="C4279" s="115" t="n">
        <v>122563.440000011</v>
      </c>
    </row>
    <row r="4280" customFormat="false" ht="15" hidden="false" customHeight="true" outlineLevel="0" collapsed="false">
      <c r="A4280" s="114" t="n">
        <v>5461120.01</v>
      </c>
      <c r="B4280" s="114" t="n">
        <v>5462400</v>
      </c>
      <c r="C4280" s="114" t="n">
        <v>122592.100000011</v>
      </c>
    </row>
    <row r="4281" customFormat="false" ht="15" hidden="false" customHeight="true" outlineLevel="0" collapsed="false">
      <c r="A4281" s="115" t="n">
        <v>5462400.01</v>
      </c>
      <c r="B4281" s="115" t="n">
        <v>5463680</v>
      </c>
      <c r="C4281" s="115" t="n">
        <v>122620.760000011</v>
      </c>
    </row>
    <row r="4282" customFormat="false" ht="15" hidden="false" customHeight="true" outlineLevel="0" collapsed="false">
      <c r="A4282" s="114" t="n">
        <v>5463680.01</v>
      </c>
      <c r="B4282" s="114" t="n">
        <v>5464960</v>
      </c>
      <c r="C4282" s="114" t="n">
        <v>122649.420000011</v>
      </c>
    </row>
    <row r="4283" customFormat="false" ht="15" hidden="false" customHeight="true" outlineLevel="0" collapsed="false">
      <c r="A4283" s="115" t="n">
        <v>5464960.01</v>
      </c>
      <c r="B4283" s="115" t="n">
        <v>5466240</v>
      </c>
      <c r="C4283" s="115" t="n">
        <v>122678.080000011</v>
      </c>
    </row>
    <row r="4284" customFormat="false" ht="15" hidden="false" customHeight="true" outlineLevel="0" collapsed="false">
      <c r="A4284" s="114" t="n">
        <v>5466240.01</v>
      </c>
      <c r="B4284" s="114" t="n">
        <v>5467520</v>
      </c>
      <c r="C4284" s="114" t="n">
        <v>122706.740000011</v>
      </c>
    </row>
    <row r="4285" customFormat="false" ht="15" hidden="false" customHeight="true" outlineLevel="0" collapsed="false">
      <c r="A4285" s="115" t="n">
        <v>5467520.01</v>
      </c>
      <c r="B4285" s="115" t="n">
        <v>5468800</v>
      </c>
      <c r="C4285" s="115" t="n">
        <v>122735.400000011</v>
      </c>
    </row>
    <row r="4286" customFormat="false" ht="15" hidden="false" customHeight="true" outlineLevel="0" collapsed="false">
      <c r="A4286" s="114" t="n">
        <v>5468800.01</v>
      </c>
      <c r="B4286" s="114" t="n">
        <v>5470080</v>
      </c>
      <c r="C4286" s="114" t="n">
        <v>122764.060000011</v>
      </c>
    </row>
    <row r="4287" customFormat="false" ht="15" hidden="false" customHeight="true" outlineLevel="0" collapsed="false">
      <c r="A4287" s="115" t="n">
        <v>5470080.01</v>
      </c>
      <c r="B4287" s="115" t="n">
        <v>5471360</v>
      </c>
      <c r="C4287" s="115" t="n">
        <v>122792.720000011</v>
      </c>
    </row>
    <row r="4288" customFormat="false" ht="15" hidden="false" customHeight="true" outlineLevel="0" collapsed="false">
      <c r="A4288" s="114" t="n">
        <v>5471360.01</v>
      </c>
      <c r="B4288" s="114" t="n">
        <v>5472640</v>
      </c>
      <c r="C4288" s="114" t="n">
        <v>122821.380000011</v>
      </c>
    </row>
    <row r="4289" customFormat="false" ht="15" hidden="false" customHeight="true" outlineLevel="0" collapsed="false">
      <c r="A4289" s="115" t="n">
        <v>5472640.01</v>
      </c>
      <c r="B4289" s="115" t="n">
        <v>5473920</v>
      </c>
      <c r="C4289" s="115" t="n">
        <v>122850.040000011</v>
      </c>
    </row>
    <row r="4290" customFormat="false" ht="15" hidden="false" customHeight="true" outlineLevel="0" collapsed="false">
      <c r="A4290" s="114" t="n">
        <v>5473920.01</v>
      </c>
      <c r="B4290" s="114" t="n">
        <v>5475200</v>
      </c>
      <c r="C4290" s="114" t="n">
        <v>122878.700000011</v>
      </c>
    </row>
    <row r="4291" customFormat="false" ht="15" hidden="false" customHeight="true" outlineLevel="0" collapsed="false">
      <c r="A4291" s="115" t="n">
        <v>5475200.01</v>
      </c>
      <c r="B4291" s="115" t="n">
        <v>5476480</v>
      </c>
      <c r="C4291" s="115" t="n">
        <v>122907.360000011</v>
      </c>
    </row>
    <row r="4292" customFormat="false" ht="15" hidden="false" customHeight="true" outlineLevel="0" collapsed="false">
      <c r="A4292" s="114" t="n">
        <v>5476480.01</v>
      </c>
      <c r="B4292" s="114" t="n">
        <v>5477760</v>
      </c>
      <c r="C4292" s="114" t="n">
        <v>122936.020000011</v>
      </c>
    </row>
    <row r="4293" customFormat="false" ht="15" hidden="false" customHeight="true" outlineLevel="0" collapsed="false">
      <c r="A4293" s="115" t="n">
        <v>5477760.01</v>
      </c>
      <c r="B4293" s="115" t="n">
        <v>5479040</v>
      </c>
      <c r="C4293" s="115" t="n">
        <v>122964.680000011</v>
      </c>
    </row>
    <row r="4294" customFormat="false" ht="15" hidden="false" customHeight="true" outlineLevel="0" collapsed="false">
      <c r="A4294" s="114" t="n">
        <v>5479040.01</v>
      </c>
      <c r="B4294" s="114" t="n">
        <v>5480320</v>
      </c>
      <c r="C4294" s="114" t="n">
        <v>122993.340000011</v>
      </c>
    </row>
    <row r="4295" customFormat="false" ht="15" hidden="false" customHeight="true" outlineLevel="0" collapsed="false">
      <c r="A4295" s="115" t="n">
        <v>5480320.01</v>
      </c>
      <c r="B4295" s="115" t="n">
        <v>5481600</v>
      </c>
      <c r="C4295" s="115" t="n">
        <v>123022.000000011</v>
      </c>
    </row>
    <row r="4296" customFormat="false" ht="15" hidden="false" customHeight="true" outlineLevel="0" collapsed="false">
      <c r="A4296" s="114" t="n">
        <v>5481600.01</v>
      </c>
      <c r="B4296" s="114" t="n">
        <v>5482880</v>
      </c>
      <c r="C4296" s="114" t="n">
        <v>123050.660000011</v>
      </c>
    </row>
    <row r="4297" customFormat="false" ht="15" hidden="false" customHeight="true" outlineLevel="0" collapsed="false">
      <c r="A4297" s="115" t="n">
        <v>5482880.01</v>
      </c>
      <c r="B4297" s="115" t="n">
        <v>5484160</v>
      </c>
      <c r="C4297" s="115" t="n">
        <v>123079.320000011</v>
      </c>
    </row>
    <row r="4298" customFormat="false" ht="15" hidden="false" customHeight="true" outlineLevel="0" collapsed="false">
      <c r="A4298" s="114" t="n">
        <v>5484160.01</v>
      </c>
      <c r="B4298" s="114" t="n">
        <v>5485440</v>
      </c>
      <c r="C4298" s="114" t="n">
        <v>123107.980000011</v>
      </c>
    </row>
    <row r="4299" customFormat="false" ht="15" hidden="false" customHeight="true" outlineLevel="0" collapsed="false">
      <c r="A4299" s="115" t="n">
        <v>5485440.01</v>
      </c>
      <c r="B4299" s="115" t="n">
        <v>5486720</v>
      </c>
      <c r="C4299" s="115" t="n">
        <v>123136.640000011</v>
      </c>
    </row>
    <row r="4300" customFormat="false" ht="15" hidden="false" customHeight="true" outlineLevel="0" collapsed="false">
      <c r="A4300" s="114" t="n">
        <v>5486720.01</v>
      </c>
      <c r="B4300" s="114" t="n">
        <v>5488000</v>
      </c>
      <c r="C4300" s="114" t="n">
        <v>123165.300000011</v>
      </c>
    </row>
    <row r="4301" customFormat="false" ht="15" hidden="false" customHeight="true" outlineLevel="0" collapsed="false">
      <c r="A4301" s="115" t="n">
        <v>5488000.01</v>
      </c>
      <c r="B4301" s="115" t="n">
        <v>5489280</v>
      </c>
      <c r="C4301" s="115" t="n">
        <v>123193.960000011</v>
      </c>
    </row>
    <row r="4302" customFormat="false" ht="15" hidden="false" customHeight="true" outlineLevel="0" collapsed="false">
      <c r="A4302" s="114" t="n">
        <v>5489280.01</v>
      </c>
      <c r="B4302" s="114" t="n">
        <v>5490560</v>
      </c>
      <c r="C4302" s="114" t="n">
        <v>123222.620000011</v>
      </c>
    </row>
    <row r="4303" customFormat="false" ht="15" hidden="false" customHeight="true" outlineLevel="0" collapsed="false">
      <c r="A4303" s="115" t="n">
        <v>5490560.01</v>
      </c>
      <c r="B4303" s="115" t="n">
        <v>5491840</v>
      </c>
      <c r="C4303" s="115" t="n">
        <v>123251.280000011</v>
      </c>
    </row>
    <row r="4304" customFormat="false" ht="15" hidden="false" customHeight="true" outlineLevel="0" collapsed="false">
      <c r="A4304" s="114" t="n">
        <v>5491840.01</v>
      </c>
      <c r="B4304" s="114" t="n">
        <v>5493120</v>
      </c>
      <c r="C4304" s="114" t="n">
        <v>123279.940000011</v>
      </c>
    </row>
    <row r="4305" customFormat="false" ht="15" hidden="false" customHeight="true" outlineLevel="0" collapsed="false">
      <c r="A4305" s="115" t="n">
        <v>5493120.01</v>
      </c>
      <c r="B4305" s="115" t="n">
        <v>5494400</v>
      </c>
      <c r="C4305" s="115" t="n">
        <v>123308.600000011</v>
      </c>
    </row>
    <row r="4306" customFormat="false" ht="15" hidden="false" customHeight="true" outlineLevel="0" collapsed="false">
      <c r="A4306" s="114" t="n">
        <v>5494400.01</v>
      </c>
      <c r="B4306" s="114" t="n">
        <v>5495680</v>
      </c>
      <c r="C4306" s="114" t="n">
        <v>123337.260000011</v>
      </c>
    </row>
    <row r="4307" customFormat="false" ht="15" hidden="false" customHeight="true" outlineLevel="0" collapsed="false">
      <c r="A4307" s="115" t="n">
        <v>5495680.01</v>
      </c>
      <c r="B4307" s="115" t="n">
        <v>5496960</v>
      </c>
      <c r="C4307" s="115" t="n">
        <v>123365.920000011</v>
      </c>
    </row>
    <row r="4308" customFormat="false" ht="15" hidden="false" customHeight="true" outlineLevel="0" collapsed="false">
      <c r="A4308" s="114" t="n">
        <v>5496960.01</v>
      </c>
      <c r="B4308" s="114" t="n">
        <v>5498240</v>
      </c>
      <c r="C4308" s="114" t="n">
        <v>123394.580000011</v>
      </c>
    </row>
    <row r="4309" customFormat="false" ht="15" hidden="false" customHeight="true" outlineLevel="0" collapsed="false">
      <c r="A4309" s="115" t="n">
        <v>5498240.01</v>
      </c>
      <c r="B4309" s="115" t="n">
        <v>5499520</v>
      </c>
      <c r="C4309" s="115" t="n">
        <v>123423.240000011</v>
      </c>
    </row>
    <row r="4310" customFormat="false" ht="15" hidden="false" customHeight="true" outlineLevel="0" collapsed="false">
      <c r="A4310" s="114" t="n">
        <v>5499520.01</v>
      </c>
      <c r="B4310" s="114" t="n">
        <v>5500800</v>
      </c>
      <c r="C4310" s="114" t="n">
        <v>123451.900000011</v>
      </c>
    </row>
    <row r="4311" customFormat="false" ht="15" hidden="false" customHeight="true" outlineLevel="0" collapsed="false">
      <c r="A4311" s="115" t="n">
        <v>5500800.01</v>
      </c>
      <c r="B4311" s="115" t="n">
        <v>5502080</v>
      </c>
      <c r="C4311" s="115" t="n">
        <v>123480.560000011</v>
      </c>
    </row>
    <row r="4312" customFormat="false" ht="15" hidden="false" customHeight="true" outlineLevel="0" collapsed="false">
      <c r="A4312" s="114" t="n">
        <v>5502080.01</v>
      </c>
      <c r="B4312" s="114" t="n">
        <v>5503360</v>
      </c>
      <c r="C4312" s="114" t="n">
        <v>123509.220000011</v>
      </c>
    </row>
    <row r="4313" customFormat="false" ht="15" hidden="false" customHeight="true" outlineLevel="0" collapsed="false">
      <c r="A4313" s="115" t="n">
        <v>5503360.01</v>
      </c>
      <c r="B4313" s="115" t="n">
        <v>5504640</v>
      </c>
      <c r="C4313" s="115" t="n">
        <v>123537.880000011</v>
      </c>
    </row>
    <row r="4314" customFormat="false" ht="15" hidden="false" customHeight="true" outlineLevel="0" collapsed="false">
      <c r="A4314" s="114" t="n">
        <v>5504640.01</v>
      </c>
      <c r="B4314" s="114" t="n">
        <v>5505920</v>
      </c>
      <c r="C4314" s="114" t="n">
        <v>123566.540000011</v>
      </c>
    </row>
    <row r="4315" customFormat="false" ht="15" hidden="false" customHeight="true" outlineLevel="0" collapsed="false">
      <c r="A4315" s="115" t="n">
        <v>5505920.01</v>
      </c>
      <c r="B4315" s="115" t="n">
        <v>5507200</v>
      </c>
      <c r="C4315" s="115" t="n">
        <v>123595.200000011</v>
      </c>
    </row>
    <row r="4316" customFormat="false" ht="15" hidden="false" customHeight="true" outlineLevel="0" collapsed="false">
      <c r="A4316" s="114" t="n">
        <v>5507200.01</v>
      </c>
      <c r="B4316" s="114" t="n">
        <v>5508480</v>
      </c>
      <c r="C4316" s="114" t="n">
        <v>123623.860000011</v>
      </c>
    </row>
    <row r="4317" customFormat="false" ht="15" hidden="false" customHeight="true" outlineLevel="0" collapsed="false">
      <c r="A4317" s="115" t="n">
        <v>5508480.01</v>
      </c>
      <c r="B4317" s="115" t="n">
        <v>5509760</v>
      </c>
      <c r="C4317" s="115" t="n">
        <v>123652.520000011</v>
      </c>
    </row>
    <row r="4318" customFormat="false" ht="15" hidden="false" customHeight="true" outlineLevel="0" collapsed="false">
      <c r="A4318" s="114" t="n">
        <v>5509760.01</v>
      </c>
      <c r="B4318" s="114" t="n">
        <v>5511040</v>
      </c>
      <c r="C4318" s="114" t="n">
        <v>123681.180000011</v>
      </c>
    </row>
    <row r="4319" customFormat="false" ht="15" hidden="false" customHeight="true" outlineLevel="0" collapsed="false">
      <c r="A4319" s="115" t="n">
        <v>5511040.01</v>
      </c>
      <c r="B4319" s="115" t="n">
        <v>5512320</v>
      </c>
      <c r="C4319" s="115" t="n">
        <v>123709.840000011</v>
      </c>
    </row>
    <row r="4320" customFormat="false" ht="15" hidden="false" customHeight="true" outlineLevel="0" collapsed="false">
      <c r="A4320" s="114" t="n">
        <v>5512320.01</v>
      </c>
      <c r="B4320" s="114" t="n">
        <v>5513600</v>
      </c>
      <c r="C4320" s="114" t="n">
        <v>123738.500000011</v>
      </c>
    </row>
    <row r="4321" customFormat="false" ht="15" hidden="false" customHeight="true" outlineLevel="0" collapsed="false">
      <c r="A4321" s="115" t="n">
        <v>5513600.01</v>
      </c>
      <c r="B4321" s="115" t="n">
        <v>5514880</v>
      </c>
      <c r="C4321" s="115" t="n">
        <v>123767.160000011</v>
      </c>
    </row>
    <row r="4322" customFormat="false" ht="15" hidden="false" customHeight="true" outlineLevel="0" collapsed="false">
      <c r="A4322" s="114" t="n">
        <v>5514880.01</v>
      </c>
      <c r="B4322" s="114" t="n">
        <v>5516160</v>
      </c>
      <c r="C4322" s="114" t="n">
        <v>123795.820000011</v>
      </c>
    </row>
    <row r="4323" customFormat="false" ht="15" hidden="false" customHeight="true" outlineLevel="0" collapsed="false">
      <c r="A4323" s="115" t="n">
        <v>5516160.01</v>
      </c>
      <c r="B4323" s="115" t="n">
        <v>5517440</v>
      </c>
      <c r="C4323" s="115" t="n">
        <v>123824.480000011</v>
      </c>
    </row>
    <row r="4324" customFormat="false" ht="15" hidden="false" customHeight="true" outlineLevel="0" collapsed="false">
      <c r="A4324" s="114" t="n">
        <v>5517440.01</v>
      </c>
      <c r="B4324" s="114" t="n">
        <v>5518720</v>
      </c>
      <c r="C4324" s="114" t="n">
        <v>123853.140000011</v>
      </c>
    </row>
    <row r="4325" customFormat="false" ht="15" hidden="false" customHeight="true" outlineLevel="0" collapsed="false">
      <c r="A4325" s="115" t="n">
        <v>5518720.01</v>
      </c>
      <c r="B4325" s="115" t="n">
        <v>5520000</v>
      </c>
      <c r="C4325" s="115" t="n">
        <v>123881.800000011</v>
      </c>
    </row>
    <row r="4326" customFormat="false" ht="15" hidden="false" customHeight="true" outlineLevel="0" collapsed="false">
      <c r="A4326" s="114" t="n">
        <v>5520000.01</v>
      </c>
      <c r="B4326" s="114" t="n">
        <v>5521280</v>
      </c>
      <c r="C4326" s="114" t="n">
        <v>123910.460000011</v>
      </c>
    </row>
    <row r="4327" customFormat="false" ht="15" hidden="false" customHeight="true" outlineLevel="0" collapsed="false">
      <c r="A4327" s="115" t="n">
        <v>5521280.01</v>
      </c>
      <c r="B4327" s="115" t="n">
        <v>5522560</v>
      </c>
      <c r="C4327" s="115" t="n">
        <v>123939.120000011</v>
      </c>
    </row>
    <row r="4328" customFormat="false" ht="15" hidden="false" customHeight="true" outlineLevel="0" collapsed="false">
      <c r="A4328" s="114" t="n">
        <v>5522560.01</v>
      </c>
      <c r="B4328" s="114" t="n">
        <v>5523840</v>
      </c>
      <c r="C4328" s="114" t="n">
        <v>123967.780000011</v>
      </c>
    </row>
    <row r="4329" customFormat="false" ht="15" hidden="false" customHeight="true" outlineLevel="0" collapsed="false">
      <c r="A4329" s="115" t="n">
        <v>5523840.01</v>
      </c>
      <c r="B4329" s="115" t="n">
        <v>5525120</v>
      </c>
      <c r="C4329" s="115" t="n">
        <v>123996.440000011</v>
      </c>
    </row>
    <row r="4330" customFormat="false" ht="15" hidden="false" customHeight="true" outlineLevel="0" collapsed="false">
      <c r="A4330" s="114" t="n">
        <v>5525120.01</v>
      </c>
      <c r="B4330" s="114" t="n">
        <v>5526400</v>
      </c>
      <c r="C4330" s="114" t="n">
        <v>124025.100000011</v>
      </c>
    </row>
    <row r="4331" customFormat="false" ht="15" hidden="false" customHeight="true" outlineLevel="0" collapsed="false">
      <c r="A4331" s="115" t="n">
        <v>5526400.01</v>
      </c>
      <c r="B4331" s="115" t="n">
        <v>5527680</v>
      </c>
      <c r="C4331" s="115" t="n">
        <v>124053.760000011</v>
      </c>
    </row>
    <row r="4332" customFormat="false" ht="15" hidden="false" customHeight="true" outlineLevel="0" collapsed="false">
      <c r="A4332" s="114" t="n">
        <v>5527680.01</v>
      </c>
      <c r="B4332" s="114" t="n">
        <v>5528960</v>
      </c>
      <c r="C4332" s="114" t="n">
        <v>124082.420000011</v>
      </c>
    </row>
    <row r="4333" customFormat="false" ht="15" hidden="false" customHeight="true" outlineLevel="0" collapsed="false">
      <c r="A4333" s="115" t="n">
        <v>5528960.01</v>
      </c>
      <c r="B4333" s="115" t="n">
        <v>5530240</v>
      </c>
      <c r="C4333" s="115" t="n">
        <v>124111.080000011</v>
      </c>
    </row>
    <row r="4334" customFormat="false" ht="15" hidden="false" customHeight="true" outlineLevel="0" collapsed="false">
      <c r="A4334" s="114" t="n">
        <v>5530240.01</v>
      </c>
      <c r="B4334" s="114" t="n">
        <v>5531520</v>
      </c>
      <c r="C4334" s="114" t="n">
        <v>124139.740000011</v>
      </c>
    </row>
    <row r="4335" customFormat="false" ht="15" hidden="false" customHeight="true" outlineLevel="0" collapsed="false">
      <c r="A4335" s="115" t="n">
        <v>5531520.01</v>
      </c>
      <c r="B4335" s="115" t="n">
        <v>5532800</v>
      </c>
      <c r="C4335" s="115" t="n">
        <v>124168.400000011</v>
      </c>
    </row>
    <row r="4336" customFormat="false" ht="15" hidden="false" customHeight="true" outlineLevel="0" collapsed="false">
      <c r="A4336" s="114" t="n">
        <v>5532800.01</v>
      </c>
      <c r="B4336" s="114" t="n">
        <v>5534080</v>
      </c>
      <c r="C4336" s="114" t="n">
        <v>124197.060000011</v>
      </c>
    </row>
    <row r="4337" customFormat="false" ht="15" hidden="false" customHeight="true" outlineLevel="0" collapsed="false">
      <c r="A4337" s="115" t="n">
        <v>5534080.01</v>
      </c>
      <c r="B4337" s="115" t="n">
        <v>5535360</v>
      </c>
      <c r="C4337" s="115" t="n">
        <v>124225.720000011</v>
      </c>
    </row>
    <row r="4338" customFormat="false" ht="15" hidden="false" customHeight="true" outlineLevel="0" collapsed="false">
      <c r="A4338" s="114" t="n">
        <v>5535360.01</v>
      </c>
      <c r="B4338" s="114" t="n">
        <v>5536640</v>
      </c>
      <c r="C4338" s="114" t="n">
        <v>124254.380000011</v>
      </c>
    </row>
    <row r="4339" customFormat="false" ht="15" hidden="false" customHeight="true" outlineLevel="0" collapsed="false">
      <c r="A4339" s="115" t="n">
        <v>5536640.01</v>
      </c>
      <c r="B4339" s="115" t="n">
        <v>5537920</v>
      </c>
      <c r="C4339" s="115" t="n">
        <v>124283.040000011</v>
      </c>
    </row>
    <row r="4340" customFormat="false" ht="15" hidden="false" customHeight="true" outlineLevel="0" collapsed="false">
      <c r="A4340" s="114" t="n">
        <v>5537920.01</v>
      </c>
      <c r="B4340" s="114" t="n">
        <v>5539200</v>
      </c>
      <c r="C4340" s="114" t="n">
        <v>124311.700000011</v>
      </c>
    </row>
    <row r="4341" customFormat="false" ht="15" hidden="false" customHeight="true" outlineLevel="0" collapsed="false">
      <c r="A4341" s="115" t="n">
        <v>5539200.01</v>
      </c>
      <c r="B4341" s="115" t="n">
        <v>5540480</v>
      </c>
      <c r="C4341" s="115" t="n">
        <v>124340.360000011</v>
      </c>
    </row>
    <row r="4342" customFormat="false" ht="15" hidden="false" customHeight="true" outlineLevel="0" collapsed="false">
      <c r="A4342" s="114" t="n">
        <v>5540480.01</v>
      </c>
      <c r="B4342" s="114" t="n">
        <v>5541760</v>
      </c>
      <c r="C4342" s="114" t="n">
        <v>124369.020000011</v>
      </c>
    </row>
    <row r="4343" customFormat="false" ht="15" hidden="false" customHeight="true" outlineLevel="0" collapsed="false">
      <c r="A4343" s="115" t="n">
        <v>5541760.01</v>
      </c>
      <c r="B4343" s="115" t="n">
        <v>5543040</v>
      </c>
      <c r="C4343" s="115" t="n">
        <v>124397.680000011</v>
      </c>
    </row>
    <row r="4344" customFormat="false" ht="15" hidden="false" customHeight="true" outlineLevel="0" collapsed="false">
      <c r="A4344" s="114" t="n">
        <v>5543040.01</v>
      </c>
      <c r="B4344" s="114" t="n">
        <v>5544320</v>
      </c>
      <c r="C4344" s="114" t="n">
        <v>124426.340000011</v>
      </c>
    </row>
    <row r="4345" customFormat="false" ht="15" hidden="false" customHeight="true" outlineLevel="0" collapsed="false">
      <c r="A4345" s="115" t="n">
        <v>5544320.01</v>
      </c>
      <c r="B4345" s="115" t="n">
        <v>5545600</v>
      </c>
      <c r="C4345" s="115" t="n">
        <v>124455.000000011</v>
      </c>
    </row>
    <row r="4346" customFormat="false" ht="15" hidden="false" customHeight="true" outlineLevel="0" collapsed="false">
      <c r="A4346" s="114" t="n">
        <v>5545600.01</v>
      </c>
      <c r="B4346" s="114" t="n">
        <v>5546880</v>
      </c>
      <c r="C4346" s="114" t="n">
        <v>124483.660000011</v>
      </c>
    </row>
    <row r="4347" customFormat="false" ht="15" hidden="false" customHeight="true" outlineLevel="0" collapsed="false">
      <c r="A4347" s="115" t="n">
        <v>5546880.01</v>
      </c>
      <c r="B4347" s="115" t="n">
        <v>5548160</v>
      </c>
      <c r="C4347" s="115" t="n">
        <v>124512.320000011</v>
      </c>
    </row>
    <row r="4348" customFormat="false" ht="15" hidden="false" customHeight="true" outlineLevel="0" collapsed="false">
      <c r="A4348" s="114" t="n">
        <v>5548160.01</v>
      </c>
      <c r="B4348" s="114" t="n">
        <v>5549440</v>
      </c>
      <c r="C4348" s="114" t="n">
        <v>124540.980000011</v>
      </c>
    </row>
    <row r="4349" customFormat="false" ht="15" hidden="false" customHeight="true" outlineLevel="0" collapsed="false">
      <c r="A4349" s="115" t="n">
        <v>5549440.01</v>
      </c>
      <c r="B4349" s="115" t="n">
        <v>5550720</v>
      </c>
      <c r="C4349" s="115" t="n">
        <v>124569.640000011</v>
      </c>
    </row>
    <row r="4350" customFormat="false" ht="15" hidden="false" customHeight="true" outlineLevel="0" collapsed="false">
      <c r="A4350" s="114" t="n">
        <v>5550720.01</v>
      </c>
      <c r="B4350" s="114" t="n">
        <v>5552000</v>
      </c>
      <c r="C4350" s="114" t="n">
        <v>124598.300000011</v>
      </c>
    </row>
    <row r="4351" customFormat="false" ht="15" hidden="false" customHeight="true" outlineLevel="0" collapsed="false">
      <c r="A4351" s="115" t="n">
        <v>5552000.01</v>
      </c>
      <c r="B4351" s="115" t="n">
        <v>5553280</v>
      </c>
      <c r="C4351" s="115" t="n">
        <v>124626.960000011</v>
      </c>
    </row>
    <row r="4352" customFormat="false" ht="15" hidden="false" customHeight="true" outlineLevel="0" collapsed="false">
      <c r="A4352" s="114" t="n">
        <v>5553280.01</v>
      </c>
      <c r="B4352" s="114" t="n">
        <v>5554560</v>
      </c>
      <c r="C4352" s="114" t="n">
        <v>124655.620000011</v>
      </c>
    </row>
    <row r="4353" customFormat="false" ht="15" hidden="false" customHeight="true" outlineLevel="0" collapsed="false">
      <c r="A4353" s="115" t="n">
        <v>5554560.01</v>
      </c>
      <c r="B4353" s="115" t="n">
        <v>5555840</v>
      </c>
      <c r="C4353" s="115" t="n">
        <v>124684.280000011</v>
      </c>
    </row>
    <row r="4354" customFormat="false" ht="15" hidden="false" customHeight="true" outlineLevel="0" collapsed="false">
      <c r="A4354" s="114" t="n">
        <v>5555840.01</v>
      </c>
      <c r="B4354" s="114" t="n">
        <v>5557120</v>
      </c>
      <c r="C4354" s="114" t="n">
        <v>124712.940000011</v>
      </c>
    </row>
    <row r="4355" customFormat="false" ht="15" hidden="false" customHeight="true" outlineLevel="0" collapsed="false">
      <c r="A4355" s="115" t="n">
        <v>5557120.01</v>
      </c>
      <c r="B4355" s="115" t="n">
        <v>5558400</v>
      </c>
      <c r="C4355" s="115" t="n">
        <v>124741.600000011</v>
      </c>
    </row>
    <row r="4356" customFormat="false" ht="15" hidden="false" customHeight="true" outlineLevel="0" collapsed="false">
      <c r="A4356" s="114" t="n">
        <v>5558400.01</v>
      </c>
      <c r="B4356" s="114" t="n">
        <v>5559680</v>
      </c>
      <c r="C4356" s="114" t="n">
        <v>124770.260000011</v>
      </c>
    </row>
    <row r="4357" customFormat="false" ht="15" hidden="false" customHeight="true" outlineLevel="0" collapsed="false">
      <c r="A4357" s="115" t="n">
        <v>5559680.01</v>
      </c>
      <c r="B4357" s="115" t="n">
        <v>5560960</v>
      </c>
      <c r="C4357" s="115" t="n">
        <v>124798.920000011</v>
      </c>
    </row>
    <row r="4358" customFormat="false" ht="15" hidden="false" customHeight="true" outlineLevel="0" collapsed="false">
      <c r="A4358" s="114" t="n">
        <v>5560960.01</v>
      </c>
      <c r="B4358" s="114" t="n">
        <v>5562240</v>
      </c>
      <c r="C4358" s="114" t="n">
        <v>124827.580000011</v>
      </c>
    </row>
    <row r="4359" customFormat="false" ht="15" hidden="false" customHeight="true" outlineLevel="0" collapsed="false">
      <c r="A4359" s="115" t="n">
        <v>5562240.01</v>
      </c>
      <c r="B4359" s="115" t="n">
        <v>5563520</v>
      </c>
      <c r="C4359" s="115" t="n">
        <v>124856.240000011</v>
      </c>
    </row>
    <row r="4360" customFormat="false" ht="15" hidden="false" customHeight="true" outlineLevel="0" collapsed="false">
      <c r="A4360" s="114" t="n">
        <v>5563520.01</v>
      </c>
      <c r="B4360" s="114" t="n">
        <v>5564800</v>
      </c>
      <c r="C4360" s="114" t="n">
        <v>124884.900000011</v>
      </c>
    </row>
    <row r="4361" customFormat="false" ht="15" hidden="false" customHeight="true" outlineLevel="0" collapsed="false">
      <c r="A4361" s="115" t="n">
        <v>5564800.01</v>
      </c>
      <c r="B4361" s="115" t="n">
        <v>5566080</v>
      </c>
      <c r="C4361" s="115" t="n">
        <v>124913.560000011</v>
      </c>
    </row>
    <row r="4362" customFormat="false" ht="15" hidden="false" customHeight="true" outlineLevel="0" collapsed="false">
      <c r="A4362" s="114" t="n">
        <v>5566080.01</v>
      </c>
      <c r="B4362" s="114" t="n">
        <v>5567360</v>
      </c>
      <c r="C4362" s="114" t="n">
        <v>124942.220000011</v>
      </c>
    </row>
    <row r="4363" customFormat="false" ht="15" hidden="false" customHeight="true" outlineLevel="0" collapsed="false">
      <c r="A4363" s="115" t="n">
        <v>5567360.01</v>
      </c>
      <c r="B4363" s="115" t="n">
        <v>5568640</v>
      </c>
      <c r="C4363" s="115" t="n">
        <v>124970.880000011</v>
      </c>
    </row>
    <row r="4364" customFormat="false" ht="15" hidden="false" customHeight="true" outlineLevel="0" collapsed="false">
      <c r="A4364" s="114" t="n">
        <v>5568640.01</v>
      </c>
      <c r="B4364" s="114" t="n">
        <v>5569920</v>
      </c>
      <c r="C4364" s="114" t="n">
        <v>124999.540000011</v>
      </c>
    </row>
    <row r="4365" customFormat="false" ht="15" hidden="false" customHeight="true" outlineLevel="0" collapsed="false">
      <c r="A4365" s="115" t="n">
        <v>5569920.01</v>
      </c>
      <c r="B4365" s="115" t="n">
        <v>5571200</v>
      </c>
      <c r="C4365" s="115" t="n">
        <v>125028.200000011</v>
      </c>
    </row>
    <row r="4366" customFormat="false" ht="15" hidden="false" customHeight="true" outlineLevel="0" collapsed="false">
      <c r="A4366" s="114" t="n">
        <v>5571200.01</v>
      </c>
      <c r="B4366" s="114" t="n">
        <v>5572480</v>
      </c>
      <c r="C4366" s="114" t="n">
        <v>125056.860000011</v>
      </c>
    </row>
    <row r="4367" customFormat="false" ht="15" hidden="false" customHeight="true" outlineLevel="0" collapsed="false">
      <c r="A4367" s="115" t="n">
        <v>5572480.01</v>
      </c>
      <c r="B4367" s="115" t="n">
        <v>5573760</v>
      </c>
      <c r="C4367" s="115" t="n">
        <v>125085.520000011</v>
      </c>
    </row>
    <row r="4368" customFormat="false" ht="15" hidden="false" customHeight="true" outlineLevel="0" collapsed="false">
      <c r="A4368" s="114" t="n">
        <v>5573760.01</v>
      </c>
      <c r="B4368" s="114" t="n">
        <v>5575040</v>
      </c>
      <c r="C4368" s="114" t="n">
        <v>125114.180000011</v>
      </c>
    </row>
    <row r="4369" customFormat="false" ht="15" hidden="false" customHeight="true" outlineLevel="0" collapsed="false">
      <c r="A4369" s="115" t="n">
        <v>5575040.01</v>
      </c>
      <c r="B4369" s="115" t="n">
        <v>5576320</v>
      </c>
      <c r="C4369" s="115" t="n">
        <v>125142.840000011</v>
      </c>
    </row>
    <row r="4370" customFormat="false" ht="15" hidden="false" customHeight="true" outlineLevel="0" collapsed="false">
      <c r="A4370" s="114" t="n">
        <v>5576320.01</v>
      </c>
      <c r="B4370" s="114" t="n">
        <v>5577600</v>
      </c>
      <c r="C4370" s="114" t="n">
        <v>125171.500000011</v>
      </c>
    </row>
    <row r="4371" customFormat="false" ht="15" hidden="false" customHeight="true" outlineLevel="0" collapsed="false">
      <c r="A4371" s="115" t="n">
        <v>5577600.01</v>
      </c>
      <c r="B4371" s="115" t="n">
        <v>5578880</v>
      </c>
      <c r="C4371" s="115" t="n">
        <v>125200.160000011</v>
      </c>
    </row>
    <row r="4372" customFormat="false" ht="15" hidden="false" customHeight="true" outlineLevel="0" collapsed="false">
      <c r="A4372" s="114" t="n">
        <v>5578880.01</v>
      </c>
      <c r="B4372" s="114" t="n">
        <v>5580160</v>
      </c>
      <c r="C4372" s="114" t="n">
        <v>125228.820000011</v>
      </c>
    </row>
    <row r="4373" customFormat="false" ht="15" hidden="false" customHeight="true" outlineLevel="0" collapsed="false">
      <c r="A4373" s="115" t="n">
        <v>5580160.01</v>
      </c>
      <c r="B4373" s="115" t="n">
        <v>5581440</v>
      </c>
      <c r="C4373" s="115" t="n">
        <v>125257.480000011</v>
      </c>
    </row>
    <row r="4374" customFormat="false" ht="15" hidden="false" customHeight="true" outlineLevel="0" collapsed="false">
      <c r="A4374" s="114" t="n">
        <v>5581440.01</v>
      </c>
      <c r="B4374" s="114" t="n">
        <v>5582720</v>
      </c>
      <c r="C4374" s="114" t="n">
        <v>125286.140000011</v>
      </c>
    </row>
    <row r="4375" customFormat="false" ht="15" hidden="false" customHeight="true" outlineLevel="0" collapsed="false">
      <c r="A4375" s="115" t="n">
        <v>5582720.01</v>
      </c>
      <c r="B4375" s="115" t="n">
        <v>5584000</v>
      </c>
      <c r="C4375" s="115" t="n">
        <v>125314.800000011</v>
      </c>
    </row>
    <row r="4376" customFormat="false" ht="15" hidden="false" customHeight="true" outlineLevel="0" collapsed="false">
      <c r="A4376" s="114" t="n">
        <v>5584000.01</v>
      </c>
      <c r="B4376" s="114" t="n">
        <v>5585280</v>
      </c>
      <c r="C4376" s="114" t="n">
        <v>125343.460000011</v>
      </c>
    </row>
    <row r="4377" customFormat="false" ht="15" hidden="false" customHeight="true" outlineLevel="0" collapsed="false">
      <c r="A4377" s="115" t="n">
        <v>5585280.01</v>
      </c>
      <c r="B4377" s="115" t="n">
        <v>5586560</v>
      </c>
      <c r="C4377" s="115" t="n">
        <v>125372.120000011</v>
      </c>
    </row>
    <row r="4378" customFormat="false" ht="15" hidden="false" customHeight="true" outlineLevel="0" collapsed="false">
      <c r="A4378" s="114" t="n">
        <v>5586560.01</v>
      </c>
      <c r="B4378" s="114" t="n">
        <v>5587840</v>
      </c>
      <c r="C4378" s="114" t="n">
        <v>125400.780000011</v>
      </c>
    </row>
    <row r="4379" customFormat="false" ht="15" hidden="false" customHeight="true" outlineLevel="0" collapsed="false">
      <c r="A4379" s="115" t="n">
        <v>5587840.01</v>
      </c>
      <c r="B4379" s="115" t="n">
        <v>5589120</v>
      </c>
      <c r="C4379" s="115" t="n">
        <v>125429.440000011</v>
      </c>
    </row>
    <row r="4380" customFormat="false" ht="15" hidden="false" customHeight="true" outlineLevel="0" collapsed="false">
      <c r="A4380" s="114" t="n">
        <v>5589120.01</v>
      </c>
      <c r="B4380" s="114" t="n">
        <v>5590400</v>
      </c>
      <c r="C4380" s="114" t="n">
        <v>125458.100000011</v>
      </c>
    </row>
    <row r="4381" customFormat="false" ht="15" hidden="false" customHeight="true" outlineLevel="0" collapsed="false">
      <c r="A4381" s="115" t="n">
        <v>5590400.01</v>
      </c>
      <c r="B4381" s="115" t="n">
        <v>5591680</v>
      </c>
      <c r="C4381" s="115" t="n">
        <v>125486.760000011</v>
      </c>
    </row>
    <row r="4382" customFormat="false" ht="15" hidden="false" customHeight="true" outlineLevel="0" collapsed="false">
      <c r="A4382" s="114" t="n">
        <v>5591680.01</v>
      </c>
      <c r="B4382" s="114" t="n">
        <v>5592960</v>
      </c>
      <c r="C4382" s="114" t="n">
        <v>125515.420000011</v>
      </c>
    </row>
    <row r="4383" customFormat="false" ht="15" hidden="false" customHeight="true" outlineLevel="0" collapsed="false">
      <c r="A4383" s="115" t="n">
        <v>5592960.01</v>
      </c>
      <c r="B4383" s="115" t="n">
        <v>5594240</v>
      </c>
      <c r="C4383" s="115" t="n">
        <v>125544.080000011</v>
      </c>
    </row>
    <row r="4384" customFormat="false" ht="15" hidden="false" customHeight="true" outlineLevel="0" collapsed="false">
      <c r="A4384" s="114" t="n">
        <v>5594240.01</v>
      </c>
      <c r="B4384" s="114" t="n">
        <v>5595520</v>
      </c>
      <c r="C4384" s="114" t="n">
        <v>125572.740000011</v>
      </c>
    </row>
    <row r="4385" customFormat="false" ht="15" hidden="false" customHeight="true" outlineLevel="0" collapsed="false">
      <c r="A4385" s="115" t="n">
        <v>5595520.01</v>
      </c>
      <c r="B4385" s="115" t="n">
        <v>5596800</v>
      </c>
      <c r="C4385" s="115" t="n">
        <v>125601.400000011</v>
      </c>
    </row>
    <row r="4386" customFormat="false" ht="15" hidden="false" customHeight="true" outlineLevel="0" collapsed="false">
      <c r="A4386" s="114" t="n">
        <v>5596800.01</v>
      </c>
      <c r="B4386" s="114" t="n">
        <v>5598080</v>
      </c>
      <c r="C4386" s="114" t="n">
        <v>125630.060000011</v>
      </c>
    </row>
    <row r="4387" customFormat="false" ht="15" hidden="false" customHeight="true" outlineLevel="0" collapsed="false">
      <c r="A4387" s="115" t="n">
        <v>5598080.01</v>
      </c>
      <c r="B4387" s="115" t="n">
        <v>5599360</v>
      </c>
      <c r="C4387" s="115" t="n">
        <v>125658.720000011</v>
      </c>
    </row>
    <row r="4388" customFormat="false" ht="15" hidden="false" customHeight="true" outlineLevel="0" collapsed="false">
      <c r="A4388" s="114" t="n">
        <v>5599360.01</v>
      </c>
      <c r="B4388" s="114" t="n">
        <v>5600640</v>
      </c>
      <c r="C4388" s="114" t="n">
        <v>125687.380000011</v>
      </c>
    </row>
    <row r="4389" customFormat="false" ht="15" hidden="false" customHeight="true" outlineLevel="0" collapsed="false">
      <c r="A4389" s="115" t="n">
        <v>5600640.01</v>
      </c>
      <c r="B4389" s="115" t="n">
        <v>5601920</v>
      </c>
      <c r="C4389" s="115" t="n">
        <v>125716.040000011</v>
      </c>
    </row>
    <row r="4390" customFormat="false" ht="15" hidden="false" customHeight="true" outlineLevel="0" collapsed="false">
      <c r="A4390" s="114" t="n">
        <v>5601920.01</v>
      </c>
      <c r="B4390" s="114" t="n">
        <v>5603200</v>
      </c>
      <c r="C4390" s="114" t="n">
        <v>125744.700000011</v>
      </c>
    </row>
    <row r="4391" customFormat="false" ht="15" hidden="false" customHeight="true" outlineLevel="0" collapsed="false">
      <c r="A4391" s="115" t="n">
        <v>5603200.01</v>
      </c>
      <c r="B4391" s="115" t="n">
        <v>5604480</v>
      </c>
      <c r="C4391" s="115" t="n">
        <v>125773.360000011</v>
      </c>
    </row>
    <row r="4392" customFormat="false" ht="15" hidden="false" customHeight="true" outlineLevel="0" collapsed="false">
      <c r="A4392" s="114" t="n">
        <v>5604480.01</v>
      </c>
      <c r="B4392" s="114" t="n">
        <v>5605760</v>
      </c>
      <c r="C4392" s="114" t="n">
        <v>125802.020000011</v>
      </c>
    </row>
    <row r="4393" customFormat="false" ht="15" hidden="false" customHeight="true" outlineLevel="0" collapsed="false">
      <c r="A4393" s="115" t="n">
        <v>5605760.01</v>
      </c>
      <c r="B4393" s="115" t="n">
        <v>5607040</v>
      </c>
      <c r="C4393" s="115" t="n">
        <v>125830.680000011</v>
      </c>
    </row>
    <row r="4394" customFormat="false" ht="15" hidden="false" customHeight="true" outlineLevel="0" collapsed="false">
      <c r="A4394" s="114" t="n">
        <v>5607040.01</v>
      </c>
      <c r="B4394" s="114" t="n">
        <v>5608320</v>
      </c>
      <c r="C4394" s="114" t="n">
        <v>125859.340000011</v>
      </c>
    </row>
    <row r="4395" customFormat="false" ht="15" hidden="false" customHeight="true" outlineLevel="0" collapsed="false">
      <c r="A4395" s="115" t="n">
        <v>5608320.01</v>
      </c>
      <c r="B4395" s="115" t="n">
        <v>5609600</v>
      </c>
      <c r="C4395" s="115" t="n">
        <v>125888.000000011</v>
      </c>
    </row>
    <row r="4396" customFormat="false" ht="15" hidden="false" customHeight="true" outlineLevel="0" collapsed="false">
      <c r="A4396" s="114" t="n">
        <v>5609600.01</v>
      </c>
      <c r="B4396" s="114" t="n">
        <v>5610880</v>
      </c>
      <c r="C4396" s="114" t="n">
        <v>125916.660000011</v>
      </c>
    </row>
    <row r="4397" customFormat="false" ht="15" hidden="false" customHeight="true" outlineLevel="0" collapsed="false">
      <c r="A4397" s="115" t="n">
        <v>5610880.01</v>
      </c>
      <c r="B4397" s="115" t="n">
        <v>5612160</v>
      </c>
      <c r="C4397" s="115" t="n">
        <v>125945.320000011</v>
      </c>
    </row>
    <row r="4398" customFormat="false" ht="15" hidden="false" customHeight="true" outlineLevel="0" collapsed="false">
      <c r="A4398" s="114" t="n">
        <v>5612160.01</v>
      </c>
      <c r="B4398" s="114" t="n">
        <v>5613440</v>
      </c>
      <c r="C4398" s="114" t="n">
        <v>125973.980000011</v>
      </c>
    </row>
    <row r="4399" customFormat="false" ht="15" hidden="false" customHeight="true" outlineLevel="0" collapsed="false">
      <c r="A4399" s="115" t="n">
        <v>5613440.01</v>
      </c>
      <c r="B4399" s="115" t="n">
        <v>5614720</v>
      </c>
      <c r="C4399" s="115" t="n">
        <v>126002.640000011</v>
      </c>
    </row>
    <row r="4400" customFormat="false" ht="15" hidden="false" customHeight="true" outlineLevel="0" collapsed="false">
      <c r="A4400" s="114" t="n">
        <v>5614720.01</v>
      </c>
      <c r="B4400" s="114" t="n">
        <v>5616000</v>
      </c>
      <c r="C4400" s="114" t="n">
        <v>126031.300000011</v>
      </c>
    </row>
    <row r="4401" customFormat="false" ht="15" hidden="false" customHeight="true" outlineLevel="0" collapsed="false">
      <c r="A4401" s="115" t="n">
        <v>5616000.01</v>
      </c>
      <c r="B4401" s="115" t="n">
        <v>5617280</v>
      </c>
      <c r="C4401" s="115" t="n">
        <v>126059.960000011</v>
      </c>
    </row>
    <row r="4402" customFormat="false" ht="15" hidden="false" customHeight="true" outlineLevel="0" collapsed="false">
      <c r="A4402" s="114" t="n">
        <v>5617280.01</v>
      </c>
      <c r="B4402" s="114" t="n">
        <v>5618560</v>
      </c>
      <c r="C4402" s="114" t="n">
        <v>126088.620000011</v>
      </c>
    </row>
    <row r="4403" customFormat="false" ht="15" hidden="false" customHeight="true" outlineLevel="0" collapsed="false">
      <c r="A4403" s="115" t="n">
        <v>5618560.01</v>
      </c>
      <c r="B4403" s="115" t="n">
        <v>5619840</v>
      </c>
      <c r="C4403" s="115" t="n">
        <v>126117.280000011</v>
      </c>
    </row>
    <row r="4404" customFormat="false" ht="15" hidden="false" customHeight="true" outlineLevel="0" collapsed="false">
      <c r="A4404" s="114" t="n">
        <v>5619840.01</v>
      </c>
      <c r="B4404" s="114" t="n">
        <v>5621120</v>
      </c>
      <c r="C4404" s="114" t="n">
        <v>126145.940000011</v>
      </c>
    </row>
    <row r="4405" customFormat="false" ht="15" hidden="false" customHeight="true" outlineLevel="0" collapsed="false">
      <c r="A4405" s="115" t="n">
        <v>5621120.01</v>
      </c>
      <c r="B4405" s="115" t="n">
        <v>5622400</v>
      </c>
      <c r="C4405" s="115" t="n">
        <v>126174.600000011</v>
      </c>
    </row>
    <row r="4406" customFormat="false" ht="15" hidden="false" customHeight="true" outlineLevel="0" collapsed="false">
      <c r="A4406" s="114" t="n">
        <v>5622400.01</v>
      </c>
      <c r="B4406" s="114" t="n">
        <v>5623680</v>
      </c>
      <c r="C4406" s="114" t="n">
        <v>126203.260000011</v>
      </c>
    </row>
    <row r="4407" customFormat="false" ht="15" hidden="false" customHeight="true" outlineLevel="0" collapsed="false">
      <c r="A4407" s="115" t="n">
        <v>5623680.01</v>
      </c>
      <c r="B4407" s="115" t="n">
        <v>5624960</v>
      </c>
      <c r="C4407" s="115" t="n">
        <v>126231.920000011</v>
      </c>
    </row>
    <row r="4408" customFormat="false" ht="15" hidden="false" customHeight="true" outlineLevel="0" collapsed="false">
      <c r="A4408" s="114" t="n">
        <v>5624960.01</v>
      </c>
      <c r="B4408" s="114" t="n">
        <v>5626240</v>
      </c>
      <c r="C4408" s="114" t="n">
        <v>126260.580000011</v>
      </c>
    </row>
    <row r="4409" customFormat="false" ht="15" hidden="false" customHeight="true" outlineLevel="0" collapsed="false">
      <c r="A4409" s="115" t="n">
        <v>5626240.01</v>
      </c>
      <c r="B4409" s="115" t="n">
        <v>5627520</v>
      </c>
      <c r="C4409" s="115" t="n">
        <v>126289.240000011</v>
      </c>
    </row>
    <row r="4410" customFormat="false" ht="15" hidden="false" customHeight="true" outlineLevel="0" collapsed="false">
      <c r="A4410" s="114" t="n">
        <v>5627520.01</v>
      </c>
      <c r="B4410" s="114" t="n">
        <v>5628800</v>
      </c>
      <c r="C4410" s="114" t="n">
        <v>126317.900000011</v>
      </c>
    </row>
    <row r="4411" customFormat="false" ht="15" hidden="false" customHeight="true" outlineLevel="0" collapsed="false">
      <c r="A4411" s="115" t="n">
        <v>5628800.01</v>
      </c>
      <c r="B4411" s="115" t="n">
        <v>5630080</v>
      </c>
      <c r="C4411" s="115" t="n">
        <v>126346.560000011</v>
      </c>
    </row>
    <row r="4412" customFormat="false" ht="15" hidden="false" customHeight="true" outlineLevel="0" collapsed="false">
      <c r="A4412" s="114" t="n">
        <v>5630080.01</v>
      </c>
      <c r="B4412" s="114" t="n">
        <v>5631360</v>
      </c>
      <c r="C4412" s="114" t="n">
        <v>126375.220000011</v>
      </c>
    </row>
    <row r="4413" customFormat="false" ht="15" hidden="false" customHeight="true" outlineLevel="0" collapsed="false">
      <c r="A4413" s="115" t="n">
        <v>5631360.01</v>
      </c>
      <c r="B4413" s="115" t="n">
        <v>5632640</v>
      </c>
      <c r="C4413" s="115" t="n">
        <v>126403.880000011</v>
      </c>
    </row>
    <row r="4414" customFormat="false" ht="15" hidden="false" customHeight="true" outlineLevel="0" collapsed="false">
      <c r="A4414" s="114" t="n">
        <v>5632640.01</v>
      </c>
      <c r="B4414" s="114" t="n">
        <v>5633920</v>
      </c>
      <c r="C4414" s="114" t="n">
        <v>126432.540000011</v>
      </c>
    </row>
    <row r="4415" customFormat="false" ht="15" hidden="false" customHeight="true" outlineLevel="0" collapsed="false">
      <c r="A4415" s="115" t="n">
        <v>5633920.01</v>
      </c>
      <c r="B4415" s="115" t="n">
        <v>5635200</v>
      </c>
      <c r="C4415" s="115" t="n">
        <v>126461.200000011</v>
      </c>
    </row>
    <row r="4416" customFormat="false" ht="15" hidden="false" customHeight="true" outlineLevel="0" collapsed="false">
      <c r="A4416" s="114" t="n">
        <v>5635200.01</v>
      </c>
      <c r="B4416" s="114" t="n">
        <v>5636480</v>
      </c>
      <c r="C4416" s="114" t="n">
        <v>126489.860000011</v>
      </c>
    </row>
    <row r="4417" customFormat="false" ht="15" hidden="false" customHeight="true" outlineLevel="0" collapsed="false">
      <c r="A4417" s="115" t="n">
        <v>5636480.01</v>
      </c>
      <c r="B4417" s="115" t="n">
        <v>5637760</v>
      </c>
      <c r="C4417" s="115" t="n">
        <v>126518.520000011</v>
      </c>
    </row>
    <row r="4418" customFormat="false" ht="15" hidden="false" customHeight="true" outlineLevel="0" collapsed="false">
      <c r="A4418" s="114" t="n">
        <v>5637760.01</v>
      </c>
      <c r="B4418" s="114" t="n">
        <v>5639040</v>
      </c>
      <c r="C4418" s="114" t="n">
        <v>126547.180000011</v>
      </c>
    </row>
    <row r="4419" customFormat="false" ht="15" hidden="false" customHeight="true" outlineLevel="0" collapsed="false">
      <c r="A4419" s="115" t="n">
        <v>5639040.01</v>
      </c>
      <c r="B4419" s="115" t="n">
        <v>5640320</v>
      </c>
      <c r="C4419" s="115" t="n">
        <v>126575.840000011</v>
      </c>
    </row>
    <row r="4420" customFormat="false" ht="15" hidden="false" customHeight="true" outlineLevel="0" collapsed="false">
      <c r="A4420" s="114" t="n">
        <v>5640320.01</v>
      </c>
      <c r="B4420" s="114" t="n">
        <v>5641600</v>
      </c>
      <c r="C4420" s="114" t="n">
        <v>126604.500000011</v>
      </c>
    </row>
    <row r="4421" customFormat="false" ht="15" hidden="false" customHeight="true" outlineLevel="0" collapsed="false">
      <c r="A4421" s="115" t="n">
        <v>5641600.01</v>
      </c>
      <c r="B4421" s="115" t="n">
        <v>5642880</v>
      </c>
      <c r="C4421" s="115" t="n">
        <v>126633.160000011</v>
      </c>
    </row>
    <row r="4422" customFormat="false" ht="15" hidden="false" customHeight="true" outlineLevel="0" collapsed="false">
      <c r="A4422" s="114" t="n">
        <v>5642880.01</v>
      </c>
      <c r="B4422" s="114" t="n">
        <v>5644160</v>
      </c>
      <c r="C4422" s="114" t="n">
        <v>126661.820000011</v>
      </c>
    </row>
    <row r="4423" customFormat="false" ht="15" hidden="false" customHeight="true" outlineLevel="0" collapsed="false">
      <c r="A4423" s="115" t="n">
        <v>5644160.01</v>
      </c>
      <c r="B4423" s="115" t="n">
        <v>5645440</v>
      </c>
      <c r="C4423" s="115" t="n">
        <v>126690.480000011</v>
      </c>
    </row>
    <row r="4424" customFormat="false" ht="15" hidden="false" customHeight="true" outlineLevel="0" collapsed="false">
      <c r="A4424" s="114" t="n">
        <v>5645440.01</v>
      </c>
      <c r="B4424" s="114" t="n">
        <v>5646720</v>
      </c>
      <c r="C4424" s="114" t="n">
        <v>126719.140000011</v>
      </c>
    </row>
    <row r="4425" customFormat="false" ht="15" hidden="false" customHeight="true" outlineLevel="0" collapsed="false">
      <c r="A4425" s="115" t="n">
        <v>5646720.01</v>
      </c>
      <c r="B4425" s="115" t="n">
        <v>5648000</v>
      </c>
      <c r="C4425" s="115" t="n">
        <v>126747.800000011</v>
      </c>
    </row>
    <row r="4426" customFormat="false" ht="15" hidden="false" customHeight="true" outlineLevel="0" collapsed="false">
      <c r="A4426" s="114" t="n">
        <v>5648000.01</v>
      </c>
      <c r="B4426" s="114" t="n">
        <v>5649280</v>
      </c>
      <c r="C4426" s="114" t="n">
        <v>126776.460000011</v>
      </c>
    </row>
    <row r="4427" customFormat="false" ht="15" hidden="false" customHeight="true" outlineLevel="0" collapsed="false">
      <c r="A4427" s="115" t="n">
        <v>5649280.01</v>
      </c>
      <c r="B4427" s="115" t="n">
        <v>5650560</v>
      </c>
      <c r="C4427" s="115" t="n">
        <v>126805.120000011</v>
      </c>
    </row>
    <row r="4428" customFormat="false" ht="15" hidden="false" customHeight="true" outlineLevel="0" collapsed="false">
      <c r="A4428" s="114" t="n">
        <v>5650560.01</v>
      </c>
      <c r="B4428" s="114" t="n">
        <v>5651840</v>
      </c>
      <c r="C4428" s="114" t="n">
        <v>126833.780000011</v>
      </c>
    </row>
    <row r="4429" customFormat="false" ht="15" hidden="false" customHeight="true" outlineLevel="0" collapsed="false">
      <c r="A4429" s="115" t="n">
        <v>5651840.01</v>
      </c>
      <c r="B4429" s="115" t="n">
        <v>5653120</v>
      </c>
      <c r="C4429" s="115" t="n">
        <v>126862.440000011</v>
      </c>
    </row>
    <row r="4430" customFormat="false" ht="15" hidden="false" customHeight="true" outlineLevel="0" collapsed="false">
      <c r="A4430" s="114" t="n">
        <v>5653120.01</v>
      </c>
      <c r="B4430" s="114" t="n">
        <v>5654400</v>
      </c>
      <c r="C4430" s="114" t="n">
        <v>126891.100000011</v>
      </c>
    </row>
    <row r="4431" customFormat="false" ht="15" hidden="false" customHeight="true" outlineLevel="0" collapsed="false">
      <c r="A4431" s="115" t="n">
        <v>5654400.01</v>
      </c>
      <c r="B4431" s="115" t="n">
        <v>5655680</v>
      </c>
      <c r="C4431" s="115" t="n">
        <v>126919.760000011</v>
      </c>
    </row>
    <row r="4432" customFormat="false" ht="15" hidden="false" customHeight="true" outlineLevel="0" collapsed="false">
      <c r="A4432" s="114" t="n">
        <v>5655680.01</v>
      </c>
      <c r="B4432" s="114" t="n">
        <v>5656960</v>
      </c>
      <c r="C4432" s="114" t="n">
        <v>126948.420000011</v>
      </c>
    </row>
    <row r="4433" customFormat="false" ht="15" hidden="false" customHeight="true" outlineLevel="0" collapsed="false">
      <c r="A4433" s="115" t="n">
        <v>5656960.01</v>
      </c>
      <c r="B4433" s="115" t="n">
        <v>5658240</v>
      </c>
      <c r="C4433" s="115" t="n">
        <v>126977.080000011</v>
      </c>
    </row>
    <row r="4434" customFormat="false" ht="15" hidden="false" customHeight="true" outlineLevel="0" collapsed="false">
      <c r="A4434" s="114" t="n">
        <v>5658240.01</v>
      </c>
      <c r="B4434" s="114" t="n">
        <v>5659520</v>
      </c>
      <c r="C4434" s="114" t="n">
        <v>127005.740000011</v>
      </c>
    </row>
    <row r="4435" customFormat="false" ht="15" hidden="false" customHeight="true" outlineLevel="0" collapsed="false">
      <c r="A4435" s="115" t="n">
        <v>5659520.01</v>
      </c>
      <c r="B4435" s="115" t="n">
        <v>5660800</v>
      </c>
      <c r="C4435" s="115" t="n">
        <v>127034.400000011</v>
      </c>
    </row>
    <row r="4436" customFormat="false" ht="15" hidden="false" customHeight="true" outlineLevel="0" collapsed="false">
      <c r="A4436" s="114" t="n">
        <v>5660800.01</v>
      </c>
      <c r="B4436" s="114" t="n">
        <v>5662080</v>
      </c>
      <c r="C4436" s="114" t="n">
        <v>127063.060000011</v>
      </c>
    </row>
    <row r="4437" customFormat="false" ht="15" hidden="false" customHeight="true" outlineLevel="0" collapsed="false">
      <c r="A4437" s="115" t="n">
        <v>5662080.01</v>
      </c>
      <c r="B4437" s="115" t="n">
        <v>5663360</v>
      </c>
      <c r="C4437" s="115" t="n">
        <v>127091.720000011</v>
      </c>
    </row>
    <row r="4438" customFormat="false" ht="15" hidden="false" customHeight="true" outlineLevel="0" collapsed="false">
      <c r="A4438" s="114" t="n">
        <v>5663360.01</v>
      </c>
      <c r="B4438" s="114" t="n">
        <v>5664640</v>
      </c>
      <c r="C4438" s="114" t="n">
        <v>127120.380000011</v>
      </c>
    </row>
    <row r="4439" customFormat="false" ht="15" hidden="false" customHeight="true" outlineLevel="0" collapsed="false">
      <c r="A4439" s="115" t="n">
        <v>5664640.01</v>
      </c>
      <c r="B4439" s="115" t="n">
        <v>5665920</v>
      </c>
      <c r="C4439" s="115" t="n">
        <v>127149.040000011</v>
      </c>
    </row>
    <row r="4440" customFormat="false" ht="15" hidden="false" customHeight="true" outlineLevel="0" collapsed="false">
      <c r="A4440" s="114" t="n">
        <v>5665920.01</v>
      </c>
      <c r="B4440" s="114" t="n">
        <v>5667200</v>
      </c>
      <c r="C4440" s="114" t="n">
        <v>127177.700000011</v>
      </c>
    </row>
    <row r="4441" customFormat="false" ht="15" hidden="false" customHeight="true" outlineLevel="0" collapsed="false">
      <c r="A4441" s="115" t="n">
        <v>5667200.01</v>
      </c>
      <c r="B4441" s="115" t="n">
        <v>5668480</v>
      </c>
      <c r="C4441" s="115" t="n">
        <v>127206.360000011</v>
      </c>
    </row>
    <row r="4442" customFormat="false" ht="15" hidden="false" customHeight="true" outlineLevel="0" collapsed="false">
      <c r="A4442" s="114" t="n">
        <v>5668480.01</v>
      </c>
      <c r="B4442" s="114" t="n">
        <v>5669760</v>
      </c>
      <c r="C4442" s="114" t="n">
        <v>127235.020000011</v>
      </c>
    </row>
    <row r="4443" customFormat="false" ht="15" hidden="false" customHeight="true" outlineLevel="0" collapsed="false">
      <c r="A4443" s="115" t="n">
        <v>5669760.01</v>
      </c>
      <c r="B4443" s="115" t="n">
        <v>5671040</v>
      </c>
      <c r="C4443" s="115" t="n">
        <v>127263.680000011</v>
      </c>
    </row>
    <row r="4444" customFormat="false" ht="15" hidden="false" customHeight="true" outlineLevel="0" collapsed="false">
      <c r="A4444" s="114" t="n">
        <v>5671040.01</v>
      </c>
      <c r="B4444" s="114" t="n">
        <v>5672320</v>
      </c>
      <c r="C4444" s="114" t="n">
        <v>127292.340000011</v>
      </c>
    </row>
    <row r="4445" customFormat="false" ht="15" hidden="false" customHeight="true" outlineLevel="0" collapsed="false">
      <c r="A4445" s="115" t="n">
        <v>5672320.01</v>
      </c>
      <c r="B4445" s="115" t="n">
        <v>5673600</v>
      </c>
      <c r="C4445" s="115" t="n">
        <v>127321.000000011</v>
      </c>
    </row>
    <row r="4446" customFormat="false" ht="15" hidden="false" customHeight="true" outlineLevel="0" collapsed="false">
      <c r="A4446" s="114" t="n">
        <v>5673600.01</v>
      </c>
      <c r="B4446" s="114" t="n">
        <v>5674880</v>
      </c>
      <c r="C4446" s="114" t="n">
        <v>127349.660000011</v>
      </c>
    </row>
    <row r="4447" customFormat="false" ht="15" hidden="false" customHeight="true" outlineLevel="0" collapsed="false">
      <c r="A4447" s="115" t="n">
        <v>5674880.01</v>
      </c>
      <c r="B4447" s="115" t="n">
        <v>5676160</v>
      </c>
      <c r="C4447" s="115" t="n">
        <v>127378.320000011</v>
      </c>
    </row>
    <row r="4448" customFormat="false" ht="15" hidden="false" customHeight="true" outlineLevel="0" collapsed="false">
      <c r="A4448" s="114" t="n">
        <v>5676160.01</v>
      </c>
      <c r="B4448" s="114" t="n">
        <v>5677440</v>
      </c>
      <c r="C4448" s="114" t="n">
        <v>127406.980000011</v>
      </c>
    </row>
    <row r="4449" customFormat="false" ht="15" hidden="false" customHeight="true" outlineLevel="0" collapsed="false">
      <c r="A4449" s="115" t="n">
        <v>5677440.01</v>
      </c>
      <c r="B4449" s="115" t="n">
        <v>5678720</v>
      </c>
      <c r="C4449" s="115" t="n">
        <v>127435.640000011</v>
      </c>
    </row>
    <row r="4450" customFormat="false" ht="15" hidden="false" customHeight="true" outlineLevel="0" collapsed="false">
      <c r="A4450" s="114" t="n">
        <v>5678720.01</v>
      </c>
      <c r="B4450" s="114" t="n">
        <v>5680000</v>
      </c>
      <c r="C4450" s="114" t="n">
        <v>127464.300000011</v>
      </c>
    </row>
    <row r="4451" customFormat="false" ht="15" hidden="false" customHeight="true" outlineLevel="0" collapsed="false">
      <c r="A4451" s="115" t="n">
        <v>5680000.01</v>
      </c>
      <c r="B4451" s="115" t="n">
        <v>5681280</v>
      </c>
      <c r="C4451" s="115" t="n">
        <v>127492.960000011</v>
      </c>
    </row>
    <row r="4452" customFormat="false" ht="15" hidden="false" customHeight="true" outlineLevel="0" collapsed="false">
      <c r="A4452" s="114" t="n">
        <v>5681280.01</v>
      </c>
      <c r="B4452" s="114" t="n">
        <v>5682560</v>
      </c>
      <c r="C4452" s="114" t="n">
        <v>127521.620000011</v>
      </c>
    </row>
    <row r="4453" customFormat="false" ht="15" hidden="false" customHeight="true" outlineLevel="0" collapsed="false">
      <c r="A4453" s="115" t="n">
        <v>5682560.01</v>
      </c>
      <c r="B4453" s="115" t="n">
        <v>5683840</v>
      </c>
      <c r="C4453" s="115" t="n">
        <v>127550.280000011</v>
      </c>
    </row>
    <row r="4454" customFormat="false" ht="15" hidden="false" customHeight="true" outlineLevel="0" collapsed="false">
      <c r="A4454" s="114" t="n">
        <v>5683840.01</v>
      </c>
      <c r="B4454" s="114" t="n">
        <v>5685120</v>
      </c>
      <c r="C4454" s="114" t="n">
        <v>127578.940000011</v>
      </c>
    </row>
    <row r="4455" customFormat="false" ht="15" hidden="false" customHeight="true" outlineLevel="0" collapsed="false">
      <c r="A4455" s="115" t="n">
        <v>5685120.01</v>
      </c>
      <c r="B4455" s="115" t="n">
        <v>5686400</v>
      </c>
      <c r="C4455" s="115" t="n">
        <v>127607.600000011</v>
      </c>
    </row>
    <row r="4456" customFormat="false" ht="15" hidden="false" customHeight="true" outlineLevel="0" collapsed="false">
      <c r="A4456" s="114" t="n">
        <v>5686400.01</v>
      </c>
      <c r="B4456" s="114" t="n">
        <v>5687680</v>
      </c>
      <c r="C4456" s="114" t="n">
        <v>127636.260000011</v>
      </c>
    </row>
    <row r="4457" customFormat="false" ht="15" hidden="false" customHeight="true" outlineLevel="0" collapsed="false">
      <c r="A4457" s="115" t="n">
        <v>5687680.01</v>
      </c>
      <c r="B4457" s="115" t="n">
        <v>5688960</v>
      </c>
      <c r="C4457" s="115" t="n">
        <v>127664.920000011</v>
      </c>
    </row>
    <row r="4458" customFormat="false" ht="15" hidden="false" customHeight="true" outlineLevel="0" collapsed="false">
      <c r="A4458" s="114" t="n">
        <v>5688960.01</v>
      </c>
      <c r="B4458" s="114" t="n">
        <v>5690240</v>
      </c>
      <c r="C4458" s="114" t="n">
        <v>127693.580000011</v>
      </c>
    </row>
    <row r="4459" customFormat="false" ht="15" hidden="false" customHeight="true" outlineLevel="0" collapsed="false">
      <c r="A4459" s="115" t="n">
        <v>5690240.01</v>
      </c>
      <c r="B4459" s="115" t="n">
        <v>5691520</v>
      </c>
      <c r="C4459" s="115" t="n">
        <v>127722.240000011</v>
      </c>
    </row>
    <row r="4460" customFormat="false" ht="15" hidden="false" customHeight="true" outlineLevel="0" collapsed="false">
      <c r="A4460" s="114" t="n">
        <v>5691520.01</v>
      </c>
      <c r="B4460" s="114" t="n">
        <v>5692800</v>
      </c>
      <c r="C4460" s="114" t="n">
        <v>127750.900000011</v>
      </c>
    </row>
    <row r="4461" customFormat="false" ht="15" hidden="false" customHeight="true" outlineLevel="0" collapsed="false">
      <c r="A4461" s="115" t="n">
        <v>5692800.01</v>
      </c>
      <c r="B4461" s="115" t="n">
        <v>5694080</v>
      </c>
      <c r="C4461" s="115" t="n">
        <v>127779.560000011</v>
      </c>
    </row>
    <row r="4462" customFormat="false" ht="15" hidden="false" customHeight="true" outlineLevel="0" collapsed="false">
      <c r="A4462" s="114" t="n">
        <v>5694080.01</v>
      </c>
      <c r="B4462" s="114" t="n">
        <v>5695360</v>
      </c>
      <c r="C4462" s="114" t="n">
        <v>127808.220000011</v>
      </c>
    </row>
    <row r="4463" customFormat="false" ht="15" hidden="false" customHeight="true" outlineLevel="0" collapsed="false">
      <c r="A4463" s="115" t="n">
        <v>5695360.01</v>
      </c>
      <c r="B4463" s="115" t="n">
        <v>5696640</v>
      </c>
      <c r="C4463" s="115" t="n">
        <v>127836.880000011</v>
      </c>
    </row>
    <row r="4464" customFormat="false" ht="15" hidden="false" customHeight="true" outlineLevel="0" collapsed="false">
      <c r="A4464" s="114" t="n">
        <v>5696640.01</v>
      </c>
      <c r="B4464" s="114" t="n">
        <v>5697920</v>
      </c>
      <c r="C4464" s="114" t="n">
        <v>127865.540000011</v>
      </c>
    </row>
    <row r="4465" customFormat="false" ht="15" hidden="false" customHeight="true" outlineLevel="0" collapsed="false">
      <c r="A4465" s="115" t="n">
        <v>5697920.01</v>
      </c>
      <c r="B4465" s="115" t="n">
        <v>5699200</v>
      </c>
      <c r="C4465" s="115" t="n">
        <v>127894.200000011</v>
      </c>
    </row>
    <row r="4466" customFormat="false" ht="15" hidden="false" customHeight="true" outlineLevel="0" collapsed="false">
      <c r="A4466" s="114" t="n">
        <v>5699200.01</v>
      </c>
      <c r="B4466" s="114" t="n">
        <v>5700480</v>
      </c>
      <c r="C4466" s="114" t="n">
        <v>127922.860000011</v>
      </c>
    </row>
    <row r="4467" customFormat="false" ht="15" hidden="false" customHeight="true" outlineLevel="0" collapsed="false">
      <c r="A4467" s="115" t="n">
        <v>5700480.01</v>
      </c>
      <c r="B4467" s="115" t="n">
        <v>5701760</v>
      </c>
      <c r="C4467" s="115" t="n">
        <v>127951.520000011</v>
      </c>
    </row>
    <row r="4468" customFormat="false" ht="15" hidden="false" customHeight="true" outlineLevel="0" collapsed="false">
      <c r="A4468" s="114" t="n">
        <v>5701760.01</v>
      </c>
      <c r="B4468" s="114" t="n">
        <v>5703040</v>
      </c>
      <c r="C4468" s="114" t="n">
        <v>127980.180000011</v>
      </c>
    </row>
    <row r="4469" customFormat="false" ht="15" hidden="false" customHeight="true" outlineLevel="0" collapsed="false">
      <c r="A4469" s="115" t="n">
        <v>5703040.01</v>
      </c>
      <c r="B4469" s="115" t="n">
        <v>5704320</v>
      </c>
      <c r="C4469" s="115" t="n">
        <v>128008.840000011</v>
      </c>
    </row>
    <row r="4470" customFormat="false" ht="15" hidden="false" customHeight="true" outlineLevel="0" collapsed="false">
      <c r="A4470" s="114" t="n">
        <v>5704320.01</v>
      </c>
      <c r="B4470" s="114" t="n">
        <v>5705600</v>
      </c>
      <c r="C4470" s="114" t="n">
        <v>128037.500000012</v>
      </c>
    </row>
    <row r="4471" customFormat="false" ht="15" hidden="false" customHeight="true" outlineLevel="0" collapsed="false">
      <c r="A4471" s="115" t="n">
        <v>5705600.01</v>
      </c>
      <c r="B4471" s="115" t="n">
        <v>5706880</v>
      </c>
      <c r="C4471" s="115" t="n">
        <v>128066.160000012</v>
      </c>
    </row>
    <row r="4472" customFormat="false" ht="15" hidden="false" customHeight="true" outlineLevel="0" collapsed="false">
      <c r="A4472" s="114" t="n">
        <v>5706880.01</v>
      </c>
      <c r="B4472" s="114" t="n">
        <v>5708160</v>
      </c>
      <c r="C4472" s="114" t="n">
        <v>128094.820000012</v>
      </c>
    </row>
    <row r="4473" customFormat="false" ht="15" hidden="false" customHeight="true" outlineLevel="0" collapsed="false">
      <c r="A4473" s="115" t="n">
        <v>5708160.01</v>
      </c>
      <c r="B4473" s="115" t="n">
        <v>5709440</v>
      </c>
      <c r="C4473" s="115" t="n">
        <v>128123.480000012</v>
      </c>
    </row>
    <row r="4474" customFormat="false" ht="15" hidden="false" customHeight="true" outlineLevel="0" collapsed="false">
      <c r="A4474" s="114" t="n">
        <v>5709440.01</v>
      </c>
      <c r="B4474" s="114" t="n">
        <v>5710720</v>
      </c>
      <c r="C4474" s="114" t="n">
        <v>128152.140000012</v>
      </c>
    </row>
    <row r="4475" customFormat="false" ht="15" hidden="false" customHeight="true" outlineLevel="0" collapsed="false">
      <c r="A4475" s="115" t="n">
        <v>5710720.01</v>
      </c>
      <c r="B4475" s="115" t="n">
        <v>5712000</v>
      </c>
      <c r="C4475" s="115" t="n">
        <v>128180.800000012</v>
      </c>
    </row>
    <row r="4476" customFormat="false" ht="15" hidden="false" customHeight="true" outlineLevel="0" collapsed="false">
      <c r="A4476" s="114" t="n">
        <v>5712000.01</v>
      </c>
      <c r="B4476" s="114" t="n">
        <v>5713280</v>
      </c>
      <c r="C4476" s="114" t="n">
        <v>128209.460000012</v>
      </c>
    </row>
    <row r="4477" customFormat="false" ht="15" hidden="false" customHeight="true" outlineLevel="0" collapsed="false">
      <c r="A4477" s="115" t="n">
        <v>5713280.01</v>
      </c>
      <c r="B4477" s="115" t="n">
        <v>5714560</v>
      </c>
      <c r="C4477" s="115" t="n">
        <v>128238.120000012</v>
      </c>
    </row>
    <row r="4478" customFormat="false" ht="15" hidden="false" customHeight="true" outlineLevel="0" collapsed="false">
      <c r="A4478" s="114" t="n">
        <v>5714560.01</v>
      </c>
      <c r="B4478" s="114" t="n">
        <v>5715840</v>
      </c>
      <c r="C4478" s="114" t="n">
        <v>128266.780000012</v>
      </c>
    </row>
    <row r="4479" customFormat="false" ht="15" hidden="false" customHeight="true" outlineLevel="0" collapsed="false">
      <c r="A4479" s="115" t="n">
        <v>5715840.01</v>
      </c>
      <c r="B4479" s="115" t="n">
        <v>5717120</v>
      </c>
      <c r="C4479" s="115" t="n">
        <v>128295.440000012</v>
      </c>
    </row>
    <row r="4480" customFormat="false" ht="15" hidden="false" customHeight="true" outlineLevel="0" collapsed="false">
      <c r="A4480" s="114" t="n">
        <v>5717120.01</v>
      </c>
      <c r="B4480" s="114" t="n">
        <v>5718400</v>
      </c>
      <c r="C4480" s="114" t="n">
        <v>128324.100000012</v>
      </c>
    </row>
    <row r="4481" customFormat="false" ht="15" hidden="false" customHeight="true" outlineLevel="0" collapsed="false">
      <c r="A4481" s="115" t="n">
        <v>5718400.01</v>
      </c>
      <c r="B4481" s="115" t="n">
        <v>5719680</v>
      </c>
      <c r="C4481" s="115" t="n">
        <v>128352.760000012</v>
      </c>
    </row>
    <row r="4482" customFormat="false" ht="15" hidden="false" customHeight="true" outlineLevel="0" collapsed="false">
      <c r="A4482" s="114" t="n">
        <v>5719680.01</v>
      </c>
      <c r="B4482" s="114" t="n">
        <v>5720960</v>
      </c>
      <c r="C4482" s="114" t="n">
        <v>128381.420000012</v>
      </c>
    </row>
    <row r="4483" customFormat="false" ht="15" hidden="false" customHeight="true" outlineLevel="0" collapsed="false">
      <c r="A4483" s="115" t="n">
        <v>5720960.01</v>
      </c>
      <c r="B4483" s="115" t="n">
        <v>5722240</v>
      </c>
      <c r="C4483" s="115" t="n">
        <v>128410.080000012</v>
      </c>
    </row>
    <row r="4484" customFormat="false" ht="15" hidden="false" customHeight="true" outlineLevel="0" collapsed="false">
      <c r="A4484" s="114" t="n">
        <v>5722240.01</v>
      </c>
      <c r="B4484" s="114" t="n">
        <v>5723520</v>
      </c>
      <c r="C4484" s="114" t="n">
        <v>128438.740000012</v>
      </c>
    </row>
    <row r="4485" customFormat="false" ht="15" hidden="false" customHeight="true" outlineLevel="0" collapsed="false">
      <c r="A4485" s="115" t="n">
        <v>5723520.01</v>
      </c>
      <c r="B4485" s="115" t="n">
        <v>5724800</v>
      </c>
      <c r="C4485" s="115" t="n">
        <v>128467.400000012</v>
      </c>
    </row>
    <row r="4486" customFormat="false" ht="15" hidden="false" customHeight="true" outlineLevel="0" collapsed="false">
      <c r="A4486" s="114" t="n">
        <v>5724800.01</v>
      </c>
      <c r="B4486" s="114" t="n">
        <v>5726080</v>
      </c>
      <c r="C4486" s="114" t="n">
        <v>128496.060000012</v>
      </c>
    </row>
    <row r="4487" customFormat="false" ht="15" hidden="false" customHeight="true" outlineLevel="0" collapsed="false">
      <c r="A4487" s="115" t="n">
        <v>5726080.01</v>
      </c>
      <c r="B4487" s="115" t="n">
        <v>5727360</v>
      </c>
      <c r="C4487" s="115" t="n">
        <v>128524.720000012</v>
      </c>
    </row>
    <row r="4488" customFormat="false" ht="15" hidden="false" customHeight="true" outlineLevel="0" collapsed="false">
      <c r="A4488" s="114" t="n">
        <v>5727360.01</v>
      </c>
      <c r="B4488" s="114" t="n">
        <v>5728640</v>
      </c>
      <c r="C4488" s="114" t="n">
        <v>128553.380000012</v>
      </c>
    </row>
    <row r="4489" customFormat="false" ht="15" hidden="false" customHeight="true" outlineLevel="0" collapsed="false">
      <c r="A4489" s="115" t="n">
        <v>5728640.01</v>
      </c>
      <c r="B4489" s="115" t="n">
        <v>5729920</v>
      </c>
      <c r="C4489" s="115" t="n">
        <v>128582.040000012</v>
      </c>
    </row>
    <row r="4490" customFormat="false" ht="15" hidden="false" customHeight="true" outlineLevel="0" collapsed="false">
      <c r="A4490" s="114" t="n">
        <v>5729920.01</v>
      </c>
      <c r="B4490" s="114" t="n">
        <v>5731200</v>
      </c>
      <c r="C4490" s="114" t="n">
        <v>128610.700000012</v>
      </c>
    </row>
    <row r="4491" customFormat="false" ht="15" hidden="false" customHeight="true" outlineLevel="0" collapsed="false">
      <c r="A4491" s="115" t="n">
        <v>5731200.01</v>
      </c>
      <c r="B4491" s="115" t="n">
        <v>5732480</v>
      </c>
      <c r="C4491" s="115" t="n">
        <v>128639.360000012</v>
      </c>
    </row>
    <row r="4492" customFormat="false" ht="15" hidden="false" customHeight="true" outlineLevel="0" collapsed="false">
      <c r="A4492" s="114" t="n">
        <v>5732480.01</v>
      </c>
      <c r="B4492" s="114" t="n">
        <v>5733760</v>
      </c>
      <c r="C4492" s="114" t="n">
        <v>128668.020000012</v>
      </c>
    </row>
    <row r="4493" customFormat="false" ht="15" hidden="false" customHeight="true" outlineLevel="0" collapsed="false">
      <c r="A4493" s="115" t="n">
        <v>5733760.01</v>
      </c>
      <c r="B4493" s="115" t="n">
        <v>5735040</v>
      </c>
      <c r="C4493" s="115" t="n">
        <v>128696.680000012</v>
      </c>
    </row>
    <row r="4494" customFormat="false" ht="15" hidden="false" customHeight="true" outlineLevel="0" collapsed="false">
      <c r="A4494" s="114" t="n">
        <v>5735040.01</v>
      </c>
      <c r="B4494" s="114" t="n">
        <v>5736320</v>
      </c>
      <c r="C4494" s="114" t="n">
        <v>128725.340000012</v>
      </c>
    </row>
    <row r="4495" customFormat="false" ht="15" hidden="false" customHeight="true" outlineLevel="0" collapsed="false">
      <c r="A4495" s="115" t="n">
        <v>5736320.01</v>
      </c>
      <c r="B4495" s="115" t="n">
        <v>5737600</v>
      </c>
      <c r="C4495" s="115" t="n">
        <v>128754.000000012</v>
      </c>
    </row>
    <row r="4496" customFormat="false" ht="15" hidden="false" customHeight="true" outlineLevel="0" collapsed="false">
      <c r="A4496" s="114" t="n">
        <v>5737600.01</v>
      </c>
      <c r="B4496" s="114" t="n">
        <v>5738880</v>
      </c>
      <c r="C4496" s="114" t="n">
        <v>128782.660000012</v>
      </c>
    </row>
    <row r="4497" customFormat="false" ht="15" hidden="false" customHeight="true" outlineLevel="0" collapsed="false">
      <c r="A4497" s="115" t="n">
        <v>5738880.01</v>
      </c>
      <c r="B4497" s="115" t="n">
        <v>5740160</v>
      </c>
      <c r="C4497" s="115" t="n">
        <v>128811.320000012</v>
      </c>
    </row>
    <row r="4498" customFormat="false" ht="15" hidden="false" customHeight="true" outlineLevel="0" collapsed="false">
      <c r="A4498" s="114" t="n">
        <v>5740160.01</v>
      </c>
      <c r="B4498" s="114" t="n">
        <v>5741440</v>
      </c>
      <c r="C4498" s="114" t="n">
        <v>128839.980000012</v>
      </c>
    </row>
    <row r="4499" customFormat="false" ht="15" hidden="false" customHeight="true" outlineLevel="0" collapsed="false">
      <c r="A4499" s="115" t="n">
        <v>5741440.01</v>
      </c>
      <c r="B4499" s="115" t="n">
        <v>5742720</v>
      </c>
      <c r="C4499" s="115" t="n">
        <v>128868.640000012</v>
      </c>
    </row>
    <row r="4500" customFormat="false" ht="15" hidden="false" customHeight="true" outlineLevel="0" collapsed="false">
      <c r="A4500" s="114" t="n">
        <v>5742720.01</v>
      </c>
      <c r="B4500" s="114" t="n">
        <v>5744000</v>
      </c>
      <c r="C4500" s="114" t="n">
        <v>128897.300000012</v>
      </c>
    </row>
    <row r="4501" customFormat="false" ht="15" hidden="false" customHeight="true" outlineLevel="0" collapsed="false">
      <c r="A4501" s="115" t="n">
        <v>5744000.01</v>
      </c>
      <c r="B4501" s="115" t="n">
        <v>5745280</v>
      </c>
      <c r="C4501" s="115" t="n">
        <v>128925.960000012</v>
      </c>
    </row>
    <row r="4502" customFormat="false" ht="15" hidden="false" customHeight="true" outlineLevel="0" collapsed="false">
      <c r="A4502" s="114" t="n">
        <v>5745280.01</v>
      </c>
      <c r="B4502" s="114" t="n">
        <v>5746560</v>
      </c>
      <c r="C4502" s="114" t="n">
        <v>128954.620000012</v>
      </c>
    </row>
    <row r="4503" customFormat="false" ht="15" hidden="false" customHeight="true" outlineLevel="0" collapsed="false">
      <c r="A4503" s="115" t="n">
        <v>5746560.01</v>
      </c>
      <c r="B4503" s="115" t="n">
        <v>5747840</v>
      </c>
      <c r="C4503" s="115" t="n">
        <v>128983.280000012</v>
      </c>
    </row>
    <row r="4504" customFormat="false" ht="15" hidden="false" customHeight="true" outlineLevel="0" collapsed="false">
      <c r="A4504" s="114" t="n">
        <v>5747840.01</v>
      </c>
      <c r="B4504" s="114" t="n">
        <v>5749120</v>
      </c>
      <c r="C4504" s="114" t="n">
        <v>129011.940000012</v>
      </c>
    </row>
    <row r="4505" customFormat="false" ht="15" hidden="false" customHeight="true" outlineLevel="0" collapsed="false">
      <c r="A4505" s="115" t="n">
        <v>5749120.01</v>
      </c>
      <c r="B4505" s="115" t="n">
        <v>5750400</v>
      </c>
      <c r="C4505" s="115" t="n">
        <v>129040.600000012</v>
      </c>
    </row>
    <row r="4506" customFormat="false" ht="15" hidden="false" customHeight="true" outlineLevel="0" collapsed="false">
      <c r="A4506" s="114" t="n">
        <v>5750400.01</v>
      </c>
      <c r="B4506" s="114" t="n">
        <v>5751680</v>
      </c>
      <c r="C4506" s="114" t="n">
        <v>129069.260000012</v>
      </c>
    </row>
    <row r="4507" customFormat="false" ht="15" hidden="false" customHeight="true" outlineLevel="0" collapsed="false">
      <c r="A4507" s="115" t="n">
        <v>5751680.01</v>
      </c>
      <c r="B4507" s="115" t="n">
        <v>5752960</v>
      </c>
      <c r="C4507" s="115" t="n">
        <v>129097.920000012</v>
      </c>
    </row>
    <row r="4508" customFormat="false" ht="15" hidden="false" customHeight="true" outlineLevel="0" collapsed="false">
      <c r="A4508" s="114" t="n">
        <v>5752960.01</v>
      </c>
      <c r="B4508" s="114" t="n">
        <v>5754240</v>
      </c>
      <c r="C4508" s="114" t="n">
        <v>129126.580000012</v>
      </c>
    </row>
    <row r="4509" customFormat="false" ht="15" hidden="false" customHeight="true" outlineLevel="0" collapsed="false">
      <c r="A4509" s="115" t="n">
        <v>5754240.01</v>
      </c>
      <c r="B4509" s="115" t="n">
        <v>5755520</v>
      </c>
      <c r="C4509" s="115" t="n">
        <v>129155.240000012</v>
      </c>
    </row>
    <row r="4510" customFormat="false" ht="15" hidden="false" customHeight="true" outlineLevel="0" collapsed="false">
      <c r="A4510" s="114" t="n">
        <v>5755520.01</v>
      </c>
      <c r="B4510" s="114" t="n">
        <v>5756800</v>
      </c>
      <c r="C4510" s="114" t="n">
        <v>129183.900000012</v>
      </c>
    </row>
    <row r="4511" customFormat="false" ht="15" hidden="false" customHeight="true" outlineLevel="0" collapsed="false">
      <c r="A4511" s="115" t="n">
        <v>5756800.01</v>
      </c>
      <c r="B4511" s="115" t="n">
        <v>5758080</v>
      </c>
      <c r="C4511" s="115" t="n">
        <v>129212.560000012</v>
      </c>
    </row>
    <row r="4512" customFormat="false" ht="15" hidden="false" customHeight="true" outlineLevel="0" collapsed="false">
      <c r="A4512" s="114" t="n">
        <v>5758080.01</v>
      </c>
      <c r="B4512" s="114" t="n">
        <v>5759360</v>
      </c>
      <c r="C4512" s="114" t="n">
        <v>129241.220000012</v>
      </c>
    </row>
    <row r="4513" customFormat="false" ht="15" hidden="false" customHeight="true" outlineLevel="0" collapsed="false">
      <c r="A4513" s="115" t="n">
        <v>5759360.01</v>
      </c>
      <c r="B4513" s="115" t="n">
        <v>5760640</v>
      </c>
      <c r="C4513" s="115" t="n">
        <v>129269.880000012</v>
      </c>
    </row>
    <row r="4514" customFormat="false" ht="15" hidden="false" customHeight="true" outlineLevel="0" collapsed="false">
      <c r="A4514" s="114" t="n">
        <v>5760640.01</v>
      </c>
      <c r="B4514" s="114" t="n">
        <v>5761920</v>
      </c>
      <c r="C4514" s="114" t="n">
        <v>129298.540000012</v>
      </c>
    </row>
    <row r="4515" customFormat="false" ht="15" hidden="false" customHeight="true" outlineLevel="0" collapsed="false">
      <c r="A4515" s="115" t="n">
        <v>5761920.01</v>
      </c>
      <c r="B4515" s="115" t="n">
        <v>5763200</v>
      </c>
      <c r="C4515" s="115" t="n">
        <v>129327.200000012</v>
      </c>
    </row>
    <row r="4516" customFormat="false" ht="15" hidden="false" customHeight="true" outlineLevel="0" collapsed="false">
      <c r="A4516" s="114" t="n">
        <v>5763200.01</v>
      </c>
      <c r="B4516" s="114" t="n">
        <v>5764480</v>
      </c>
      <c r="C4516" s="114" t="n">
        <v>129355.860000012</v>
      </c>
    </row>
    <row r="4517" customFormat="false" ht="15" hidden="false" customHeight="true" outlineLevel="0" collapsed="false">
      <c r="A4517" s="115" t="n">
        <v>5764480.01</v>
      </c>
      <c r="B4517" s="115" t="n">
        <v>5765760</v>
      </c>
      <c r="C4517" s="115" t="n">
        <v>129384.520000012</v>
      </c>
    </row>
    <row r="4518" customFormat="false" ht="15" hidden="false" customHeight="true" outlineLevel="0" collapsed="false">
      <c r="A4518" s="114" t="n">
        <v>5765760.01</v>
      </c>
      <c r="B4518" s="114" t="n">
        <v>5767040</v>
      </c>
      <c r="C4518" s="114" t="n">
        <v>129413.180000012</v>
      </c>
    </row>
    <row r="4519" customFormat="false" ht="15" hidden="false" customHeight="true" outlineLevel="0" collapsed="false">
      <c r="A4519" s="115" t="n">
        <v>5767040.01</v>
      </c>
      <c r="B4519" s="115" t="n">
        <v>5768320</v>
      </c>
      <c r="C4519" s="115" t="n">
        <v>129441.840000012</v>
      </c>
    </row>
    <row r="4520" customFormat="false" ht="15" hidden="false" customHeight="true" outlineLevel="0" collapsed="false">
      <c r="A4520" s="114" t="n">
        <v>5768320.01</v>
      </c>
      <c r="B4520" s="114" t="n">
        <v>5769600</v>
      </c>
      <c r="C4520" s="114" t="n">
        <v>129470.500000012</v>
      </c>
    </row>
    <row r="4521" customFormat="false" ht="15" hidden="false" customHeight="true" outlineLevel="0" collapsed="false">
      <c r="A4521" s="115" t="n">
        <v>5769600.01</v>
      </c>
      <c r="B4521" s="115" t="n">
        <v>5770880</v>
      </c>
      <c r="C4521" s="115" t="n">
        <v>129499.160000012</v>
      </c>
    </row>
    <row r="4522" customFormat="false" ht="15" hidden="false" customHeight="true" outlineLevel="0" collapsed="false">
      <c r="A4522" s="114" t="n">
        <v>5770880.01</v>
      </c>
      <c r="B4522" s="114" t="n">
        <v>5772160</v>
      </c>
      <c r="C4522" s="114" t="n">
        <v>129527.820000012</v>
      </c>
    </row>
    <row r="4523" customFormat="false" ht="15" hidden="false" customHeight="true" outlineLevel="0" collapsed="false">
      <c r="A4523" s="115" t="n">
        <v>5772160.01</v>
      </c>
      <c r="B4523" s="115" t="n">
        <v>5773440</v>
      </c>
      <c r="C4523" s="115" t="n">
        <v>129556.480000012</v>
      </c>
    </row>
    <row r="4524" customFormat="false" ht="15" hidden="false" customHeight="true" outlineLevel="0" collapsed="false">
      <c r="A4524" s="114" t="n">
        <v>5773440.01</v>
      </c>
      <c r="B4524" s="114" t="n">
        <v>5774720</v>
      </c>
      <c r="C4524" s="114" t="n">
        <v>129585.140000012</v>
      </c>
    </row>
    <row r="4525" customFormat="false" ht="15" hidden="false" customHeight="true" outlineLevel="0" collapsed="false">
      <c r="A4525" s="115" t="n">
        <v>5774720.01</v>
      </c>
      <c r="B4525" s="115" t="n">
        <v>5776000</v>
      </c>
      <c r="C4525" s="115" t="n">
        <v>129613.800000012</v>
      </c>
    </row>
    <row r="4526" customFormat="false" ht="15" hidden="false" customHeight="true" outlineLevel="0" collapsed="false">
      <c r="A4526" s="114" t="n">
        <v>5776000.01</v>
      </c>
      <c r="B4526" s="114" t="n">
        <v>5777280</v>
      </c>
      <c r="C4526" s="114" t="n">
        <v>129642.460000012</v>
      </c>
    </row>
    <row r="4527" customFormat="false" ht="15" hidden="false" customHeight="true" outlineLevel="0" collapsed="false">
      <c r="A4527" s="115" t="n">
        <v>5777280.01</v>
      </c>
      <c r="B4527" s="115" t="n">
        <v>5778560</v>
      </c>
      <c r="C4527" s="115" t="n">
        <v>129671.120000012</v>
      </c>
    </row>
    <row r="4528" customFormat="false" ht="15" hidden="false" customHeight="true" outlineLevel="0" collapsed="false">
      <c r="A4528" s="114" t="n">
        <v>5778560.01</v>
      </c>
      <c r="B4528" s="114" t="n">
        <v>5779840</v>
      </c>
      <c r="C4528" s="114" t="n">
        <v>129699.780000012</v>
      </c>
    </row>
    <row r="4529" customFormat="false" ht="15" hidden="false" customHeight="true" outlineLevel="0" collapsed="false">
      <c r="A4529" s="115" t="n">
        <v>5779840.01</v>
      </c>
      <c r="B4529" s="115" t="n">
        <v>5781120</v>
      </c>
      <c r="C4529" s="115" t="n">
        <v>129728.440000012</v>
      </c>
    </row>
    <row r="4530" customFormat="false" ht="15" hidden="false" customHeight="true" outlineLevel="0" collapsed="false">
      <c r="A4530" s="114" t="n">
        <v>5781120.01</v>
      </c>
      <c r="B4530" s="114" t="n">
        <v>5782400</v>
      </c>
      <c r="C4530" s="114" t="n">
        <v>129757.100000012</v>
      </c>
    </row>
    <row r="4531" customFormat="false" ht="15" hidden="false" customHeight="true" outlineLevel="0" collapsed="false">
      <c r="A4531" s="115" t="n">
        <v>5782400.01</v>
      </c>
      <c r="B4531" s="115" t="n">
        <v>5783680</v>
      </c>
      <c r="C4531" s="115" t="n">
        <v>129785.760000012</v>
      </c>
    </row>
    <row r="4532" customFormat="false" ht="15" hidden="false" customHeight="true" outlineLevel="0" collapsed="false">
      <c r="A4532" s="114" t="n">
        <v>5783680.01</v>
      </c>
      <c r="B4532" s="114" t="n">
        <v>5784960</v>
      </c>
      <c r="C4532" s="114" t="n">
        <v>129814.420000012</v>
      </c>
    </row>
    <row r="4533" customFormat="false" ht="15" hidden="false" customHeight="true" outlineLevel="0" collapsed="false">
      <c r="A4533" s="115" t="n">
        <v>5784960.01</v>
      </c>
      <c r="B4533" s="115" t="n">
        <v>5786240</v>
      </c>
      <c r="C4533" s="115" t="n">
        <v>129843.080000012</v>
      </c>
    </row>
    <row r="4534" customFormat="false" ht="15" hidden="false" customHeight="true" outlineLevel="0" collapsed="false">
      <c r="A4534" s="114" t="n">
        <v>5786240.01</v>
      </c>
      <c r="B4534" s="114" t="n">
        <v>5787520</v>
      </c>
      <c r="C4534" s="114" t="n">
        <v>129871.740000012</v>
      </c>
    </row>
    <row r="4535" customFormat="false" ht="15" hidden="false" customHeight="true" outlineLevel="0" collapsed="false">
      <c r="A4535" s="115" t="n">
        <v>5787520.01</v>
      </c>
      <c r="B4535" s="115" t="n">
        <v>5788800</v>
      </c>
      <c r="C4535" s="115" t="n">
        <v>129900.400000012</v>
      </c>
    </row>
    <row r="4536" customFormat="false" ht="15" hidden="false" customHeight="true" outlineLevel="0" collapsed="false">
      <c r="A4536" s="114" t="n">
        <v>5788800.01</v>
      </c>
      <c r="B4536" s="114" t="n">
        <v>5790080</v>
      </c>
      <c r="C4536" s="114" t="n">
        <v>129929.060000012</v>
      </c>
    </row>
    <row r="4537" customFormat="false" ht="15" hidden="false" customHeight="true" outlineLevel="0" collapsed="false">
      <c r="A4537" s="115" t="n">
        <v>5790080.01</v>
      </c>
      <c r="B4537" s="115" t="n">
        <v>5791360</v>
      </c>
      <c r="C4537" s="115" t="n">
        <v>129957.720000012</v>
      </c>
    </row>
    <row r="4538" customFormat="false" ht="15" hidden="false" customHeight="true" outlineLevel="0" collapsed="false">
      <c r="A4538" s="114" t="n">
        <v>5791360.01</v>
      </c>
      <c r="B4538" s="114" t="n">
        <v>5792640</v>
      </c>
      <c r="C4538" s="114" t="n">
        <v>129986.380000012</v>
      </c>
    </row>
    <row r="4539" customFormat="false" ht="15" hidden="false" customHeight="true" outlineLevel="0" collapsed="false">
      <c r="A4539" s="115" t="n">
        <v>5792640.01</v>
      </c>
      <c r="B4539" s="115" t="n">
        <v>5793920</v>
      </c>
      <c r="C4539" s="115" t="n">
        <v>130015.040000012</v>
      </c>
    </row>
    <row r="4540" customFormat="false" ht="15" hidden="false" customHeight="true" outlineLevel="0" collapsed="false">
      <c r="A4540" s="114" t="n">
        <v>5793920.01</v>
      </c>
      <c r="B4540" s="114" t="n">
        <v>5795200</v>
      </c>
      <c r="C4540" s="114" t="n">
        <v>130043.700000012</v>
      </c>
    </row>
    <row r="4541" customFormat="false" ht="15" hidden="false" customHeight="true" outlineLevel="0" collapsed="false">
      <c r="A4541" s="115" t="n">
        <v>5795200.01</v>
      </c>
      <c r="B4541" s="115" t="n">
        <v>5796480</v>
      </c>
      <c r="C4541" s="115" t="n">
        <v>130072.360000012</v>
      </c>
    </row>
    <row r="4542" customFormat="false" ht="15" hidden="false" customHeight="true" outlineLevel="0" collapsed="false">
      <c r="A4542" s="114" t="n">
        <v>5796480.01</v>
      </c>
      <c r="B4542" s="114" t="n">
        <v>5797760</v>
      </c>
      <c r="C4542" s="114" t="n">
        <v>130101.020000012</v>
      </c>
    </row>
    <row r="4543" customFormat="false" ht="15" hidden="false" customHeight="true" outlineLevel="0" collapsed="false">
      <c r="A4543" s="115" t="n">
        <v>5797760.01</v>
      </c>
      <c r="B4543" s="115" t="n">
        <v>5799040</v>
      </c>
      <c r="C4543" s="115" t="n">
        <v>130129.680000012</v>
      </c>
    </row>
    <row r="4544" customFormat="false" ht="15" hidden="false" customHeight="true" outlineLevel="0" collapsed="false">
      <c r="A4544" s="114" t="n">
        <v>5799040.01</v>
      </c>
      <c r="B4544" s="114" t="n">
        <v>5800320</v>
      </c>
      <c r="C4544" s="114" t="n">
        <v>130158.340000012</v>
      </c>
    </row>
    <row r="4545" customFormat="false" ht="15" hidden="false" customHeight="true" outlineLevel="0" collapsed="false">
      <c r="A4545" s="115" t="n">
        <v>5800320.01</v>
      </c>
      <c r="B4545" s="115" t="n">
        <v>5801600</v>
      </c>
      <c r="C4545" s="115" t="n">
        <v>130187.000000012</v>
      </c>
    </row>
    <row r="4546" customFormat="false" ht="15" hidden="false" customHeight="true" outlineLevel="0" collapsed="false">
      <c r="A4546" s="114" t="n">
        <v>5801600.01</v>
      </c>
      <c r="B4546" s="114" t="n">
        <v>5802880</v>
      </c>
      <c r="C4546" s="114" t="n">
        <v>130215.660000012</v>
      </c>
    </row>
    <row r="4547" customFormat="false" ht="15" hidden="false" customHeight="true" outlineLevel="0" collapsed="false">
      <c r="A4547" s="115" t="n">
        <v>5802880.01</v>
      </c>
      <c r="B4547" s="115" t="n">
        <v>5804160</v>
      </c>
      <c r="C4547" s="115" t="n">
        <v>130244.320000012</v>
      </c>
    </row>
    <row r="4548" customFormat="false" ht="15" hidden="false" customHeight="true" outlineLevel="0" collapsed="false">
      <c r="A4548" s="114" t="n">
        <v>5804160.01</v>
      </c>
      <c r="B4548" s="114" t="n">
        <v>5805440</v>
      </c>
      <c r="C4548" s="114" t="n">
        <v>130272.980000012</v>
      </c>
    </row>
    <row r="4549" customFormat="false" ht="15" hidden="false" customHeight="true" outlineLevel="0" collapsed="false">
      <c r="A4549" s="115" t="n">
        <v>5805440.01</v>
      </c>
      <c r="B4549" s="115" t="n">
        <v>5806720</v>
      </c>
      <c r="C4549" s="115" t="n">
        <v>130301.640000012</v>
      </c>
    </row>
    <row r="4550" customFormat="false" ht="15" hidden="false" customHeight="true" outlineLevel="0" collapsed="false">
      <c r="A4550" s="114" t="n">
        <v>5806720.01</v>
      </c>
      <c r="B4550" s="114" t="n">
        <v>5808000</v>
      </c>
      <c r="C4550" s="114" t="n">
        <v>130330.300000012</v>
      </c>
    </row>
    <row r="4551" customFormat="false" ht="15" hidden="false" customHeight="true" outlineLevel="0" collapsed="false">
      <c r="A4551" s="115" t="n">
        <v>5808000.01</v>
      </c>
      <c r="B4551" s="115" t="n">
        <v>5809280</v>
      </c>
      <c r="C4551" s="115" t="n">
        <v>130358.960000012</v>
      </c>
    </row>
    <row r="4552" customFormat="false" ht="15" hidden="false" customHeight="true" outlineLevel="0" collapsed="false">
      <c r="A4552" s="114" t="n">
        <v>5809280.01</v>
      </c>
      <c r="B4552" s="114" t="n">
        <v>5810560</v>
      </c>
      <c r="C4552" s="114" t="n">
        <v>130387.620000012</v>
      </c>
    </row>
    <row r="4553" customFormat="false" ht="15" hidden="false" customHeight="true" outlineLevel="0" collapsed="false">
      <c r="A4553" s="115" t="n">
        <v>5810560.01</v>
      </c>
      <c r="B4553" s="115" t="n">
        <v>5811840</v>
      </c>
      <c r="C4553" s="115" t="n">
        <v>130416.280000012</v>
      </c>
    </row>
    <row r="4554" customFormat="false" ht="15" hidden="false" customHeight="true" outlineLevel="0" collapsed="false">
      <c r="A4554" s="114" t="n">
        <v>5811840.01</v>
      </c>
      <c r="B4554" s="114" t="n">
        <v>5813120</v>
      </c>
      <c r="C4554" s="114" t="n">
        <v>130444.940000012</v>
      </c>
    </row>
    <row r="4555" customFormat="false" ht="15" hidden="false" customHeight="true" outlineLevel="0" collapsed="false">
      <c r="A4555" s="115" t="n">
        <v>5813120.01</v>
      </c>
      <c r="B4555" s="115" t="n">
        <v>5814400</v>
      </c>
      <c r="C4555" s="115" t="n">
        <v>130473.600000012</v>
      </c>
    </row>
    <row r="4556" customFormat="false" ht="15" hidden="false" customHeight="true" outlineLevel="0" collapsed="false">
      <c r="A4556" s="114" t="n">
        <v>5814400.01</v>
      </c>
      <c r="B4556" s="114" t="n">
        <v>5815680</v>
      </c>
      <c r="C4556" s="114" t="n">
        <v>130502.260000012</v>
      </c>
    </row>
    <row r="4557" customFormat="false" ht="15" hidden="false" customHeight="true" outlineLevel="0" collapsed="false">
      <c r="A4557" s="115" t="n">
        <v>5815680.01</v>
      </c>
      <c r="B4557" s="115" t="n">
        <v>5816960</v>
      </c>
      <c r="C4557" s="115" t="n">
        <v>130530.920000012</v>
      </c>
    </row>
    <row r="4558" customFormat="false" ht="15" hidden="false" customHeight="true" outlineLevel="0" collapsed="false">
      <c r="A4558" s="114" t="n">
        <v>5816960.01</v>
      </c>
      <c r="B4558" s="114" t="n">
        <v>5818240</v>
      </c>
      <c r="C4558" s="114" t="n">
        <v>130559.580000012</v>
      </c>
    </row>
    <row r="4559" customFormat="false" ht="15" hidden="false" customHeight="true" outlineLevel="0" collapsed="false">
      <c r="A4559" s="115" t="n">
        <v>5818240.01</v>
      </c>
      <c r="B4559" s="115" t="n">
        <v>5819520</v>
      </c>
      <c r="C4559" s="115" t="n">
        <v>130588.240000012</v>
      </c>
    </row>
    <row r="4560" customFormat="false" ht="15" hidden="false" customHeight="true" outlineLevel="0" collapsed="false">
      <c r="A4560" s="114" t="n">
        <v>5819520.01</v>
      </c>
      <c r="B4560" s="114" t="n">
        <v>5820800</v>
      </c>
      <c r="C4560" s="114" t="n">
        <v>130616.900000012</v>
      </c>
    </row>
    <row r="4561" customFormat="false" ht="15" hidden="false" customHeight="true" outlineLevel="0" collapsed="false">
      <c r="A4561" s="115" t="n">
        <v>5820800.01</v>
      </c>
      <c r="B4561" s="115" t="n">
        <v>5822080</v>
      </c>
      <c r="C4561" s="115" t="n">
        <v>130645.560000012</v>
      </c>
    </row>
    <row r="4562" customFormat="false" ht="15" hidden="false" customHeight="true" outlineLevel="0" collapsed="false">
      <c r="A4562" s="114" t="n">
        <v>5822080.01</v>
      </c>
      <c r="B4562" s="114" t="n">
        <v>5823360</v>
      </c>
      <c r="C4562" s="114" t="n">
        <v>130674.220000012</v>
      </c>
    </row>
    <row r="4563" customFormat="false" ht="15" hidden="false" customHeight="true" outlineLevel="0" collapsed="false">
      <c r="A4563" s="115" t="n">
        <v>5823360.01</v>
      </c>
      <c r="B4563" s="115" t="n">
        <v>5824640</v>
      </c>
      <c r="C4563" s="115" t="n">
        <v>130702.880000012</v>
      </c>
    </row>
    <row r="4564" customFormat="false" ht="15" hidden="false" customHeight="true" outlineLevel="0" collapsed="false">
      <c r="A4564" s="114" t="n">
        <v>5824640.01</v>
      </c>
      <c r="B4564" s="114" t="n">
        <v>5825920</v>
      </c>
      <c r="C4564" s="114" t="n">
        <v>130731.540000012</v>
      </c>
    </row>
    <row r="4565" customFormat="false" ht="15" hidden="false" customHeight="true" outlineLevel="0" collapsed="false">
      <c r="A4565" s="115" t="n">
        <v>5825920.01</v>
      </c>
      <c r="B4565" s="115" t="n">
        <v>5827200</v>
      </c>
      <c r="C4565" s="115" t="n">
        <v>130760.200000012</v>
      </c>
    </row>
    <row r="4566" customFormat="false" ht="15" hidden="false" customHeight="true" outlineLevel="0" collapsed="false">
      <c r="A4566" s="114" t="n">
        <v>5827200.01</v>
      </c>
      <c r="B4566" s="114" t="n">
        <v>5828480</v>
      </c>
      <c r="C4566" s="114" t="n">
        <v>130788.860000012</v>
      </c>
    </row>
    <row r="4567" customFormat="false" ht="15" hidden="false" customHeight="true" outlineLevel="0" collapsed="false">
      <c r="A4567" s="115" t="n">
        <v>5828480.01</v>
      </c>
      <c r="B4567" s="115" t="n">
        <v>5829760</v>
      </c>
      <c r="C4567" s="115" t="n">
        <v>130817.520000012</v>
      </c>
    </row>
    <row r="4568" customFormat="false" ht="15" hidden="false" customHeight="true" outlineLevel="0" collapsed="false">
      <c r="A4568" s="114" t="n">
        <v>5829760.01</v>
      </c>
      <c r="B4568" s="114" t="n">
        <v>5831040</v>
      </c>
      <c r="C4568" s="114" t="n">
        <v>130846.180000012</v>
      </c>
    </row>
    <row r="4569" customFormat="false" ht="15" hidden="false" customHeight="true" outlineLevel="0" collapsed="false">
      <c r="A4569" s="115" t="n">
        <v>5831040.01</v>
      </c>
      <c r="B4569" s="115" t="n">
        <v>5832320</v>
      </c>
      <c r="C4569" s="115" t="n">
        <v>130874.840000012</v>
      </c>
    </row>
    <row r="4570" customFormat="false" ht="15" hidden="false" customHeight="true" outlineLevel="0" collapsed="false">
      <c r="A4570" s="114" t="n">
        <v>5832320.01</v>
      </c>
      <c r="B4570" s="114" t="n">
        <v>5833600</v>
      </c>
      <c r="C4570" s="114" t="n">
        <v>130903.500000012</v>
      </c>
    </row>
    <row r="4571" customFormat="false" ht="15" hidden="false" customHeight="true" outlineLevel="0" collapsed="false">
      <c r="A4571" s="115" t="n">
        <v>5833600.01</v>
      </c>
      <c r="B4571" s="115" t="n">
        <v>5834880</v>
      </c>
      <c r="C4571" s="115" t="n">
        <v>130932.160000012</v>
      </c>
    </row>
    <row r="4572" customFormat="false" ht="15" hidden="false" customHeight="true" outlineLevel="0" collapsed="false">
      <c r="A4572" s="114" t="n">
        <v>5834880.01</v>
      </c>
      <c r="B4572" s="114" t="n">
        <v>5836160</v>
      </c>
      <c r="C4572" s="114" t="n">
        <v>130960.820000012</v>
      </c>
    </row>
    <row r="4573" customFormat="false" ht="15" hidden="false" customHeight="true" outlineLevel="0" collapsed="false">
      <c r="A4573" s="115" t="n">
        <v>5836160.01</v>
      </c>
      <c r="B4573" s="115" t="n">
        <v>5837440</v>
      </c>
      <c r="C4573" s="115" t="n">
        <v>130989.480000012</v>
      </c>
    </row>
    <row r="4574" customFormat="false" ht="15" hidden="false" customHeight="true" outlineLevel="0" collapsed="false">
      <c r="A4574" s="114" t="n">
        <v>5837440.01</v>
      </c>
      <c r="B4574" s="114" t="n">
        <v>5838720</v>
      </c>
      <c r="C4574" s="114" t="n">
        <v>131018.140000012</v>
      </c>
    </row>
    <row r="4575" customFormat="false" ht="15" hidden="false" customHeight="true" outlineLevel="0" collapsed="false">
      <c r="A4575" s="115" t="n">
        <v>5838720.01</v>
      </c>
      <c r="B4575" s="115" t="n">
        <v>5840000</v>
      </c>
      <c r="C4575" s="115" t="n">
        <v>131046.800000012</v>
      </c>
    </row>
    <row r="4576" customFormat="false" ht="15" hidden="false" customHeight="true" outlineLevel="0" collapsed="false">
      <c r="A4576" s="114" t="n">
        <v>5840000.01</v>
      </c>
      <c r="B4576" s="114" t="n">
        <v>5841280</v>
      </c>
      <c r="C4576" s="114" t="n">
        <v>131075.460000012</v>
      </c>
    </row>
    <row r="4577" customFormat="false" ht="15" hidden="false" customHeight="true" outlineLevel="0" collapsed="false">
      <c r="A4577" s="115" t="n">
        <v>5841280.01</v>
      </c>
      <c r="B4577" s="115" t="n">
        <v>5842560</v>
      </c>
      <c r="C4577" s="115" t="n">
        <v>131104.120000012</v>
      </c>
    </row>
    <row r="4578" customFormat="false" ht="15" hidden="false" customHeight="true" outlineLevel="0" collapsed="false">
      <c r="A4578" s="114" t="n">
        <v>5842560.01</v>
      </c>
      <c r="B4578" s="114" t="n">
        <v>5843840</v>
      </c>
      <c r="C4578" s="114" t="n">
        <v>131132.780000012</v>
      </c>
    </row>
    <row r="4579" customFormat="false" ht="15" hidden="false" customHeight="true" outlineLevel="0" collapsed="false">
      <c r="A4579" s="115" t="n">
        <v>5843840.01</v>
      </c>
      <c r="B4579" s="115" t="n">
        <v>5845120</v>
      </c>
      <c r="C4579" s="115" t="n">
        <v>131161.440000012</v>
      </c>
    </row>
    <row r="4580" customFormat="false" ht="15" hidden="false" customHeight="true" outlineLevel="0" collapsed="false">
      <c r="A4580" s="114" t="n">
        <v>5845120.01</v>
      </c>
      <c r="B4580" s="114" t="n">
        <v>5846400</v>
      </c>
      <c r="C4580" s="114" t="n">
        <v>131190.100000012</v>
      </c>
    </row>
    <row r="4581" customFormat="false" ht="15" hidden="false" customHeight="true" outlineLevel="0" collapsed="false">
      <c r="A4581" s="115" t="n">
        <v>5846400.01</v>
      </c>
      <c r="B4581" s="115" t="n">
        <v>5847680</v>
      </c>
      <c r="C4581" s="115" t="n">
        <v>131218.760000012</v>
      </c>
    </row>
    <row r="4582" customFormat="false" ht="15" hidden="false" customHeight="true" outlineLevel="0" collapsed="false">
      <c r="A4582" s="114" t="n">
        <v>5847680.01</v>
      </c>
      <c r="B4582" s="114" t="n">
        <v>5848960</v>
      </c>
      <c r="C4582" s="114" t="n">
        <v>131247.420000012</v>
      </c>
    </row>
    <row r="4583" customFormat="false" ht="15" hidden="false" customHeight="true" outlineLevel="0" collapsed="false">
      <c r="A4583" s="115" t="n">
        <v>5848960.01</v>
      </c>
      <c r="B4583" s="115" t="n">
        <v>5850240</v>
      </c>
      <c r="C4583" s="115" t="n">
        <v>131276.080000012</v>
      </c>
    </row>
    <row r="4584" customFormat="false" ht="15" hidden="false" customHeight="true" outlineLevel="0" collapsed="false">
      <c r="A4584" s="114" t="n">
        <v>5850240.01</v>
      </c>
      <c r="B4584" s="114" t="n">
        <v>5851520</v>
      </c>
      <c r="C4584" s="114" t="n">
        <v>131304.740000012</v>
      </c>
    </row>
    <row r="4585" customFormat="false" ht="15" hidden="false" customHeight="true" outlineLevel="0" collapsed="false">
      <c r="A4585" s="115" t="n">
        <v>5851520.01</v>
      </c>
      <c r="B4585" s="115" t="n">
        <v>5852800</v>
      </c>
      <c r="C4585" s="115" t="n">
        <v>131333.400000012</v>
      </c>
    </row>
    <row r="4586" customFormat="false" ht="15" hidden="false" customHeight="true" outlineLevel="0" collapsed="false">
      <c r="A4586" s="114" t="n">
        <v>5852800.01</v>
      </c>
      <c r="B4586" s="114" t="n">
        <v>5854080</v>
      </c>
      <c r="C4586" s="114" t="n">
        <v>131362.060000012</v>
      </c>
    </row>
    <row r="4587" customFormat="false" ht="15" hidden="false" customHeight="true" outlineLevel="0" collapsed="false">
      <c r="A4587" s="115" t="n">
        <v>5854080.01</v>
      </c>
      <c r="B4587" s="115" t="n">
        <v>5855360</v>
      </c>
      <c r="C4587" s="115" t="n">
        <v>131390.720000012</v>
      </c>
    </row>
    <row r="4588" customFormat="false" ht="15" hidden="false" customHeight="true" outlineLevel="0" collapsed="false">
      <c r="A4588" s="114" t="n">
        <v>5855360.01</v>
      </c>
      <c r="B4588" s="114" t="n">
        <v>5856640</v>
      </c>
      <c r="C4588" s="114" t="n">
        <v>131419.380000012</v>
      </c>
    </row>
    <row r="4589" customFormat="false" ht="15" hidden="false" customHeight="true" outlineLevel="0" collapsed="false">
      <c r="A4589" s="115" t="n">
        <v>5856640.01</v>
      </c>
      <c r="B4589" s="115" t="n">
        <v>5857920</v>
      </c>
      <c r="C4589" s="115" t="n">
        <v>131448.040000012</v>
      </c>
    </row>
    <row r="4590" customFormat="false" ht="15" hidden="false" customHeight="true" outlineLevel="0" collapsed="false">
      <c r="A4590" s="114" t="n">
        <v>5857920.01</v>
      </c>
      <c r="B4590" s="114" t="n">
        <v>5859200</v>
      </c>
      <c r="C4590" s="114" t="n">
        <v>131476.700000012</v>
      </c>
    </row>
    <row r="4591" customFormat="false" ht="15" hidden="false" customHeight="true" outlineLevel="0" collapsed="false">
      <c r="A4591" s="115" t="n">
        <v>5859200.01</v>
      </c>
      <c r="B4591" s="115" t="n">
        <v>5860480</v>
      </c>
      <c r="C4591" s="115" t="n">
        <v>131505.360000012</v>
      </c>
    </row>
    <row r="4592" customFormat="false" ht="15" hidden="false" customHeight="true" outlineLevel="0" collapsed="false">
      <c r="A4592" s="114" t="n">
        <v>5860480.01</v>
      </c>
      <c r="B4592" s="114" t="n">
        <v>5861760</v>
      </c>
      <c r="C4592" s="114" t="n">
        <v>131534.020000012</v>
      </c>
    </row>
    <row r="4593" customFormat="false" ht="15" hidden="false" customHeight="true" outlineLevel="0" collapsed="false">
      <c r="A4593" s="115" t="n">
        <v>5861760.01</v>
      </c>
      <c r="B4593" s="115" t="n">
        <v>5863040</v>
      </c>
      <c r="C4593" s="115" t="n">
        <v>131562.680000012</v>
      </c>
    </row>
    <row r="4594" customFormat="false" ht="15" hidden="false" customHeight="true" outlineLevel="0" collapsed="false">
      <c r="A4594" s="114" t="n">
        <v>5863040.01</v>
      </c>
      <c r="B4594" s="114" t="n">
        <v>5864320</v>
      </c>
      <c r="C4594" s="114" t="n">
        <v>131591.340000012</v>
      </c>
    </row>
    <row r="4595" customFormat="false" ht="15" hidden="false" customHeight="true" outlineLevel="0" collapsed="false">
      <c r="A4595" s="115" t="n">
        <v>5864320.01</v>
      </c>
      <c r="B4595" s="115" t="n">
        <v>5865600</v>
      </c>
      <c r="C4595" s="115" t="n">
        <v>131620.000000012</v>
      </c>
    </row>
    <row r="4596" customFormat="false" ht="15" hidden="false" customHeight="true" outlineLevel="0" collapsed="false">
      <c r="A4596" s="114" t="n">
        <v>5865600.01</v>
      </c>
      <c r="B4596" s="114" t="n">
        <v>5866880</v>
      </c>
      <c r="C4596" s="114" t="n">
        <v>131648.660000012</v>
      </c>
    </row>
    <row r="4597" customFormat="false" ht="15" hidden="false" customHeight="true" outlineLevel="0" collapsed="false">
      <c r="A4597" s="115" t="n">
        <v>5866880.01</v>
      </c>
      <c r="B4597" s="115" t="n">
        <v>5868160</v>
      </c>
      <c r="C4597" s="115" t="n">
        <v>131677.320000012</v>
      </c>
    </row>
    <row r="4598" customFormat="false" ht="15" hidden="false" customHeight="true" outlineLevel="0" collapsed="false">
      <c r="A4598" s="114" t="n">
        <v>5868160.01</v>
      </c>
      <c r="B4598" s="114" t="n">
        <v>5869440</v>
      </c>
      <c r="C4598" s="114" t="n">
        <v>131705.980000012</v>
      </c>
    </row>
    <row r="4599" customFormat="false" ht="15" hidden="false" customHeight="true" outlineLevel="0" collapsed="false">
      <c r="A4599" s="115" t="n">
        <v>5869440.01</v>
      </c>
      <c r="B4599" s="115" t="n">
        <v>5870720</v>
      </c>
      <c r="C4599" s="115" t="n">
        <v>131734.640000012</v>
      </c>
    </row>
    <row r="4600" customFormat="false" ht="15" hidden="false" customHeight="true" outlineLevel="0" collapsed="false">
      <c r="A4600" s="114" t="n">
        <v>5870720.01</v>
      </c>
      <c r="B4600" s="114" t="n">
        <v>5872000</v>
      </c>
      <c r="C4600" s="114" t="n">
        <v>131763.300000012</v>
      </c>
    </row>
    <row r="4601" customFormat="false" ht="15" hidden="false" customHeight="true" outlineLevel="0" collapsed="false">
      <c r="A4601" s="115" t="n">
        <v>5872000.01</v>
      </c>
      <c r="B4601" s="115" t="n">
        <v>5873280</v>
      </c>
      <c r="C4601" s="115" t="n">
        <v>131791.960000012</v>
      </c>
    </row>
    <row r="4602" customFormat="false" ht="15" hidden="false" customHeight="true" outlineLevel="0" collapsed="false">
      <c r="A4602" s="114" t="n">
        <v>5873280.01</v>
      </c>
      <c r="B4602" s="114" t="n">
        <v>5874560</v>
      </c>
      <c r="C4602" s="114" t="n">
        <v>131820.620000012</v>
      </c>
    </row>
    <row r="4603" customFormat="false" ht="15" hidden="false" customHeight="true" outlineLevel="0" collapsed="false">
      <c r="A4603" s="115" t="n">
        <v>5874560.01</v>
      </c>
      <c r="B4603" s="115" t="n">
        <v>5875840</v>
      </c>
      <c r="C4603" s="115" t="n">
        <v>131849.280000012</v>
      </c>
    </row>
    <row r="4604" customFormat="false" ht="15" hidden="false" customHeight="true" outlineLevel="0" collapsed="false">
      <c r="A4604" s="114" t="n">
        <v>5875840.01</v>
      </c>
      <c r="B4604" s="114" t="n">
        <v>5877120</v>
      </c>
      <c r="C4604" s="114" t="n">
        <v>131877.940000012</v>
      </c>
    </row>
    <row r="4605" customFormat="false" ht="15" hidden="false" customHeight="true" outlineLevel="0" collapsed="false">
      <c r="A4605" s="115" t="n">
        <v>5877120.01</v>
      </c>
      <c r="B4605" s="115" t="n">
        <v>5878400</v>
      </c>
      <c r="C4605" s="115" t="n">
        <v>131906.600000012</v>
      </c>
    </row>
    <row r="4606" customFormat="false" ht="15" hidden="false" customHeight="true" outlineLevel="0" collapsed="false">
      <c r="A4606" s="114" t="n">
        <v>5878400.01</v>
      </c>
      <c r="B4606" s="114" t="n">
        <v>5879680</v>
      </c>
      <c r="C4606" s="114" t="n">
        <v>131935.260000012</v>
      </c>
    </row>
    <row r="4607" customFormat="false" ht="15" hidden="false" customHeight="true" outlineLevel="0" collapsed="false">
      <c r="A4607" s="115" t="n">
        <v>5879680.01</v>
      </c>
      <c r="B4607" s="115" t="n">
        <v>5880960</v>
      </c>
      <c r="C4607" s="115" t="n">
        <v>131963.920000012</v>
      </c>
    </row>
    <row r="4608" customFormat="false" ht="15" hidden="false" customHeight="true" outlineLevel="0" collapsed="false">
      <c r="A4608" s="114" t="n">
        <v>5880960.01</v>
      </c>
      <c r="B4608" s="114" t="n">
        <v>5882240</v>
      </c>
      <c r="C4608" s="114" t="n">
        <v>131992.580000012</v>
      </c>
    </row>
    <row r="4609" customFormat="false" ht="15" hidden="false" customHeight="true" outlineLevel="0" collapsed="false">
      <c r="A4609" s="115" t="n">
        <v>5882240.01</v>
      </c>
      <c r="B4609" s="115" t="n">
        <v>5883520</v>
      </c>
      <c r="C4609" s="115" t="n">
        <v>132021.240000012</v>
      </c>
    </row>
    <row r="4610" customFormat="false" ht="15" hidden="false" customHeight="true" outlineLevel="0" collapsed="false">
      <c r="A4610" s="114" t="n">
        <v>5883520.01</v>
      </c>
      <c r="B4610" s="114" t="n">
        <v>5884800</v>
      </c>
      <c r="C4610" s="114" t="n">
        <v>132049.900000012</v>
      </c>
    </row>
    <row r="4611" customFormat="false" ht="15" hidden="false" customHeight="true" outlineLevel="0" collapsed="false">
      <c r="A4611" s="115" t="n">
        <v>5884800.01</v>
      </c>
      <c r="B4611" s="115" t="n">
        <v>5886080</v>
      </c>
      <c r="C4611" s="115" t="n">
        <v>132078.560000012</v>
      </c>
    </row>
    <row r="4612" customFormat="false" ht="15" hidden="false" customHeight="true" outlineLevel="0" collapsed="false">
      <c r="A4612" s="114" t="n">
        <v>5886080.01</v>
      </c>
      <c r="B4612" s="114" t="n">
        <v>5887360</v>
      </c>
      <c r="C4612" s="114" t="n">
        <v>132107.220000012</v>
      </c>
    </row>
    <row r="4613" customFormat="false" ht="15" hidden="false" customHeight="true" outlineLevel="0" collapsed="false">
      <c r="A4613" s="115" t="n">
        <v>5887360.01</v>
      </c>
      <c r="B4613" s="115" t="n">
        <v>5888640</v>
      </c>
      <c r="C4613" s="115" t="n">
        <v>132135.880000012</v>
      </c>
    </row>
    <row r="4614" customFormat="false" ht="15" hidden="false" customHeight="true" outlineLevel="0" collapsed="false">
      <c r="A4614" s="114" t="n">
        <v>5888640.01</v>
      </c>
      <c r="B4614" s="114" t="n">
        <v>5889920</v>
      </c>
      <c r="C4614" s="114" t="n">
        <v>132164.540000012</v>
      </c>
    </row>
    <row r="4615" customFormat="false" ht="15" hidden="false" customHeight="true" outlineLevel="0" collapsed="false">
      <c r="A4615" s="115" t="n">
        <v>5889920.01</v>
      </c>
      <c r="B4615" s="115" t="n">
        <v>5891200</v>
      </c>
      <c r="C4615" s="115" t="n">
        <v>132193.200000012</v>
      </c>
    </row>
    <row r="4616" customFormat="false" ht="15" hidden="false" customHeight="true" outlineLevel="0" collapsed="false">
      <c r="A4616" s="114" t="n">
        <v>5891200.01</v>
      </c>
      <c r="B4616" s="114" t="n">
        <v>5892480</v>
      </c>
      <c r="C4616" s="114" t="n">
        <v>132221.860000012</v>
      </c>
    </row>
    <row r="4617" customFormat="false" ht="15" hidden="false" customHeight="true" outlineLevel="0" collapsed="false">
      <c r="A4617" s="115" t="n">
        <v>5892480.01</v>
      </c>
      <c r="B4617" s="115" t="n">
        <v>5893760</v>
      </c>
      <c r="C4617" s="115" t="n">
        <v>132250.520000012</v>
      </c>
    </row>
    <row r="4618" customFormat="false" ht="15" hidden="false" customHeight="true" outlineLevel="0" collapsed="false">
      <c r="A4618" s="114" t="n">
        <v>5893760.01</v>
      </c>
      <c r="B4618" s="114" t="n">
        <v>5895040</v>
      </c>
      <c r="C4618" s="114" t="n">
        <v>132279.180000012</v>
      </c>
    </row>
    <row r="4619" customFormat="false" ht="15" hidden="false" customHeight="true" outlineLevel="0" collapsed="false">
      <c r="A4619" s="115" t="n">
        <v>5895040.01</v>
      </c>
      <c r="B4619" s="115" t="n">
        <v>5896320</v>
      </c>
      <c r="C4619" s="115" t="n">
        <v>132307.840000012</v>
      </c>
    </row>
    <row r="4620" customFormat="false" ht="15" hidden="false" customHeight="true" outlineLevel="0" collapsed="false">
      <c r="A4620" s="114" t="n">
        <v>5896320.01</v>
      </c>
      <c r="B4620" s="114" t="n">
        <v>5897600</v>
      </c>
      <c r="C4620" s="114" t="n">
        <v>132336.500000012</v>
      </c>
    </row>
    <row r="4621" customFormat="false" ht="15" hidden="false" customHeight="true" outlineLevel="0" collapsed="false">
      <c r="A4621" s="115" t="n">
        <v>5897600.01</v>
      </c>
      <c r="B4621" s="115" t="n">
        <v>5898880</v>
      </c>
      <c r="C4621" s="115" t="n">
        <v>132365.160000012</v>
      </c>
    </row>
    <row r="4622" customFormat="false" ht="15" hidden="false" customHeight="true" outlineLevel="0" collapsed="false">
      <c r="A4622" s="114" t="n">
        <v>5898880.01</v>
      </c>
      <c r="B4622" s="114" t="n">
        <v>5900160</v>
      </c>
      <c r="C4622" s="114" t="n">
        <v>132393.820000012</v>
      </c>
    </row>
    <row r="4623" customFormat="false" ht="15" hidden="false" customHeight="true" outlineLevel="0" collapsed="false">
      <c r="A4623" s="115" t="n">
        <v>5900160.01</v>
      </c>
      <c r="B4623" s="115" t="n">
        <v>5901440</v>
      </c>
      <c r="C4623" s="115" t="n">
        <v>132422.480000012</v>
      </c>
    </row>
    <row r="4624" customFormat="false" ht="15" hidden="false" customHeight="true" outlineLevel="0" collapsed="false">
      <c r="A4624" s="114" t="n">
        <v>5901440.01</v>
      </c>
      <c r="B4624" s="114" t="n">
        <v>5902720</v>
      </c>
      <c r="C4624" s="114" t="n">
        <v>132451.140000012</v>
      </c>
    </row>
    <row r="4625" customFormat="false" ht="15" hidden="false" customHeight="true" outlineLevel="0" collapsed="false">
      <c r="A4625" s="115" t="n">
        <v>5902720.01</v>
      </c>
      <c r="B4625" s="115" t="n">
        <v>5904000</v>
      </c>
      <c r="C4625" s="115" t="n">
        <v>132479.800000012</v>
      </c>
    </row>
    <row r="4626" customFormat="false" ht="15" hidden="false" customHeight="true" outlineLevel="0" collapsed="false">
      <c r="A4626" s="114" t="n">
        <v>5904000.01</v>
      </c>
      <c r="B4626" s="114" t="n">
        <v>5905280</v>
      </c>
      <c r="C4626" s="114" t="n">
        <v>132508.460000012</v>
      </c>
    </row>
    <row r="4627" customFormat="false" ht="15" hidden="false" customHeight="true" outlineLevel="0" collapsed="false">
      <c r="A4627" s="115" t="n">
        <v>5905280.01</v>
      </c>
      <c r="B4627" s="115" t="n">
        <v>5906560</v>
      </c>
      <c r="C4627" s="115" t="n">
        <v>132537.120000012</v>
      </c>
    </row>
    <row r="4628" customFormat="false" ht="15" hidden="false" customHeight="true" outlineLevel="0" collapsed="false">
      <c r="A4628" s="114" t="n">
        <v>5906560.01</v>
      </c>
      <c r="B4628" s="114" t="n">
        <v>5907840</v>
      </c>
      <c r="C4628" s="114" t="n">
        <v>132565.780000012</v>
      </c>
    </row>
    <row r="4629" customFormat="false" ht="15" hidden="false" customHeight="true" outlineLevel="0" collapsed="false">
      <c r="A4629" s="115" t="n">
        <v>5907840.01</v>
      </c>
      <c r="B4629" s="115" t="n">
        <v>5909120</v>
      </c>
      <c r="C4629" s="115" t="n">
        <v>132594.440000012</v>
      </c>
    </row>
    <row r="4630" customFormat="false" ht="15" hidden="false" customHeight="true" outlineLevel="0" collapsed="false">
      <c r="A4630" s="114" t="n">
        <v>5909120.01</v>
      </c>
      <c r="B4630" s="114" t="n">
        <v>5910400</v>
      </c>
      <c r="C4630" s="114" t="n">
        <v>132623.100000012</v>
      </c>
    </row>
    <row r="4631" customFormat="false" ht="15" hidden="false" customHeight="true" outlineLevel="0" collapsed="false">
      <c r="A4631" s="115" t="n">
        <v>5910400.01</v>
      </c>
      <c r="B4631" s="115" t="n">
        <v>5911680</v>
      </c>
      <c r="C4631" s="115" t="n">
        <v>132651.760000012</v>
      </c>
    </row>
    <row r="4632" customFormat="false" ht="15" hidden="false" customHeight="true" outlineLevel="0" collapsed="false">
      <c r="A4632" s="114" t="n">
        <v>5911680.01</v>
      </c>
      <c r="B4632" s="114" t="n">
        <v>5912960</v>
      </c>
      <c r="C4632" s="114" t="n">
        <v>132680.420000012</v>
      </c>
    </row>
    <row r="4633" customFormat="false" ht="15" hidden="false" customHeight="true" outlineLevel="0" collapsed="false">
      <c r="A4633" s="115" t="n">
        <v>5912960.01</v>
      </c>
      <c r="B4633" s="115" t="n">
        <v>5914240</v>
      </c>
      <c r="C4633" s="115" t="n">
        <v>132709.080000012</v>
      </c>
    </row>
    <row r="4634" customFormat="false" ht="15" hidden="false" customHeight="true" outlineLevel="0" collapsed="false">
      <c r="A4634" s="114" t="n">
        <v>5914240.01</v>
      </c>
      <c r="B4634" s="114" t="n">
        <v>5915520</v>
      </c>
      <c r="C4634" s="114" t="n">
        <v>132737.740000012</v>
      </c>
    </row>
    <row r="4635" customFormat="false" ht="15" hidden="false" customHeight="true" outlineLevel="0" collapsed="false">
      <c r="A4635" s="115" t="n">
        <v>5915520.01</v>
      </c>
      <c r="B4635" s="115" t="n">
        <v>5916800</v>
      </c>
      <c r="C4635" s="115" t="n">
        <v>132766.400000012</v>
      </c>
    </row>
    <row r="4636" customFormat="false" ht="15" hidden="false" customHeight="true" outlineLevel="0" collapsed="false">
      <c r="A4636" s="114" t="n">
        <v>5916800.01</v>
      </c>
      <c r="B4636" s="114" t="n">
        <v>5918080</v>
      </c>
      <c r="C4636" s="114" t="n">
        <v>132795.060000012</v>
      </c>
    </row>
    <row r="4637" customFormat="false" ht="15" hidden="false" customHeight="true" outlineLevel="0" collapsed="false">
      <c r="A4637" s="115" t="n">
        <v>5918080.01</v>
      </c>
      <c r="B4637" s="115" t="n">
        <v>5919360</v>
      </c>
      <c r="C4637" s="115" t="n">
        <v>132823.720000012</v>
      </c>
    </row>
    <row r="4638" customFormat="false" ht="15" hidden="false" customHeight="true" outlineLevel="0" collapsed="false">
      <c r="A4638" s="114" t="n">
        <v>5919360.01</v>
      </c>
      <c r="B4638" s="114" t="n">
        <v>5920640</v>
      </c>
      <c r="C4638" s="114" t="n">
        <v>132852.380000012</v>
      </c>
    </row>
    <row r="4639" customFormat="false" ht="15" hidden="false" customHeight="true" outlineLevel="0" collapsed="false">
      <c r="A4639" s="115" t="n">
        <v>5920640.01</v>
      </c>
      <c r="B4639" s="115" t="n">
        <v>5921920</v>
      </c>
      <c r="C4639" s="115" t="n">
        <v>132881.040000012</v>
      </c>
    </row>
    <row r="4640" customFormat="false" ht="15" hidden="false" customHeight="true" outlineLevel="0" collapsed="false">
      <c r="A4640" s="114" t="n">
        <v>5921920.01</v>
      </c>
      <c r="B4640" s="114" t="n">
        <v>5923200</v>
      </c>
      <c r="C4640" s="114" t="n">
        <v>132909.700000012</v>
      </c>
    </row>
    <row r="4641" customFormat="false" ht="15" hidden="false" customHeight="true" outlineLevel="0" collapsed="false">
      <c r="A4641" s="115" t="n">
        <v>5923200.01</v>
      </c>
      <c r="B4641" s="115" t="n">
        <v>5924480</v>
      </c>
      <c r="C4641" s="115" t="n">
        <v>132938.360000012</v>
      </c>
    </row>
    <row r="4642" customFormat="false" ht="15" hidden="false" customHeight="true" outlineLevel="0" collapsed="false">
      <c r="A4642" s="114" t="n">
        <v>5924480.01</v>
      </c>
      <c r="B4642" s="114" t="n">
        <v>5925760</v>
      </c>
      <c r="C4642" s="114" t="n">
        <v>132967.020000012</v>
      </c>
    </row>
    <row r="4643" customFormat="false" ht="15" hidden="false" customHeight="true" outlineLevel="0" collapsed="false">
      <c r="A4643" s="115" t="n">
        <v>5925760.01</v>
      </c>
      <c r="B4643" s="115" t="n">
        <v>5927040</v>
      </c>
      <c r="C4643" s="115" t="n">
        <v>132995.680000012</v>
      </c>
    </row>
    <row r="4644" customFormat="false" ht="15" hidden="false" customHeight="true" outlineLevel="0" collapsed="false">
      <c r="A4644" s="114" t="n">
        <v>5927040.01</v>
      </c>
      <c r="B4644" s="114" t="n">
        <v>5928320</v>
      </c>
      <c r="C4644" s="114" t="n">
        <v>133024.340000012</v>
      </c>
    </row>
    <row r="4645" customFormat="false" ht="15" hidden="false" customHeight="true" outlineLevel="0" collapsed="false">
      <c r="A4645" s="115" t="n">
        <v>5928320.01</v>
      </c>
      <c r="B4645" s="115" t="n">
        <v>5929600</v>
      </c>
      <c r="C4645" s="115" t="n">
        <v>133053.000000012</v>
      </c>
    </row>
    <row r="4646" customFormat="false" ht="15" hidden="false" customHeight="true" outlineLevel="0" collapsed="false">
      <c r="A4646" s="114" t="n">
        <v>5929600.01</v>
      </c>
      <c r="B4646" s="114" t="n">
        <v>5930880</v>
      </c>
      <c r="C4646" s="114" t="n">
        <v>133081.660000012</v>
      </c>
    </row>
    <row r="4647" customFormat="false" ht="15" hidden="false" customHeight="true" outlineLevel="0" collapsed="false">
      <c r="A4647" s="115" t="n">
        <v>5930880.01</v>
      </c>
      <c r="B4647" s="115" t="n">
        <v>5932160</v>
      </c>
      <c r="C4647" s="115" t="n">
        <v>133110.320000012</v>
      </c>
    </row>
    <row r="4648" customFormat="false" ht="15" hidden="false" customHeight="true" outlineLevel="0" collapsed="false">
      <c r="A4648" s="114" t="n">
        <v>5932160.01</v>
      </c>
      <c r="B4648" s="114" t="n">
        <v>5933440</v>
      </c>
      <c r="C4648" s="114" t="n">
        <v>133138.980000012</v>
      </c>
    </row>
    <row r="4649" customFormat="false" ht="15" hidden="false" customHeight="true" outlineLevel="0" collapsed="false">
      <c r="A4649" s="115" t="n">
        <v>5933440.01</v>
      </c>
      <c r="B4649" s="115" t="n">
        <v>5934720</v>
      </c>
      <c r="C4649" s="115" t="n">
        <v>133167.640000012</v>
      </c>
    </row>
    <row r="4650" customFormat="false" ht="15" hidden="false" customHeight="true" outlineLevel="0" collapsed="false">
      <c r="A4650" s="114" t="n">
        <v>5934720.01</v>
      </c>
      <c r="B4650" s="114" t="n">
        <v>5936000</v>
      </c>
      <c r="C4650" s="114" t="n">
        <v>133196.300000012</v>
      </c>
    </row>
    <row r="4651" customFormat="false" ht="15" hidden="false" customHeight="true" outlineLevel="0" collapsed="false">
      <c r="A4651" s="115" t="n">
        <v>5936000.01</v>
      </c>
      <c r="B4651" s="115" t="n">
        <v>5937280</v>
      </c>
      <c r="C4651" s="115" t="n">
        <v>133224.960000012</v>
      </c>
    </row>
    <row r="4652" customFormat="false" ht="15" hidden="false" customHeight="true" outlineLevel="0" collapsed="false">
      <c r="A4652" s="114" t="n">
        <v>5937280.01</v>
      </c>
      <c r="B4652" s="114" t="n">
        <v>5938560</v>
      </c>
      <c r="C4652" s="114" t="n">
        <v>133253.620000012</v>
      </c>
    </row>
    <row r="4653" customFormat="false" ht="15" hidden="false" customHeight="true" outlineLevel="0" collapsed="false">
      <c r="A4653" s="115" t="n">
        <v>5938560.01</v>
      </c>
      <c r="B4653" s="115" t="n">
        <v>5939840</v>
      </c>
      <c r="C4653" s="115" t="n">
        <v>133282.280000012</v>
      </c>
    </row>
    <row r="4654" customFormat="false" ht="15" hidden="false" customHeight="true" outlineLevel="0" collapsed="false">
      <c r="A4654" s="114" t="n">
        <v>5939840.01</v>
      </c>
      <c r="B4654" s="114" t="n">
        <v>5941120</v>
      </c>
      <c r="C4654" s="114" t="n">
        <v>133310.940000012</v>
      </c>
    </row>
    <row r="4655" customFormat="false" ht="15" hidden="false" customHeight="true" outlineLevel="0" collapsed="false">
      <c r="A4655" s="115" t="n">
        <v>5941120.01</v>
      </c>
      <c r="B4655" s="115" t="n">
        <v>5942400</v>
      </c>
      <c r="C4655" s="115" t="n">
        <v>133339.600000012</v>
      </c>
    </row>
    <row r="4656" customFormat="false" ht="15" hidden="false" customHeight="true" outlineLevel="0" collapsed="false">
      <c r="A4656" s="114" t="n">
        <v>5942400.01</v>
      </c>
      <c r="B4656" s="114" t="n">
        <v>5943680</v>
      </c>
      <c r="C4656" s="114" t="n">
        <v>133368.260000012</v>
      </c>
    </row>
    <row r="4657" customFormat="false" ht="15" hidden="false" customHeight="true" outlineLevel="0" collapsed="false">
      <c r="A4657" s="115" t="n">
        <v>5943680.01</v>
      </c>
      <c r="B4657" s="115" t="n">
        <v>5944960</v>
      </c>
      <c r="C4657" s="115" t="n">
        <v>133396.920000012</v>
      </c>
    </row>
    <row r="4658" customFormat="false" ht="15" hidden="false" customHeight="true" outlineLevel="0" collapsed="false">
      <c r="A4658" s="114" t="n">
        <v>5944960.01</v>
      </c>
      <c r="B4658" s="114" t="n">
        <v>5946240</v>
      </c>
      <c r="C4658" s="114" t="n">
        <v>133425.580000012</v>
      </c>
    </row>
    <row r="4659" customFormat="false" ht="15" hidden="false" customHeight="true" outlineLevel="0" collapsed="false">
      <c r="A4659" s="115" t="n">
        <v>5946240.01</v>
      </c>
      <c r="B4659" s="115" t="n">
        <v>5947520</v>
      </c>
      <c r="C4659" s="115" t="n">
        <v>133454.240000012</v>
      </c>
    </row>
    <row r="4660" customFormat="false" ht="15" hidden="false" customHeight="true" outlineLevel="0" collapsed="false">
      <c r="A4660" s="114" t="n">
        <v>5947520.01</v>
      </c>
      <c r="B4660" s="114" t="n">
        <v>5948800</v>
      </c>
      <c r="C4660" s="114" t="n">
        <v>133482.900000012</v>
      </c>
    </row>
    <row r="4661" customFormat="false" ht="15" hidden="false" customHeight="true" outlineLevel="0" collapsed="false">
      <c r="A4661" s="115" t="n">
        <v>5948800.01</v>
      </c>
      <c r="B4661" s="115" t="n">
        <v>5950080</v>
      </c>
      <c r="C4661" s="115" t="n">
        <v>133511.560000012</v>
      </c>
    </row>
    <row r="4662" customFormat="false" ht="15" hidden="false" customHeight="true" outlineLevel="0" collapsed="false">
      <c r="A4662" s="114" t="n">
        <v>5950080.01</v>
      </c>
      <c r="B4662" s="114" t="n">
        <v>5951360</v>
      </c>
      <c r="C4662" s="114" t="n">
        <v>133540.220000012</v>
      </c>
    </row>
    <row r="4663" customFormat="false" ht="15" hidden="false" customHeight="true" outlineLevel="0" collapsed="false">
      <c r="A4663" s="115" t="n">
        <v>5951360.01</v>
      </c>
      <c r="B4663" s="115" t="n">
        <v>5952640</v>
      </c>
      <c r="C4663" s="115" t="n">
        <v>133568.880000012</v>
      </c>
    </row>
    <row r="4664" customFormat="false" ht="15" hidden="false" customHeight="true" outlineLevel="0" collapsed="false">
      <c r="A4664" s="114" t="n">
        <v>5952640.01</v>
      </c>
      <c r="B4664" s="114" t="n">
        <v>5953920</v>
      </c>
      <c r="C4664" s="114" t="n">
        <v>133597.540000012</v>
      </c>
    </row>
    <row r="4665" customFormat="false" ht="15" hidden="false" customHeight="true" outlineLevel="0" collapsed="false">
      <c r="A4665" s="115" t="n">
        <v>5953920.01</v>
      </c>
      <c r="B4665" s="115" t="n">
        <v>5955200</v>
      </c>
      <c r="C4665" s="115" t="n">
        <v>133626.200000012</v>
      </c>
    </row>
    <row r="4666" customFormat="false" ht="15" hidden="false" customHeight="true" outlineLevel="0" collapsed="false">
      <c r="A4666" s="114" t="n">
        <v>5955200.01</v>
      </c>
      <c r="B4666" s="114" t="n">
        <v>5956480</v>
      </c>
      <c r="C4666" s="114" t="n">
        <v>133654.860000012</v>
      </c>
    </row>
    <row r="4667" customFormat="false" ht="15" hidden="false" customHeight="true" outlineLevel="0" collapsed="false">
      <c r="A4667" s="115" t="n">
        <v>5956480.01</v>
      </c>
      <c r="B4667" s="115" t="n">
        <v>5957760</v>
      </c>
      <c r="C4667" s="115" t="n">
        <v>133683.520000012</v>
      </c>
    </row>
    <row r="4668" customFormat="false" ht="15" hidden="false" customHeight="true" outlineLevel="0" collapsed="false">
      <c r="A4668" s="114" t="n">
        <v>5957760.01</v>
      </c>
      <c r="B4668" s="114" t="n">
        <v>5959040</v>
      </c>
      <c r="C4668" s="114" t="n">
        <v>133712.180000012</v>
      </c>
    </row>
    <row r="4669" customFormat="false" ht="15" hidden="false" customHeight="true" outlineLevel="0" collapsed="false">
      <c r="A4669" s="115" t="n">
        <v>5959040.01</v>
      </c>
      <c r="B4669" s="115" t="n">
        <v>5960320</v>
      </c>
      <c r="C4669" s="115" t="n">
        <v>133740.840000012</v>
      </c>
    </row>
    <row r="4670" customFormat="false" ht="15" hidden="false" customHeight="true" outlineLevel="0" collapsed="false">
      <c r="A4670" s="114" t="n">
        <v>5960320.01</v>
      </c>
      <c r="B4670" s="114" t="n">
        <v>5961600</v>
      </c>
      <c r="C4670" s="114" t="n">
        <v>133769.500000012</v>
      </c>
    </row>
    <row r="4671" customFormat="false" ht="15" hidden="false" customHeight="true" outlineLevel="0" collapsed="false">
      <c r="A4671" s="115" t="n">
        <v>5961600.01</v>
      </c>
      <c r="B4671" s="115" t="n">
        <v>5962880</v>
      </c>
      <c r="C4671" s="115" t="n">
        <v>133798.160000012</v>
      </c>
    </row>
    <row r="4672" customFormat="false" ht="15" hidden="false" customHeight="true" outlineLevel="0" collapsed="false">
      <c r="A4672" s="114" t="n">
        <v>5962880.01</v>
      </c>
      <c r="B4672" s="114" t="n">
        <v>5964160</v>
      </c>
      <c r="C4672" s="114" t="n">
        <v>133826.820000012</v>
      </c>
    </row>
    <row r="4673" customFormat="false" ht="15" hidden="false" customHeight="true" outlineLevel="0" collapsed="false">
      <c r="A4673" s="115" t="n">
        <v>5964160.01</v>
      </c>
      <c r="B4673" s="115" t="n">
        <v>5965440</v>
      </c>
      <c r="C4673" s="115" t="n">
        <v>133855.480000012</v>
      </c>
    </row>
    <row r="4674" customFormat="false" ht="15" hidden="false" customHeight="true" outlineLevel="0" collapsed="false">
      <c r="A4674" s="114" t="n">
        <v>5965440.01</v>
      </c>
      <c r="B4674" s="114" t="n">
        <v>5966720</v>
      </c>
      <c r="C4674" s="114" t="n">
        <v>133884.140000012</v>
      </c>
    </row>
    <row r="4675" customFormat="false" ht="15" hidden="false" customHeight="true" outlineLevel="0" collapsed="false">
      <c r="A4675" s="115" t="n">
        <v>5966720.01</v>
      </c>
      <c r="B4675" s="115" t="n">
        <v>5968000</v>
      </c>
      <c r="C4675" s="115" t="n">
        <v>133912.800000012</v>
      </c>
    </row>
    <row r="4676" customFormat="false" ht="15" hidden="false" customHeight="true" outlineLevel="0" collapsed="false">
      <c r="A4676" s="114" t="n">
        <v>5968000.01</v>
      </c>
      <c r="B4676" s="114" t="n">
        <v>5969280</v>
      </c>
      <c r="C4676" s="114" t="n">
        <v>133941.460000012</v>
      </c>
    </row>
    <row r="4677" customFormat="false" ht="15" hidden="false" customHeight="true" outlineLevel="0" collapsed="false">
      <c r="A4677" s="115" t="n">
        <v>5969280.01</v>
      </c>
      <c r="B4677" s="115" t="n">
        <v>5970560</v>
      </c>
      <c r="C4677" s="115" t="n">
        <v>133970.120000012</v>
      </c>
    </row>
    <row r="4678" customFormat="false" ht="15" hidden="false" customHeight="true" outlineLevel="0" collapsed="false">
      <c r="A4678" s="114" t="n">
        <v>5970560.01</v>
      </c>
      <c r="B4678" s="114" t="n">
        <v>5971840</v>
      </c>
      <c r="C4678" s="114" t="n">
        <v>133998.780000012</v>
      </c>
    </row>
    <row r="4679" customFormat="false" ht="15" hidden="false" customHeight="true" outlineLevel="0" collapsed="false">
      <c r="A4679" s="115" t="n">
        <v>5971840.01</v>
      </c>
      <c r="B4679" s="115" t="n">
        <v>5973120</v>
      </c>
      <c r="C4679" s="115" t="n">
        <v>134027.440000012</v>
      </c>
    </row>
    <row r="4680" customFormat="false" ht="15" hidden="false" customHeight="true" outlineLevel="0" collapsed="false">
      <c r="A4680" s="114" t="n">
        <v>5973120.01</v>
      </c>
      <c r="B4680" s="114" t="n">
        <v>5974400</v>
      </c>
      <c r="C4680" s="114" t="n">
        <v>134056.100000012</v>
      </c>
    </row>
    <row r="4681" customFormat="false" ht="15" hidden="false" customHeight="true" outlineLevel="0" collapsed="false">
      <c r="A4681" s="115" t="n">
        <v>5974400.01</v>
      </c>
      <c r="B4681" s="115" t="n">
        <v>5975680</v>
      </c>
      <c r="C4681" s="115" t="n">
        <v>134084.760000012</v>
      </c>
    </row>
    <row r="4682" customFormat="false" ht="15" hidden="false" customHeight="true" outlineLevel="0" collapsed="false">
      <c r="A4682" s="114" t="n">
        <v>5975680.01</v>
      </c>
      <c r="B4682" s="114" t="n">
        <v>5976960</v>
      </c>
      <c r="C4682" s="114" t="n">
        <v>134113.420000012</v>
      </c>
    </row>
    <row r="4683" customFormat="false" ht="15" hidden="false" customHeight="true" outlineLevel="0" collapsed="false">
      <c r="A4683" s="115" t="n">
        <v>5976960.01</v>
      </c>
      <c r="B4683" s="115" t="n">
        <v>5978240</v>
      </c>
      <c r="C4683" s="115" t="n">
        <v>134142.080000012</v>
      </c>
    </row>
    <row r="4684" customFormat="false" ht="15" hidden="false" customHeight="true" outlineLevel="0" collapsed="false">
      <c r="A4684" s="114" t="n">
        <v>5978240.01</v>
      </c>
      <c r="B4684" s="114" t="n">
        <v>5979520</v>
      </c>
      <c r="C4684" s="114" t="n">
        <v>134170.740000012</v>
      </c>
    </row>
    <row r="4685" customFormat="false" ht="15" hidden="false" customHeight="true" outlineLevel="0" collapsed="false">
      <c r="A4685" s="115" t="n">
        <v>5979520.01</v>
      </c>
      <c r="B4685" s="115" t="n">
        <v>5980800</v>
      </c>
      <c r="C4685" s="115" t="n">
        <v>134199.400000012</v>
      </c>
    </row>
    <row r="4686" customFormat="false" ht="15" hidden="false" customHeight="true" outlineLevel="0" collapsed="false">
      <c r="A4686" s="114" t="n">
        <v>5980800.01</v>
      </c>
      <c r="B4686" s="114" t="n">
        <v>5982080</v>
      </c>
      <c r="C4686" s="114" t="n">
        <v>134228.060000012</v>
      </c>
    </row>
    <row r="4687" customFormat="false" ht="15" hidden="false" customHeight="true" outlineLevel="0" collapsed="false">
      <c r="A4687" s="115" t="n">
        <v>5982080.01</v>
      </c>
      <c r="B4687" s="115" t="n">
        <v>5983360</v>
      </c>
      <c r="C4687" s="115" t="n">
        <v>134256.720000012</v>
      </c>
    </row>
    <row r="4688" customFormat="false" ht="15" hidden="false" customHeight="true" outlineLevel="0" collapsed="false">
      <c r="A4688" s="114" t="n">
        <v>5983360.01</v>
      </c>
      <c r="B4688" s="114" t="n">
        <v>5984640</v>
      </c>
      <c r="C4688" s="114" t="n">
        <v>134285.380000012</v>
      </c>
    </row>
    <row r="4689" customFormat="false" ht="15" hidden="false" customHeight="true" outlineLevel="0" collapsed="false">
      <c r="A4689" s="115" t="n">
        <v>5984640.01</v>
      </c>
      <c r="B4689" s="115" t="n">
        <v>5985920</v>
      </c>
      <c r="C4689" s="115" t="n">
        <v>134314.040000012</v>
      </c>
    </row>
    <row r="4690" customFormat="false" ht="15" hidden="false" customHeight="true" outlineLevel="0" collapsed="false">
      <c r="A4690" s="114" t="n">
        <v>5985920.01</v>
      </c>
      <c r="B4690" s="114" t="n">
        <v>5987200</v>
      </c>
      <c r="C4690" s="114" t="n">
        <v>134342.700000012</v>
      </c>
    </row>
    <row r="4691" customFormat="false" ht="15" hidden="false" customHeight="true" outlineLevel="0" collapsed="false">
      <c r="A4691" s="115" t="n">
        <v>5987200.01</v>
      </c>
      <c r="B4691" s="115" t="n">
        <v>5988480</v>
      </c>
      <c r="C4691" s="115" t="n">
        <v>134371.360000012</v>
      </c>
    </row>
    <row r="4692" customFormat="false" ht="15" hidden="false" customHeight="true" outlineLevel="0" collapsed="false">
      <c r="A4692" s="114" t="n">
        <v>5988480.01</v>
      </c>
      <c r="B4692" s="114" t="n">
        <v>5989760</v>
      </c>
      <c r="C4692" s="114" t="n">
        <v>134400.020000012</v>
      </c>
    </row>
    <row r="4693" customFormat="false" ht="15" hidden="false" customHeight="true" outlineLevel="0" collapsed="false">
      <c r="A4693" s="115" t="n">
        <v>5989760.01</v>
      </c>
      <c r="B4693" s="115" t="n">
        <v>5991040</v>
      </c>
      <c r="C4693" s="115" t="n">
        <v>134428.680000012</v>
      </c>
    </row>
    <row r="4694" customFormat="false" ht="15" hidden="false" customHeight="true" outlineLevel="0" collapsed="false">
      <c r="A4694" s="114" t="n">
        <v>5991040.01</v>
      </c>
      <c r="B4694" s="114" t="n">
        <v>5992320</v>
      </c>
      <c r="C4694" s="114" t="n">
        <v>134457.340000012</v>
      </c>
    </row>
    <row r="4695" customFormat="false" ht="15" hidden="false" customHeight="true" outlineLevel="0" collapsed="false">
      <c r="A4695" s="115" t="n">
        <v>5992320.01</v>
      </c>
      <c r="B4695" s="115" t="n">
        <v>5993600</v>
      </c>
      <c r="C4695" s="115" t="n">
        <v>134486.000000012</v>
      </c>
    </row>
    <row r="4696" customFormat="false" ht="15" hidden="false" customHeight="true" outlineLevel="0" collapsed="false">
      <c r="A4696" s="114" t="n">
        <v>5993600.01</v>
      </c>
      <c r="B4696" s="114" t="n">
        <v>5994880</v>
      </c>
      <c r="C4696" s="114" t="n">
        <v>134514.660000012</v>
      </c>
    </row>
    <row r="4697" customFormat="false" ht="15" hidden="false" customHeight="true" outlineLevel="0" collapsed="false">
      <c r="A4697" s="115" t="n">
        <v>5994880.01</v>
      </c>
      <c r="B4697" s="115" t="n">
        <v>5996160</v>
      </c>
      <c r="C4697" s="115" t="n">
        <v>134543.320000012</v>
      </c>
    </row>
    <row r="4698" customFormat="false" ht="15" hidden="false" customHeight="true" outlineLevel="0" collapsed="false">
      <c r="A4698" s="114" t="n">
        <v>5996160.01</v>
      </c>
      <c r="B4698" s="114" t="n">
        <v>5997440</v>
      </c>
      <c r="C4698" s="114" t="n">
        <v>134571.980000012</v>
      </c>
    </row>
    <row r="4699" customFormat="false" ht="15" hidden="false" customHeight="true" outlineLevel="0" collapsed="false">
      <c r="A4699" s="115" t="n">
        <v>5997440.01</v>
      </c>
      <c r="B4699" s="115" t="n">
        <v>5998720</v>
      </c>
      <c r="C4699" s="115" t="n">
        <v>134600.640000012</v>
      </c>
    </row>
    <row r="4700" customFormat="false" ht="15" hidden="false" customHeight="true" outlineLevel="0" collapsed="false">
      <c r="A4700" s="114" t="n">
        <v>5998720.01</v>
      </c>
      <c r="B4700" s="114" t="n">
        <v>6000000</v>
      </c>
      <c r="C4700" s="114" t="n">
        <v>134629.300000012</v>
      </c>
    </row>
    <row r="4701" customFormat="false" ht="15" hidden="false" customHeight="true" outlineLevel="0" collapsed="false">
      <c r="A4701" s="115" t="n">
        <v>6000000.01</v>
      </c>
      <c r="B4701" s="115" t="n">
        <v>6001280</v>
      </c>
      <c r="C4701" s="115" t="n">
        <v>134657.960000012</v>
      </c>
    </row>
    <row r="4702" customFormat="false" ht="15" hidden="false" customHeight="true" outlineLevel="0" collapsed="false">
      <c r="A4702" s="114" t="n">
        <v>6001280.01</v>
      </c>
      <c r="B4702" s="114" t="n">
        <v>6002560</v>
      </c>
      <c r="C4702" s="114" t="n">
        <v>134686.620000012</v>
      </c>
    </row>
    <row r="4703" customFormat="false" ht="15" hidden="false" customHeight="true" outlineLevel="0" collapsed="false">
      <c r="A4703" s="115" t="n">
        <v>6002560.01</v>
      </c>
      <c r="B4703" s="115" t="n">
        <v>6003840</v>
      </c>
      <c r="C4703" s="115" t="n">
        <v>134715.280000012</v>
      </c>
    </row>
    <row r="4704" customFormat="false" ht="15" hidden="false" customHeight="true" outlineLevel="0" collapsed="false">
      <c r="A4704" s="114" t="n">
        <v>6003840.01</v>
      </c>
      <c r="B4704" s="114" t="n">
        <v>6005120</v>
      </c>
      <c r="C4704" s="114" t="n">
        <v>134743.940000012</v>
      </c>
    </row>
    <row r="4705" customFormat="false" ht="15" hidden="false" customHeight="true" outlineLevel="0" collapsed="false">
      <c r="A4705" s="115" t="n">
        <v>6005120.01</v>
      </c>
      <c r="B4705" s="115" t="n">
        <v>6006400</v>
      </c>
      <c r="C4705" s="115" t="n">
        <v>134772.600000012</v>
      </c>
    </row>
    <row r="4706" customFormat="false" ht="15" hidden="false" customHeight="true" outlineLevel="0" collapsed="false">
      <c r="A4706" s="114" t="n">
        <v>6006400.01</v>
      </c>
      <c r="B4706" s="114" t="n">
        <v>6007680</v>
      </c>
      <c r="C4706" s="114" t="n">
        <v>134801.260000012</v>
      </c>
    </row>
    <row r="4707" customFormat="false" ht="15" hidden="false" customHeight="true" outlineLevel="0" collapsed="false">
      <c r="A4707" s="115" t="n">
        <v>6007680.01</v>
      </c>
      <c r="B4707" s="115" t="n">
        <v>6008960</v>
      </c>
      <c r="C4707" s="115" t="n">
        <v>134829.920000012</v>
      </c>
    </row>
    <row r="4708" customFormat="false" ht="15" hidden="false" customHeight="true" outlineLevel="0" collapsed="false">
      <c r="A4708" s="114" t="n">
        <v>6008960.01</v>
      </c>
      <c r="B4708" s="114" t="n">
        <v>6010240</v>
      </c>
      <c r="C4708" s="114" t="n">
        <v>134858.580000012</v>
      </c>
    </row>
    <row r="4709" customFormat="false" ht="15" hidden="false" customHeight="true" outlineLevel="0" collapsed="false">
      <c r="A4709" s="115" t="n">
        <v>6010240.01</v>
      </c>
      <c r="B4709" s="115" t="n">
        <v>6011520</v>
      </c>
      <c r="C4709" s="115" t="n">
        <v>134887.240000012</v>
      </c>
    </row>
    <row r="4710" customFormat="false" ht="15" hidden="false" customHeight="true" outlineLevel="0" collapsed="false">
      <c r="A4710" s="114" t="n">
        <v>6011520.01</v>
      </c>
      <c r="B4710" s="114" t="n">
        <v>6012800</v>
      </c>
      <c r="C4710" s="114" t="n">
        <v>134915.900000012</v>
      </c>
    </row>
    <row r="4711" customFormat="false" ht="15" hidden="false" customHeight="true" outlineLevel="0" collapsed="false">
      <c r="A4711" s="115" t="n">
        <v>6012800.01</v>
      </c>
      <c r="B4711" s="115" t="n">
        <v>6014080</v>
      </c>
      <c r="C4711" s="115" t="n">
        <v>134944.560000012</v>
      </c>
    </row>
    <row r="4712" customFormat="false" ht="15" hidden="false" customHeight="true" outlineLevel="0" collapsed="false">
      <c r="A4712" s="114" t="n">
        <v>6014080.01</v>
      </c>
      <c r="B4712" s="114" t="n">
        <v>6015360</v>
      </c>
      <c r="C4712" s="114" t="n">
        <v>134973.220000012</v>
      </c>
    </row>
    <row r="4713" customFormat="false" ht="15" hidden="false" customHeight="true" outlineLevel="0" collapsed="false">
      <c r="A4713" s="115" t="n">
        <v>6015360.01</v>
      </c>
      <c r="B4713" s="115" t="n">
        <v>6016640</v>
      </c>
      <c r="C4713" s="115" t="n">
        <v>135001.880000012</v>
      </c>
    </row>
    <row r="4714" customFormat="false" ht="15" hidden="false" customHeight="true" outlineLevel="0" collapsed="false">
      <c r="A4714" s="114" t="n">
        <v>6016640.01</v>
      </c>
      <c r="B4714" s="114" t="n">
        <v>6017920</v>
      </c>
      <c r="C4714" s="114" t="n">
        <v>135030.540000012</v>
      </c>
    </row>
    <row r="4715" customFormat="false" ht="15" hidden="false" customHeight="true" outlineLevel="0" collapsed="false">
      <c r="A4715" s="115" t="n">
        <v>6017920.01</v>
      </c>
      <c r="B4715" s="115" t="n">
        <v>6019200</v>
      </c>
      <c r="C4715" s="115" t="n">
        <v>135059.200000012</v>
      </c>
    </row>
    <row r="4716" customFormat="false" ht="15" hidden="false" customHeight="true" outlineLevel="0" collapsed="false">
      <c r="A4716" s="114" t="n">
        <v>6019200.01</v>
      </c>
      <c r="B4716" s="114" t="n">
        <v>6020480</v>
      </c>
      <c r="C4716" s="114" t="n">
        <v>135087.860000012</v>
      </c>
    </row>
    <row r="4717" customFormat="false" ht="15" hidden="false" customHeight="true" outlineLevel="0" collapsed="false">
      <c r="A4717" s="115" t="n">
        <v>6020480.01</v>
      </c>
      <c r="B4717" s="115" t="n">
        <v>6021760</v>
      </c>
      <c r="C4717" s="115" t="n">
        <v>135116.520000012</v>
      </c>
    </row>
    <row r="4718" customFormat="false" ht="15" hidden="false" customHeight="true" outlineLevel="0" collapsed="false">
      <c r="A4718" s="114" t="n">
        <v>6021760.01</v>
      </c>
      <c r="B4718" s="114" t="n">
        <v>6023040</v>
      </c>
      <c r="C4718" s="114" t="n">
        <v>135145.180000012</v>
      </c>
    </row>
    <row r="4719" customFormat="false" ht="15" hidden="false" customHeight="true" outlineLevel="0" collapsed="false">
      <c r="A4719" s="115" t="n">
        <v>6023040.01</v>
      </c>
      <c r="B4719" s="115" t="n">
        <v>6024320</v>
      </c>
      <c r="C4719" s="115" t="n">
        <v>135173.840000012</v>
      </c>
    </row>
    <row r="4720" customFormat="false" ht="15" hidden="false" customHeight="true" outlineLevel="0" collapsed="false">
      <c r="A4720" s="114" t="n">
        <v>6024320.01</v>
      </c>
      <c r="B4720" s="114" t="n">
        <v>6025600</v>
      </c>
      <c r="C4720" s="114" t="n">
        <v>135202.500000012</v>
      </c>
    </row>
    <row r="4721" customFormat="false" ht="15" hidden="false" customHeight="true" outlineLevel="0" collapsed="false">
      <c r="A4721" s="115" t="n">
        <v>6025600.01</v>
      </c>
      <c r="B4721" s="115" t="n">
        <v>6026880</v>
      </c>
      <c r="C4721" s="115" t="n">
        <v>135231.160000012</v>
      </c>
    </row>
    <row r="4722" customFormat="false" ht="15" hidden="false" customHeight="true" outlineLevel="0" collapsed="false">
      <c r="A4722" s="114" t="n">
        <v>6026880.01</v>
      </c>
      <c r="B4722" s="114" t="n">
        <v>6028160</v>
      </c>
      <c r="C4722" s="114" t="n">
        <v>135259.820000012</v>
      </c>
    </row>
    <row r="4723" customFormat="false" ht="15" hidden="false" customHeight="true" outlineLevel="0" collapsed="false">
      <c r="A4723" s="115" t="n">
        <v>6028160.01</v>
      </c>
      <c r="B4723" s="115" t="n">
        <v>6029440</v>
      </c>
      <c r="C4723" s="115" t="n">
        <v>135288.480000012</v>
      </c>
    </row>
    <row r="4724" customFormat="false" ht="15" hidden="false" customHeight="true" outlineLevel="0" collapsed="false">
      <c r="A4724" s="114" t="n">
        <v>6029440.01</v>
      </c>
      <c r="B4724" s="114" t="n">
        <v>6030720</v>
      </c>
      <c r="C4724" s="114" t="n">
        <v>135317.140000012</v>
      </c>
    </row>
    <row r="4725" customFormat="false" ht="15" hidden="false" customHeight="true" outlineLevel="0" collapsed="false">
      <c r="A4725" s="115" t="n">
        <v>6030720.01</v>
      </c>
      <c r="B4725" s="115" t="n">
        <v>6032000</v>
      </c>
      <c r="C4725" s="115" t="n">
        <v>135345.800000012</v>
      </c>
    </row>
    <row r="4726" customFormat="false" ht="15" hidden="false" customHeight="true" outlineLevel="0" collapsed="false">
      <c r="A4726" s="114" t="n">
        <v>6032000.01</v>
      </c>
      <c r="B4726" s="114" t="n">
        <v>6033280</v>
      </c>
      <c r="C4726" s="114" t="n">
        <v>135374.460000012</v>
      </c>
    </row>
    <row r="4727" customFormat="false" ht="15" hidden="false" customHeight="true" outlineLevel="0" collapsed="false">
      <c r="A4727" s="115" t="n">
        <v>6033280.01</v>
      </c>
      <c r="B4727" s="115" t="n">
        <v>6034560</v>
      </c>
      <c r="C4727" s="115" t="n">
        <v>135403.120000012</v>
      </c>
    </row>
    <row r="4728" customFormat="false" ht="15" hidden="false" customHeight="true" outlineLevel="0" collapsed="false">
      <c r="A4728" s="114" t="n">
        <v>6034560.01</v>
      </c>
      <c r="B4728" s="114" t="n">
        <v>6035840</v>
      </c>
      <c r="C4728" s="114" t="n">
        <v>135431.780000012</v>
      </c>
    </row>
    <row r="4729" customFormat="false" ht="15" hidden="false" customHeight="true" outlineLevel="0" collapsed="false">
      <c r="A4729" s="115" t="n">
        <v>6035840.01</v>
      </c>
      <c r="B4729" s="115" t="n">
        <v>6037120</v>
      </c>
      <c r="C4729" s="115" t="n">
        <v>135460.440000012</v>
      </c>
    </row>
    <row r="4730" customFormat="false" ht="15" hidden="false" customHeight="true" outlineLevel="0" collapsed="false">
      <c r="A4730" s="114" t="n">
        <v>6037120.01</v>
      </c>
      <c r="B4730" s="114" t="n">
        <v>6038400</v>
      </c>
      <c r="C4730" s="114" t="n">
        <v>135489.100000012</v>
      </c>
    </row>
    <row r="4731" customFormat="false" ht="15" hidden="false" customHeight="true" outlineLevel="0" collapsed="false">
      <c r="A4731" s="115" t="n">
        <v>6038400.01</v>
      </c>
      <c r="B4731" s="115" t="n">
        <v>6039680</v>
      </c>
      <c r="C4731" s="115" t="n">
        <v>135517.760000012</v>
      </c>
    </row>
    <row r="4732" customFormat="false" ht="15" hidden="false" customHeight="true" outlineLevel="0" collapsed="false">
      <c r="A4732" s="114" t="n">
        <v>6039680.01</v>
      </c>
      <c r="B4732" s="114" t="n">
        <v>6040960</v>
      </c>
      <c r="C4732" s="114" t="n">
        <v>135546.420000012</v>
      </c>
    </row>
    <row r="4733" customFormat="false" ht="15" hidden="false" customHeight="true" outlineLevel="0" collapsed="false">
      <c r="A4733" s="115" t="n">
        <v>6040960.01</v>
      </c>
      <c r="B4733" s="115" t="n">
        <v>6042240</v>
      </c>
      <c r="C4733" s="115" t="n">
        <v>135575.080000012</v>
      </c>
    </row>
    <row r="4734" customFormat="false" ht="15" hidden="false" customHeight="true" outlineLevel="0" collapsed="false">
      <c r="A4734" s="114" t="n">
        <v>6042240.01</v>
      </c>
      <c r="B4734" s="114" t="n">
        <v>6043520</v>
      </c>
      <c r="C4734" s="114" t="n">
        <v>135603.740000012</v>
      </c>
    </row>
    <row r="4735" customFormat="false" ht="15" hidden="false" customHeight="true" outlineLevel="0" collapsed="false">
      <c r="A4735" s="115" t="n">
        <v>6043520.01</v>
      </c>
      <c r="B4735" s="115" t="n">
        <v>6044800</v>
      </c>
      <c r="C4735" s="115" t="n">
        <v>135632.400000012</v>
      </c>
    </row>
    <row r="4736" customFormat="false" ht="15" hidden="false" customHeight="true" outlineLevel="0" collapsed="false">
      <c r="A4736" s="114" t="n">
        <v>6044800.01</v>
      </c>
      <c r="B4736" s="114" t="n">
        <v>6046080</v>
      </c>
      <c r="C4736" s="114" t="n">
        <v>135661.060000012</v>
      </c>
    </row>
    <row r="4737" customFormat="false" ht="15" hidden="false" customHeight="true" outlineLevel="0" collapsed="false">
      <c r="A4737" s="115" t="n">
        <v>6046080.01</v>
      </c>
      <c r="B4737" s="115" t="n">
        <v>6047360</v>
      </c>
      <c r="C4737" s="115" t="n">
        <v>135689.720000012</v>
      </c>
    </row>
    <row r="4738" customFormat="false" ht="15" hidden="false" customHeight="true" outlineLevel="0" collapsed="false">
      <c r="A4738" s="114" t="n">
        <v>6047360.01</v>
      </c>
      <c r="B4738" s="114" t="n">
        <v>6048640</v>
      </c>
      <c r="C4738" s="114" t="n">
        <v>135718.380000012</v>
      </c>
    </row>
    <row r="4739" customFormat="false" ht="15" hidden="false" customHeight="true" outlineLevel="0" collapsed="false">
      <c r="A4739" s="115" t="n">
        <v>6048640.01</v>
      </c>
      <c r="B4739" s="115" t="n">
        <v>6049920</v>
      </c>
      <c r="C4739" s="115" t="n">
        <v>135747.040000012</v>
      </c>
    </row>
    <row r="4740" customFormat="false" ht="15" hidden="false" customHeight="true" outlineLevel="0" collapsed="false">
      <c r="A4740" s="114" t="n">
        <v>6049920.01</v>
      </c>
      <c r="B4740" s="114" t="n">
        <v>6051200</v>
      </c>
      <c r="C4740" s="114" t="n">
        <v>135775.700000012</v>
      </c>
    </row>
    <row r="4741" customFormat="false" ht="15" hidden="false" customHeight="true" outlineLevel="0" collapsed="false">
      <c r="A4741" s="115" t="n">
        <v>6051200.01</v>
      </c>
      <c r="B4741" s="115" t="n">
        <v>6052480</v>
      </c>
      <c r="C4741" s="115" t="n">
        <v>135804.360000012</v>
      </c>
    </row>
    <row r="4742" customFormat="false" ht="15" hidden="false" customHeight="true" outlineLevel="0" collapsed="false">
      <c r="A4742" s="114" t="n">
        <v>6052480.01</v>
      </c>
      <c r="B4742" s="114" t="n">
        <v>6053760</v>
      </c>
      <c r="C4742" s="114" t="n">
        <v>135833.020000012</v>
      </c>
    </row>
    <row r="4743" customFormat="false" ht="15" hidden="false" customHeight="true" outlineLevel="0" collapsed="false">
      <c r="A4743" s="115" t="n">
        <v>6053760.01</v>
      </c>
      <c r="B4743" s="115" t="n">
        <v>6055040</v>
      </c>
      <c r="C4743" s="115" t="n">
        <v>135861.680000012</v>
      </c>
    </row>
    <row r="4744" customFormat="false" ht="15" hidden="false" customHeight="true" outlineLevel="0" collapsed="false">
      <c r="A4744" s="114" t="n">
        <v>6055040.01</v>
      </c>
      <c r="B4744" s="114" t="n">
        <v>6056320</v>
      </c>
      <c r="C4744" s="114" t="n">
        <v>135890.340000012</v>
      </c>
    </row>
    <row r="4745" customFormat="false" ht="15" hidden="false" customHeight="true" outlineLevel="0" collapsed="false">
      <c r="A4745" s="115" t="n">
        <v>6056320.01</v>
      </c>
      <c r="B4745" s="115" t="n">
        <v>6057600</v>
      </c>
      <c r="C4745" s="115" t="n">
        <v>135919.000000012</v>
      </c>
    </row>
    <row r="4746" customFormat="false" ht="15" hidden="false" customHeight="true" outlineLevel="0" collapsed="false">
      <c r="A4746" s="114" t="n">
        <v>6057600.01</v>
      </c>
      <c r="B4746" s="114" t="n">
        <v>6058880</v>
      </c>
      <c r="C4746" s="114" t="n">
        <v>135947.660000012</v>
      </c>
    </row>
    <row r="4747" customFormat="false" ht="15" hidden="false" customHeight="true" outlineLevel="0" collapsed="false">
      <c r="A4747" s="115" t="n">
        <v>6058880.01</v>
      </c>
      <c r="B4747" s="115" t="n">
        <v>6060160</v>
      </c>
      <c r="C4747" s="115" t="n">
        <v>135976.320000012</v>
      </c>
    </row>
    <row r="4748" customFormat="false" ht="15" hidden="false" customHeight="true" outlineLevel="0" collapsed="false">
      <c r="A4748" s="114" t="n">
        <v>6060160.01</v>
      </c>
      <c r="B4748" s="114" t="n">
        <v>6061440</v>
      </c>
      <c r="C4748" s="114" t="n">
        <v>136004.980000012</v>
      </c>
    </row>
    <row r="4749" customFormat="false" ht="15" hidden="false" customHeight="true" outlineLevel="0" collapsed="false">
      <c r="A4749" s="115" t="n">
        <v>6061440.01</v>
      </c>
      <c r="B4749" s="115" t="n">
        <v>6062720</v>
      </c>
      <c r="C4749" s="115" t="n">
        <v>136033.640000012</v>
      </c>
    </row>
    <row r="4750" customFormat="false" ht="15" hidden="false" customHeight="true" outlineLevel="0" collapsed="false">
      <c r="A4750" s="114" t="n">
        <v>6062720.01</v>
      </c>
      <c r="B4750" s="114" t="n">
        <v>6064000</v>
      </c>
      <c r="C4750" s="114" t="n">
        <v>136062.300000012</v>
      </c>
    </row>
    <row r="4751" customFormat="false" ht="15" hidden="false" customHeight="true" outlineLevel="0" collapsed="false">
      <c r="A4751" s="115" t="n">
        <v>6064000.01</v>
      </c>
      <c r="B4751" s="115" t="n">
        <v>6065280</v>
      </c>
      <c r="C4751" s="115" t="n">
        <v>136090.960000012</v>
      </c>
    </row>
    <row r="4752" customFormat="false" ht="15" hidden="false" customHeight="true" outlineLevel="0" collapsed="false">
      <c r="A4752" s="114" t="n">
        <v>6065280.01</v>
      </c>
      <c r="B4752" s="114" t="n">
        <v>6066560</v>
      </c>
      <c r="C4752" s="114" t="n">
        <v>136119.620000012</v>
      </c>
    </row>
    <row r="4753" customFormat="false" ht="15" hidden="false" customHeight="true" outlineLevel="0" collapsed="false">
      <c r="A4753" s="115" t="n">
        <v>6066560.01</v>
      </c>
      <c r="B4753" s="115" t="n">
        <v>6067840</v>
      </c>
      <c r="C4753" s="115" t="n">
        <v>136148.280000012</v>
      </c>
    </row>
    <row r="4754" customFormat="false" ht="15" hidden="false" customHeight="true" outlineLevel="0" collapsed="false">
      <c r="A4754" s="114" t="n">
        <v>6067840.01</v>
      </c>
      <c r="B4754" s="114" t="n">
        <v>6069120</v>
      </c>
      <c r="C4754" s="114" t="n">
        <v>136176.940000012</v>
      </c>
    </row>
    <row r="4755" customFormat="false" ht="15" hidden="false" customHeight="true" outlineLevel="0" collapsed="false">
      <c r="A4755" s="115" t="n">
        <v>6069120.01</v>
      </c>
      <c r="B4755" s="115" t="n">
        <v>6070400</v>
      </c>
      <c r="C4755" s="115" t="n">
        <v>136205.600000012</v>
      </c>
    </row>
    <row r="4756" customFormat="false" ht="15" hidden="false" customHeight="true" outlineLevel="0" collapsed="false">
      <c r="A4756" s="114" t="n">
        <v>6070400.01</v>
      </c>
      <c r="B4756" s="114" t="n">
        <v>6071680</v>
      </c>
      <c r="C4756" s="114" t="n">
        <v>136234.260000012</v>
      </c>
    </row>
    <row r="4757" customFormat="false" ht="15" hidden="false" customHeight="true" outlineLevel="0" collapsed="false">
      <c r="A4757" s="115" t="n">
        <v>6071680.01</v>
      </c>
      <c r="B4757" s="115" t="n">
        <v>6072960</v>
      </c>
      <c r="C4757" s="115" t="n">
        <v>136262.920000012</v>
      </c>
    </row>
    <row r="4758" customFormat="false" ht="15" hidden="false" customHeight="true" outlineLevel="0" collapsed="false">
      <c r="A4758" s="114" t="n">
        <v>6072960.01</v>
      </c>
      <c r="B4758" s="114" t="n">
        <v>6074240</v>
      </c>
      <c r="C4758" s="114" t="n">
        <v>136291.580000012</v>
      </c>
    </row>
    <row r="4759" customFormat="false" ht="15" hidden="false" customHeight="true" outlineLevel="0" collapsed="false">
      <c r="A4759" s="115" t="n">
        <v>6074240.01</v>
      </c>
      <c r="B4759" s="115" t="n">
        <v>6075520</v>
      </c>
      <c r="C4759" s="115" t="n">
        <v>136320.240000012</v>
      </c>
    </row>
    <row r="4760" customFormat="false" ht="15" hidden="false" customHeight="true" outlineLevel="0" collapsed="false">
      <c r="A4760" s="114" t="n">
        <v>6075520.01</v>
      </c>
      <c r="B4760" s="114" t="n">
        <v>6076800</v>
      </c>
      <c r="C4760" s="114" t="n">
        <v>136348.900000013</v>
      </c>
    </row>
    <row r="4761" customFormat="false" ht="15" hidden="false" customHeight="true" outlineLevel="0" collapsed="false">
      <c r="A4761" s="115" t="n">
        <v>6076800.01</v>
      </c>
      <c r="B4761" s="115" t="n">
        <v>6078080</v>
      </c>
      <c r="C4761" s="115" t="n">
        <v>136377.560000013</v>
      </c>
    </row>
    <row r="4762" customFormat="false" ht="15" hidden="false" customHeight="true" outlineLevel="0" collapsed="false">
      <c r="A4762" s="114" t="n">
        <v>6078080.01</v>
      </c>
      <c r="B4762" s="114" t="n">
        <v>6079360</v>
      </c>
      <c r="C4762" s="114" t="n">
        <v>136406.220000013</v>
      </c>
    </row>
    <row r="4763" customFormat="false" ht="15" hidden="false" customHeight="true" outlineLevel="0" collapsed="false">
      <c r="A4763" s="115" t="n">
        <v>6079360.01</v>
      </c>
      <c r="B4763" s="115" t="n">
        <v>6080640</v>
      </c>
      <c r="C4763" s="115" t="n">
        <v>136434.880000013</v>
      </c>
    </row>
    <row r="4764" customFormat="false" ht="15" hidden="false" customHeight="true" outlineLevel="0" collapsed="false">
      <c r="A4764" s="114" t="n">
        <v>6080640.01</v>
      </c>
      <c r="B4764" s="114" t="n">
        <v>6081920</v>
      </c>
      <c r="C4764" s="114" t="n">
        <v>136463.540000013</v>
      </c>
    </row>
    <row r="4765" customFormat="false" ht="15" hidden="false" customHeight="true" outlineLevel="0" collapsed="false">
      <c r="A4765" s="115" t="n">
        <v>6081920.01</v>
      </c>
      <c r="B4765" s="115" t="n">
        <v>6083200</v>
      </c>
      <c r="C4765" s="115" t="n">
        <v>136492.200000013</v>
      </c>
    </row>
    <row r="4766" customFormat="false" ht="15" hidden="false" customHeight="true" outlineLevel="0" collapsed="false">
      <c r="A4766" s="114" t="n">
        <v>6083200.01</v>
      </c>
      <c r="B4766" s="114" t="n">
        <v>6084480</v>
      </c>
      <c r="C4766" s="114" t="n">
        <v>136520.860000013</v>
      </c>
    </row>
    <row r="4767" customFormat="false" ht="15" hidden="false" customHeight="true" outlineLevel="0" collapsed="false">
      <c r="A4767" s="115" t="n">
        <v>6084480.01</v>
      </c>
      <c r="B4767" s="115" t="n">
        <v>6085760</v>
      </c>
      <c r="C4767" s="115" t="n">
        <v>136549.520000013</v>
      </c>
    </row>
    <row r="4768" customFormat="false" ht="15" hidden="false" customHeight="true" outlineLevel="0" collapsed="false">
      <c r="A4768" s="114" t="n">
        <v>6085760.01</v>
      </c>
      <c r="B4768" s="114" t="n">
        <v>6087040</v>
      </c>
      <c r="C4768" s="114" t="n">
        <v>136578.180000013</v>
      </c>
    </row>
    <row r="4769" customFormat="false" ht="15" hidden="false" customHeight="true" outlineLevel="0" collapsed="false">
      <c r="A4769" s="115" t="n">
        <v>6087040.01</v>
      </c>
      <c r="B4769" s="115" t="n">
        <v>6088320</v>
      </c>
      <c r="C4769" s="115" t="n">
        <v>136606.840000013</v>
      </c>
    </row>
    <row r="4770" customFormat="false" ht="15" hidden="false" customHeight="true" outlineLevel="0" collapsed="false">
      <c r="A4770" s="114" t="n">
        <v>6088320.01</v>
      </c>
      <c r="B4770" s="114" t="n">
        <v>6089600</v>
      </c>
      <c r="C4770" s="114" t="n">
        <v>136635.500000013</v>
      </c>
    </row>
    <row r="4771" customFormat="false" ht="15" hidden="false" customHeight="true" outlineLevel="0" collapsed="false">
      <c r="A4771" s="115" t="n">
        <v>6089600.01</v>
      </c>
      <c r="B4771" s="115" t="n">
        <v>6090880</v>
      </c>
      <c r="C4771" s="115" t="n">
        <v>136664.160000013</v>
      </c>
    </row>
    <row r="4772" customFormat="false" ht="15" hidden="false" customHeight="true" outlineLevel="0" collapsed="false">
      <c r="A4772" s="114" t="n">
        <v>6090880.01</v>
      </c>
      <c r="B4772" s="114" t="n">
        <v>6092160</v>
      </c>
      <c r="C4772" s="114" t="n">
        <v>136692.820000013</v>
      </c>
    </row>
    <row r="4773" customFormat="false" ht="15" hidden="false" customHeight="true" outlineLevel="0" collapsed="false">
      <c r="A4773" s="115" t="n">
        <v>6092160.01</v>
      </c>
      <c r="B4773" s="115" t="n">
        <v>6093440</v>
      </c>
      <c r="C4773" s="115" t="n">
        <v>136721.480000013</v>
      </c>
    </row>
    <row r="4774" customFormat="false" ht="15" hidden="false" customHeight="true" outlineLevel="0" collapsed="false">
      <c r="A4774" s="114" t="n">
        <v>6093440.01</v>
      </c>
      <c r="B4774" s="114" t="n">
        <v>6094720</v>
      </c>
      <c r="C4774" s="114" t="n">
        <v>136750.140000013</v>
      </c>
    </row>
    <row r="4775" customFormat="false" ht="15" hidden="false" customHeight="true" outlineLevel="0" collapsed="false">
      <c r="A4775" s="115" t="n">
        <v>6094720.01</v>
      </c>
      <c r="B4775" s="115" t="n">
        <v>6096000</v>
      </c>
      <c r="C4775" s="115" t="n">
        <v>136778.800000013</v>
      </c>
    </row>
    <row r="4776" customFormat="false" ht="15" hidden="false" customHeight="true" outlineLevel="0" collapsed="false">
      <c r="A4776" s="114" t="n">
        <v>6096000.01</v>
      </c>
      <c r="B4776" s="114" t="n">
        <v>6097280</v>
      </c>
      <c r="C4776" s="114" t="n">
        <v>136807.460000013</v>
      </c>
    </row>
    <row r="4777" customFormat="false" ht="15" hidden="false" customHeight="true" outlineLevel="0" collapsed="false">
      <c r="A4777" s="115" t="n">
        <v>6097280.01</v>
      </c>
      <c r="B4777" s="115" t="n">
        <v>6098560</v>
      </c>
      <c r="C4777" s="115" t="n">
        <v>136836.120000013</v>
      </c>
    </row>
    <row r="4778" customFormat="false" ht="15" hidden="false" customHeight="true" outlineLevel="0" collapsed="false">
      <c r="A4778" s="114" t="n">
        <v>6098560.01</v>
      </c>
      <c r="B4778" s="114" t="n">
        <v>6099840</v>
      </c>
      <c r="C4778" s="114" t="n">
        <v>136864.780000013</v>
      </c>
    </row>
    <row r="4779" customFormat="false" ht="15" hidden="false" customHeight="true" outlineLevel="0" collapsed="false">
      <c r="A4779" s="115" t="n">
        <v>6099840.01</v>
      </c>
      <c r="B4779" s="115" t="n">
        <v>6101120</v>
      </c>
      <c r="C4779" s="115" t="n">
        <v>136893.440000013</v>
      </c>
    </row>
    <row r="4780" customFormat="false" ht="15" hidden="false" customHeight="true" outlineLevel="0" collapsed="false">
      <c r="A4780" s="114" t="n">
        <v>6101120.01</v>
      </c>
      <c r="B4780" s="114" t="n">
        <v>6102400</v>
      </c>
      <c r="C4780" s="114" t="n">
        <v>136922.100000013</v>
      </c>
    </row>
    <row r="4781" customFormat="false" ht="15" hidden="false" customHeight="true" outlineLevel="0" collapsed="false">
      <c r="A4781" s="115" t="n">
        <v>6102400.01</v>
      </c>
      <c r="B4781" s="115" t="n">
        <v>6103680</v>
      </c>
      <c r="C4781" s="115" t="n">
        <v>136950.760000013</v>
      </c>
    </row>
    <row r="4782" customFormat="false" ht="15" hidden="false" customHeight="true" outlineLevel="0" collapsed="false">
      <c r="A4782" s="114" t="n">
        <v>6103680.01</v>
      </c>
      <c r="B4782" s="114" t="n">
        <v>6104960</v>
      </c>
      <c r="C4782" s="114" t="n">
        <v>136979.420000013</v>
      </c>
    </row>
    <row r="4783" customFormat="false" ht="15" hidden="false" customHeight="true" outlineLevel="0" collapsed="false">
      <c r="A4783" s="115" t="n">
        <v>6104960.01</v>
      </c>
      <c r="B4783" s="115" t="n">
        <v>6106240</v>
      </c>
      <c r="C4783" s="115" t="n">
        <v>137008.080000013</v>
      </c>
    </row>
    <row r="4784" customFormat="false" ht="15" hidden="false" customHeight="true" outlineLevel="0" collapsed="false">
      <c r="A4784" s="114" t="n">
        <v>6106240.01</v>
      </c>
      <c r="B4784" s="114" t="n">
        <v>6107520</v>
      </c>
      <c r="C4784" s="114" t="n">
        <v>137036.740000013</v>
      </c>
    </row>
    <row r="4785" customFormat="false" ht="15" hidden="false" customHeight="true" outlineLevel="0" collapsed="false">
      <c r="A4785" s="115" t="n">
        <v>6107520.01</v>
      </c>
      <c r="B4785" s="115" t="n">
        <v>6108800</v>
      </c>
      <c r="C4785" s="115" t="n">
        <v>137065.400000013</v>
      </c>
    </row>
    <row r="4786" customFormat="false" ht="15" hidden="false" customHeight="true" outlineLevel="0" collapsed="false">
      <c r="A4786" s="114" t="n">
        <v>6108800.01</v>
      </c>
      <c r="B4786" s="114" t="n">
        <v>6110080</v>
      </c>
      <c r="C4786" s="114" t="n">
        <v>137094.060000013</v>
      </c>
    </row>
    <row r="4787" customFormat="false" ht="15" hidden="false" customHeight="true" outlineLevel="0" collapsed="false">
      <c r="A4787" s="115" t="n">
        <v>6110080.01</v>
      </c>
      <c r="B4787" s="115" t="n">
        <v>6111360</v>
      </c>
      <c r="C4787" s="115" t="n">
        <v>137122.720000013</v>
      </c>
    </row>
    <row r="4788" customFormat="false" ht="15" hidden="false" customHeight="true" outlineLevel="0" collapsed="false">
      <c r="A4788" s="114" t="n">
        <v>6111360.01</v>
      </c>
      <c r="B4788" s="114" t="n">
        <v>6112640</v>
      </c>
      <c r="C4788" s="114" t="n">
        <v>137151.380000013</v>
      </c>
    </row>
    <row r="4789" customFormat="false" ht="15" hidden="false" customHeight="true" outlineLevel="0" collapsed="false">
      <c r="A4789" s="115" t="n">
        <v>6112640.01</v>
      </c>
      <c r="B4789" s="115" t="n">
        <v>6113920</v>
      </c>
      <c r="C4789" s="115" t="n">
        <v>137180.040000013</v>
      </c>
    </row>
    <row r="4790" customFormat="false" ht="15" hidden="false" customHeight="true" outlineLevel="0" collapsed="false">
      <c r="A4790" s="114" t="n">
        <v>6113920.01</v>
      </c>
      <c r="B4790" s="114" t="n">
        <v>6115200</v>
      </c>
      <c r="C4790" s="114" t="n">
        <v>137208.700000013</v>
      </c>
    </row>
    <row r="4791" customFormat="false" ht="15" hidden="false" customHeight="true" outlineLevel="0" collapsed="false">
      <c r="A4791" s="115" t="n">
        <v>6115200.01</v>
      </c>
      <c r="B4791" s="115" t="n">
        <v>6116480</v>
      </c>
      <c r="C4791" s="115" t="n">
        <v>137237.360000013</v>
      </c>
    </row>
    <row r="4792" customFormat="false" ht="15" hidden="false" customHeight="true" outlineLevel="0" collapsed="false">
      <c r="A4792" s="114" t="n">
        <v>6116480.01</v>
      </c>
      <c r="B4792" s="114" t="n">
        <v>6117760</v>
      </c>
      <c r="C4792" s="114" t="n">
        <v>137266.020000013</v>
      </c>
    </row>
    <row r="4793" customFormat="false" ht="15" hidden="false" customHeight="true" outlineLevel="0" collapsed="false">
      <c r="A4793" s="115" t="n">
        <v>6117760.01</v>
      </c>
      <c r="B4793" s="115" t="n">
        <v>6119040</v>
      </c>
      <c r="C4793" s="115" t="n">
        <v>137294.680000013</v>
      </c>
    </row>
    <row r="4794" customFormat="false" ht="15" hidden="false" customHeight="true" outlineLevel="0" collapsed="false">
      <c r="A4794" s="114" t="n">
        <v>6119040.01</v>
      </c>
      <c r="B4794" s="114" t="n">
        <v>6120320</v>
      </c>
      <c r="C4794" s="114" t="n">
        <v>137323.340000013</v>
      </c>
    </row>
    <row r="4795" customFormat="false" ht="15" hidden="false" customHeight="true" outlineLevel="0" collapsed="false">
      <c r="A4795" s="115" t="n">
        <v>6120320.01</v>
      </c>
      <c r="B4795" s="115" t="n">
        <v>6121600</v>
      </c>
      <c r="C4795" s="115" t="n">
        <v>137352.000000013</v>
      </c>
    </row>
    <row r="4796" customFormat="false" ht="15" hidden="false" customHeight="true" outlineLevel="0" collapsed="false">
      <c r="A4796" s="114" t="n">
        <v>6121600.01</v>
      </c>
      <c r="B4796" s="114" t="n">
        <v>6122880</v>
      </c>
      <c r="C4796" s="114" t="n">
        <v>137380.660000013</v>
      </c>
    </row>
    <row r="4797" customFormat="false" ht="15" hidden="false" customHeight="true" outlineLevel="0" collapsed="false">
      <c r="A4797" s="115" t="n">
        <v>6122880.01</v>
      </c>
      <c r="B4797" s="115" t="n">
        <v>6124160</v>
      </c>
      <c r="C4797" s="115" t="n">
        <v>137409.320000013</v>
      </c>
    </row>
    <row r="4798" customFormat="false" ht="15" hidden="false" customHeight="true" outlineLevel="0" collapsed="false">
      <c r="A4798" s="114" t="n">
        <v>6124160.01</v>
      </c>
      <c r="B4798" s="114" t="n">
        <v>6125440</v>
      </c>
      <c r="C4798" s="114" t="n">
        <v>137437.980000013</v>
      </c>
    </row>
    <row r="4799" customFormat="false" ht="15" hidden="false" customHeight="true" outlineLevel="0" collapsed="false">
      <c r="A4799" s="115" t="n">
        <v>6125440.01</v>
      </c>
      <c r="B4799" s="115" t="n">
        <v>6126720</v>
      </c>
      <c r="C4799" s="115" t="n">
        <v>137466.640000013</v>
      </c>
    </row>
    <row r="4800" customFormat="false" ht="15" hidden="false" customHeight="true" outlineLevel="0" collapsed="false">
      <c r="A4800" s="114" t="n">
        <v>6126720.01</v>
      </c>
      <c r="B4800" s="114" t="n">
        <v>6128000</v>
      </c>
      <c r="C4800" s="114" t="n">
        <v>137495.300000013</v>
      </c>
    </row>
    <row r="4801" customFormat="false" ht="15" hidden="false" customHeight="true" outlineLevel="0" collapsed="false">
      <c r="A4801" s="115" t="n">
        <v>6128000.01</v>
      </c>
      <c r="B4801" s="115" t="n">
        <v>6129280</v>
      </c>
      <c r="C4801" s="115" t="n">
        <v>137523.960000013</v>
      </c>
    </row>
    <row r="4802" customFormat="false" ht="15" hidden="false" customHeight="true" outlineLevel="0" collapsed="false">
      <c r="A4802" s="114" t="n">
        <v>6129280.01</v>
      </c>
      <c r="B4802" s="114" t="n">
        <v>6130560</v>
      </c>
      <c r="C4802" s="114" t="n">
        <v>137552.620000013</v>
      </c>
    </row>
    <row r="4803" customFormat="false" ht="15" hidden="false" customHeight="true" outlineLevel="0" collapsed="false">
      <c r="A4803" s="115" t="n">
        <v>6130560.01</v>
      </c>
      <c r="B4803" s="115" t="n">
        <v>6131840</v>
      </c>
      <c r="C4803" s="115" t="n">
        <v>137581.280000013</v>
      </c>
    </row>
    <row r="4804" customFormat="false" ht="15" hidden="false" customHeight="true" outlineLevel="0" collapsed="false">
      <c r="A4804" s="114" t="n">
        <v>6131840.01</v>
      </c>
      <c r="B4804" s="114" t="n">
        <v>6133120</v>
      </c>
      <c r="C4804" s="114" t="n">
        <v>137609.940000013</v>
      </c>
    </row>
    <row r="4805" customFormat="false" ht="15" hidden="false" customHeight="true" outlineLevel="0" collapsed="false">
      <c r="A4805" s="115" t="n">
        <v>6133120.01</v>
      </c>
      <c r="B4805" s="115" t="n">
        <v>6134400</v>
      </c>
      <c r="C4805" s="115" t="n">
        <v>137638.600000013</v>
      </c>
    </row>
    <row r="4806" customFormat="false" ht="15" hidden="false" customHeight="true" outlineLevel="0" collapsed="false">
      <c r="A4806" s="114" t="n">
        <v>6134400.01</v>
      </c>
      <c r="B4806" s="114" t="n">
        <v>6135680</v>
      </c>
      <c r="C4806" s="114" t="n">
        <v>137667.260000013</v>
      </c>
    </row>
    <row r="4807" customFormat="false" ht="15" hidden="false" customHeight="true" outlineLevel="0" collapsed="false">
      <c r="A4807" s="115" t="n">
        <v>6135680.01</v>
      </c>
      <c r="B4807" s="115" t="n">
        <v>6136960</v>
      </c>
      <c r="C4807" s="115" t="n">
        <v>137695.920000013</v>
      </c>
    </row>
    <row r="4808" customFormat="false" ht="15" hidden="false" customHeight="true" outlineLevel="0" collapsed="false">
      <c r="A4808" s="114" t="n">
        <v>6136960.01</v>
      </c>
      <c r="B4808" s="114" t="n">
        <v>6138240</v>
      </c>
      <c r="C4808" s="114" t="n">
        <v>137724.580000013</v>
      </c>
    </row>
    <row r="4809" customFormat="false" ht="15" hidden="false" customHeight="true" outlineLevel="0" collapsed="false">
      <c r="A4809" s="115" t="n">
        <v>6138240.01</v>
      </c>
      <c r="B4809" s="115" t="n">
        <v>6139520</v>
      </c>
      <c r="C4809" s="115" t="n">
        <v>137753.240000013</v>
      </c>
    </row>
    <row r="4810" customFormat="false" ht="15" hidden="false" customHeight="true" outlineLevel="0" collapsed="false">
      <c r="A4810" s="114" t="n">
        <v>6139520.01</v>
      </c>
      <c r="B4810" s="114" t="n">
        <v>6140800</v>
      </c>
      <c r="C4810" s="114" t="n">
        <v>137781.900000013</v>
      </c>
    </row>
    <row r="4811" customFormat="false" ht="15" hidden="false" customHeight="true" outlineLevel="0" collapsed="false">
      <c r="A4811" s="115" t="n">
        <v>6140800.01</v>
      </c>
      <c r="B4811" s="115" t="n">
        <v>6142080</v>
      </c>
      <c r="C4811" s="115" t="n">
        <v>137810.560000013</v>
      </c>
    </row>
    <row r="4812" customFormat="false" ht="15" hidden="false" customHeight="true" outlineLevel="0" collapsed="false">
      <c r="A4812" s="114" t="n">
        <v>6142080.01</v>
      </c>
      <c r="B4812" s="114" t="n">
        <v>6143360</v>
      </c>
      <c r="C4812" s="114" t="n">
        <v>137839.220000013</v>
      </c>
    </row>
    <row r="4813" customFormat="false" ht="15" hidden="false" customHeight="true" outlineLevel="0" collapsed="false">
      <c r="A4813" s="115" t="n">
        <v>6143360.01</v>
      </c>
      <c r="B4813" s="115" t="n">
        <v>6144640</v>
      </c>
      <c r="C4813" s="115" t="n">
        <v>137867.880000013</v>
      </c>
    </row>
    <row r="4814" customFormat="false" ht="15" hidden="false" customHeight="true" outlineLevel="0" collapsed="false">
      <c r="A4814" s="114" t="n">
        <v>6144640.01</v>
      </c>
      <c r="B4814" s="114" t="n">
        <v>6145920</v>
      </c>
      <c r="C4814" s="114" t="n">
        <v>137896.540000013</v>
      </c>
    </row>
    <row r="4815" customFormat="false" ht="15" hidden="false" customHeight="true" outlineLevel="0" collapsed="false">
      <c r="A4815" s="115" t="n">
        <v>6145920.01</v>
      </c>
      <c r="B4815" s="115" t="n">
        <v>6147200</v>
      </c>
      <c r="C4815" s="115" t="n">
        <v>137925.200000013</v>
      </c>
    </row>
    <row r="4816" customFormat="false" ht="15" hidden="false" customHeight="true" outlineLevel="0" collapsed="false">
      <c r="A4816" s="114" t="n">
        <v>6147200.01</v>
      </c>
      <c r="B4816" s="114" t="n">
        <v>6148480</v>
      </c>
      <c r="C4816" s="114" t="n">
        <v>137953.860000013</v>
      </c>
    </row>
    <row r="4817" customFormat="false" ht="15" hidden="false" customHeight="true" outlineLevel="0" collapsed="false">
      <c r="A4817" s="115" t="n">
        <v>6148480.01</v>
      </c>
      <c r="B4817" s="115" t="n">
        <v>6149760</v>
      </c>
      <c r="C4817" s="115" t="n">
        <v>137982.520000013</v>
      </c>
    </row>
    <row r="4818" customFormat="false" ht="15" hidden="false" customHeight="true" outlineLevel="0" collapsed="false">
      <c r="A4818" s="114" t="n">
        <v>6149760.01</v>
      </c>
      <c r="B4818" s="114" t="n">
        <v>6151040</v>
      </c>
      <c r="C4818" s="114" t="n">
        <v>138011.180000013</v>
      </c>
    </row>
    <row r="4819" customFormat="false" ht="15" hidden="false" customHeight="true" outlineLevel="0" collapsed="false">
      <c r="A4819" s="115" t="n">
        <v>6151040.01</v>
      </c>
      <c r="B4819" s="115" t="n">
        <v>6152320</v>
      </c>
      <c r="C4819" s="115" t="n">
        <v>138039.840000013</v>
      </c>
    </row>
    <row r="4820" customFormat="false" ht="15" hidden="false" customHeight="true" outlineLevel="0" collapsed="false">
      <c r="A4820" s="114" t="n">
        <v>6152320.01</v>
      </c>
      <c r="B4820" s="114" t="n">
        <v>6153600</v>
      </c>
      <c r="C4820" s="114" t="n">
        <v>138068.500000013</v>
      </c>
    </row>
    <row r="4821" customFormat="false" ht="15" hidden="false" customHeight="true" outlineLevel="0" collapsed="false">
      <c r="A4821" s="115" t="n">
        <v>6153600.01</v>
      </c>
      <c r="B4821" s="115" t="n">
        <v>6154880</v>
      </c>
      <c r="C4821" s="115" t="n">
        <v>138097.160000013</v>
      </c>
    </row>
    <row r="4822" customFormat="false" ht="15" hidden="false" customHeight="true" outlineLevel="0" collapsed="false">
      <c r="A4822" s="114" t="n">
        <v>6154880.01</v>
      </c>
      <c r="B4822" s="114" t="n">
        <v>6156160</v>
      </c>
      <c r="C4822" s="114" t="n">
        <v>138125.820000013</v>
      </c>
    </row>
    <row r="4823" customFormat="false" ht="15" hidden="false" customHeight="true" outlineLevel="0" collapsed="false">
      <c r="A4823" s="115" t="n">
        <v>6156160.01</v>
      </c>
      <c r="B4823" s="115" t="n">
        <v>6157440</v>
      </c>
      <c r="C4823" s="115" t="n">
        <v>138154.480000013</v>
      </c>
    </row>
    <row r="4824" customFormat="false" ht="15" hidden="false" customHeight="true" outlineLevel="0" collapsed="false">
      <c r="A4824" s="114" t="n">
        <v>6157440.01</v>
      </c>
      <c r="B4824" s="114" t="n">
        <v>6158720</v>
      </c>
      <c r="C4824" s="114" t="n">
        <v>138183.140000013</v>
      </c>
    </row>
    <row r="4825" customFormat="false" ht="15" hidden="false" customHeight="true" outlineLevel="0" collapsed="false">
      <c r="A4825" s="115" t="n">
        <v>6158720.01</v>
      </c>
      <c r="B4825" s="115" t="n">
        <v>6160000</v>
      </c>
      <c r="C4825" s="115" t="n">
        <v>138211.800000013</v>
      </c>
    </row>
    <row r="4826" customFormat="false" ht="15" hidden="false" customHeight="true" outlineLevel="0" collapsed="false">
      <c r="A4826" s="114" t="n">
        <v>6160000.01</v>
      </c>
      <c r="B4826" s="114" t="n">
        <v>6161280</v>
      </c>
      <c r="C4826" s="114" t="n">
        <v>138240.460000013</v>
      </c>
    </row>
    <row r="4827" customFormat="false" ht="15" hidden="false" customHeight="true" outlineLevel="0" collapsed="false">
      <c r="A4827" s="115" t="n">
        <v>6161280.01</v>
      </c>
      <c r="B4827" s="115" t="n">
        <v>6162560</v>
      </c>
      <c r="C4827" s="115" t="n">
        <v>138269.120000013</v>
      </c>
    </row>
    <row r="4828" customFormat="false" ht="15" hidden="false" customHeight="true" outlineLevel="0" collapsed="false">
      <c r="A4828" s="114" t="n">
        <v>6162560.01</v>
      </c>
      <c r="B4828" s="114" t="n">
        <v>6163840</v>
      </c>
      <c r="C4828" s="114" t="n">
        <v>138297.780000013</v>
      </c>
    </row>
    <row r="4829" customFormat="false" ht="15" hidden="false" customHeight="true" outlineLevel="0" collapsed="false">
      <c r="A4829" s="115" t="n">
        <v>6163840.01</v>
      </c>
      <c r="B4829" s="115" t="n">
        <v>6165120</v>
      </c>
      <c r="C4829" s="115" t="n">
        <v>138326.440000013</v>
      </c>
    </row>
    <row r="4830" customFormat="false" ht="15" hidden="false" customHeight="true" outlineLevel="0" collapsed="false">
      <c r="A4830" s="114" t="n">
        <v>6165120.01</v>
      </c>
      <c r="B4830" s="114" t="n">
        <v>6166400</v>
      </c>
      <c r="C4830" s="114" t="n">
        <v>138355.100000013</v>
      </c>
    </row>
    <row r="4831" customFormat="false" ht="15" hidden="false" customHeight="true" outlineLevel="0" collapsed="false">
      <c r="A4831" s="115" t="n">
        <v>6166400.01</v>
      </c>
      <c r="B4831" s="115" t="n">
        <v>6167680</v>
      </c>
      <c r="C4831" s="115" t="n">
        <v>138383.760000013</v>
      </c>
    </row>
    <row r="4832" customFormat="false" ht="15" hidden="false" customHeight="true" outlineLevel="0" collapsed="false">
      <c r="A4832" s="114" t="n">
        <v>6167680.01</v>
      </c>
      <c r="B4832" s="114" t="n">
        <v>6168960</v>
      </c>
      <c r="C4832" s="114" t="n">
        <v>138412.420000013</v>
      </c>
    </row>
    <row r="4833" customFormat="false" ht="15" hidden="false" customHeight="true" outlineLevel="0" collapsed="false">
      <c r="A4833" s="115" t="n">
        <v>6168960.01</v>
      </c>
      <c r="B4833" s="115" t="n">
        <v>6170240</v>
      </c>
      <c r="C4833" s="115" t="n">
        <v>138441.080000013</v>
      </c>
    </row>
    <row r="4834" customFormat="false" ht="15" hidden="false" customHeight="true" outlineLevel="0" collapsed="false">
      <c r="A4834" s="114" t="n">
        <v>6170240.01</v>
      </c>
      <c r="B4834" s="114" t="n">
        <v>6171520</v>
      </c>
      <c r="C4834" s="114" t="n">
        <v>138469.740000013</v>
      </c>
    </row>
    <row r="4835" customFormat="false" ht="15" hidden="false" customHeight="true" outlineLevel="0" collapsed="false">
      <c r="A4835" s="115" t="n">
        <v>6171520.01</v>
      </c>
      <c r="B4835" s="115" t="n">
        <v>6172800</v>
      </c>
      <c r="C4835" s="115" t="n">
        <v>138498.400000013</v>
      </c>
    </row>
    <row r="4836" customFormat="false" ht="15" hidden="false" customHeight="true" outlineLevel="0" collapsed="false">
      <c r="A4836" s="114" t="n">
        <v>6172800.01</v>
      </c>
      <c r="B4836" s="114" t="n">
        <v>6174080</v>
      </c>
      <c r="C4836" s="114" t="n">
        <v>138527.060000013</v>
      </c>
    </row>
    <row r="4837" customFormat="false" ht="15" hidden="false" customHeight="true" outlineLevel="0" collapsed="false">
      <c r="A4837" s="115" t="n">
        <v>6174080.01</v>
      </c>
      <c r="B4837" s="115" t="n">
        <v>6175360</v>
      </c>
      <c r="C4837" s="115" t="n">
        <v>138555.720000013</v>
      </c>
    </row>
    <row r="4838" customFormat="false" ht="15" hidden="false" customHeight="true" outlineLevel="0" collapsed="false">
      <c r="A4838" s="114" t="n">
        <v>6175360.01</v>
      </c>
      <c r="B4838" s="114" t="n">
        <v>6176640</v>
      </c>
      <c r="C4838" s="114" t="n">
        <v>138584.380000013</v>
      </c>
    </row>
    <row r="4839" customFormat="false" ht="15" hidden="false" customHeight="true" outlineLevel="0" collapsed="false">
      <c r="A4839" s="115" t="n">
        <v>6176640.01</v>
      </c>
      <c r="B4839" s="115" t="n">
        <v>6177920</v>
      </c>
      <c r="C4839" s="115" t="n">
        <v>138613.040000013</v>
      </c>
    </row>
    <row r="4840" customFormat="false" ht="15" hidden="false" customHeight="true" outlineLevel="0" collapsed="false">
      <c r="A4840" s="114" t="n">
        <v>6177920.01</v>
      </c>
      <c r="B4840" s="114" t="n">
        <v>6179200</v>
      </c>
      <c r="C4840" s="114" t="n">
        <v>138641.700000013</v>
      </c>
    </row>
    <row r="4841" customFormat="false" ht="15" hidden="false" customHeight="true" outlineLevel="0" collapsed="false">
      <c r="A4841" s="115" t="n">
        <v>6179200.01</v>
      </c>
      <c r="B4841" s="115" t="n">
        <v>6180480</v>
      </c>
      <c r="C4841" s="115" t="n">
        <v>138670.360000013</v>
      </c>
    </row>
    <row r="4842" customFormat="false" ht="15" hidden="false" customHeight="true" outlineLevel="0" collapsed="false">
      <c r="A4842" s="114" t="n">
        <v>6180480.01</v>
      </c>
      <c r="B4842" s="114" t="n">
        <v>6181760</v>
      </c>
      <c r="C4842" s="114" t="n">
        <v>138699.020000013</v>
      </c>
    </row>
    <row r="4843" customFormat="false" ht="15" hidden="false" customHeight="true" outlineLevel="0" collapsed="false">
      <c r="A4843" s="115" t="n">
        <v>6181760.01</v>
      </c>
      <c r="B4843" s="115" t="n">
        <v>6183040</v>
      </c>
      <c r="C4843" s="115" t="n">
        <v>138727.680000013</v>
      </c>
    </row>
    <row r="4844" customFormat="false" ht="15" hidden="false" customHeight="true" outlineLevel="0" collapsed="false">
      <c r="A4844" s="114" t="n">
        <v>6183040.01</v>
      </c>
      <c r="B4844" s="114" t="n">
        <v>6184320</v>
      </c>
      <c r="C4844" s="114" t="n">
        <v>138756.340000013</v>
      </c>
    </row>
    <row r="4845" customFormat="false" ht="15" hidden="false" customHeight="true" outlineLevel="0" collapsed="false">
      <c r="A4845" s="115" t="n">
        <v>6184320.01</v>
      </c>
      <c r="B4845" s="115" t="n">
        <v>6185600</v>
      </c>
      <c r="C4845" s="115" t="n">
        <v>138785.000000013</v>
      </c>
    </row>
    <row r="4846" customFormat="false" ht="15" hidden="false" customHeight="true" outlineLevel="0" collapsed="false">
      <c r="A4846" s="114" t="n">
        <v>6185600.01</v>
      </c>
      <c r="B4846" s="114" t="n">
        <v>6186880</v>
      </c>
      <c r="C4846" s="114" t="n">
        <v>138813.660000013</v>
      </c>
    </row>
    <row r="4847" customFormat="false" ht="15" hidden="false" customHeight="true" outlineLevel="0" collapsed="false">
      <c r="A4847" s="115" t="n">
        <v>6186880.01</v>
      </c>
      <c r="B4847" s="115" t="n">
        <v>6188160</v>
      </c>
      <c r="C4847" s="115" t="n">
        <v>138842.320000013</v>
      </c>
    </row>
    <row r="4848" customFormat="false" ht="15" hidden="false" customHeight="true" outlineLevel="0" collapsed="false">
      <c r="A4848" s="114" t="n">
        <v>6188160.01</v>
      </c>
      <c r="B4848" s="114" t="n">
        <v>6189440</v>
      </c>
      <c r="C4848" s="114" t="n">
        <v>138870.980000013</v>
      </c>
    </row>
    <row r="4849" customFormat="false" ht="15" hidden="false" customHeight="true" outlineLevel="0" collapsed="false">
      <c r="A4849" s="115" t="n">
        <v>6189440.01</v>
      </c>
      <c r="B4849" s="115" t="n">
        <v>6190720</v>
      </c>
      <c r="C4849" s="115" t="n">
        <v>138899.640000013</v>
      </c>
    </row>
    <row r="4850" customFormat="false" ht="15" hidden="false" customHeight="true" outlineLevel="0" collapsed="false">
      <c r="A4850" s="114" t="n">
        <v>6190720.01</v>
      </c>
      <c r="B4850" s="114" t="n">
        <v>6192000</v>
      </c>
      <c r="C4850" s="114" t="n">
        <v>138928.300000013</v>
      </c>
    </row>
    <row r="4851" customFormat="false" ht="15" hidden="false" customHeight="true" outlineLevel="0" collapsed="false">
      <c r="A4851" s="115" t="n">
        <v>6192000.01</v>
      </c>
      <c r="B4851" s="115" t="n">
        <v>6193280</v>
      </c>
      <c r="C4851" s="115" t="n">
        <v>138956.960000013</v>
      </c>
    </row>
    <row r="4852" customFormat="false" ht="15" hidden="false" customHeight="true" outlineLevel="0" collapsed="false">
      <c r="A4852" s="114" t="n">
        <v>6193280.01</v>
      </c>
      <c r="B4852" s="114" t="n">
        <v>6194560</v>
      </c>
      <c r="C4852" s="114" t="n">
        <v>138985.620000013</v>
      </c>
    </row>
    <row r="4853" customFormat="false" ht="15" hidden="false" customHeight="true" outlineLevel="0" collapsed="false">
      <c r="A4853" s="115" t="n">
        <v>6194560.01</v>
      </c>
      <c r="B4853" s="115" t="n">
        <v>6195840</v>
      </c>
      <c r="C4853" s="115" t="n">
        <v>139014.280000013</v>
      </c>
    </row>
    <row r="4854" customFormat="false" ht="15" hidden="false" customHeight="true" outlineLevel="0" collapsed="false">
      <c r="A4854" s="114" t="n">
        <v>6195840.01</v>
      </c>
      <c r="B4854" s="114" t="n">
        <v>6197120</v>
      </c>
      <c r="C4854" s="114" t="n">
        <v>139042.940000013</v>
      </c>
    </row>
    <row r="4855" customFormat="false" ht="15" hidden="false" customHeight="true" outlineLevel="0" collapsed="false">
      <c r="A4855" s="115" t="n">
        <v>6197120.01</v>
      </c>
      <c r="B4855" s="115" t="n">
        <v>6198400</v>
      </c>
      <c r="C4855" s="115" t="n">
        <v>139071.600000013</v>
      </c>
    </row>
    <row r="4856" customFormat="false" ht="15" hidden="false" customHeight="true" outlineLevel="0" collapsed="false">
      <c r="A4856" s="114" t="n">
        <v>6198400.01</v>
      </c>
      <c r="B4856" s="114" t="n">
        <v>6199680</v>
      </c>
      <c r="C4856" s="114" t="n">
        <v>139100.260000013</v>
      </c>
    </row>
    <row r="4857" customFormat="false" ht="15" hidden="false" customHeight="true" outlineLevel="0" collapsed="false">
      <c r="A4857" s="115" t="n">
        <v>6199680.01</v>
      </c>
      <c r="B4857" s="115" t="n">
        <v>6200960</v>
      </c>
      <c r="C4857" s="115" t="n">
        <v>139128.920000013</v>
      </c>
    </row>
    <row r="4858" customFormat="false" ht="15" hidden="false" customHeight="true" outlineLevel="0" collapsed="false">
      <c r="A4858" s="114" t="n">
        <v>6200960.01</v>
      </c>
      <c r="B4858" s="114" t="n">
        <v>6202240</v>
      </c>
      <c r="C4858" s="114" t="n">
        <v>139157.580000013</v>
      </c>
    </row>
    <row r="4859" customFormat="false" ht="15" hidden="false" customHeight="true" outlineLevel="0" collapsed="false">
      <c r="A4859" s="115" t="n">
        <v>6202240.01</v>
      </c>
      <c r="B4859" s="115" t="n">
        <v>6203520</v>
      </c>
      <c r="C4859" s="115" t="n">
        <v>139186.240000013</v>
      </c>
    </row>
    <row r="4860" customFormat="false" ht="15" hidden="false" customHeight="true" outlineLevel="0" collapsed="false">
      <c r="A4860" s="114" t="n">
        <v>6203520.01</v>
      </c>
      <c r="B4860" s="114" t="n">
        <v>6204800</v>
      </c>
      <c r="C4860" s="114" t="n">
        <v>139214.900000013</v>
      </c>
    </row>
    <row r="4861" customFormat="false" ht="15" hidden="false" customHeight="true" outlineLevel="0" collapsed="false">
      <c r="A4861" s="115" t="n">
        <v>6204800.01</v>
      </c>
      <c r="B4861" s="115" t="n">
        <v>6206080</v>
      </c>
      <c r="C4861" s="115" t="n">
        <v>139243.560000013</v>
      </c>
    </row>
    <row r="4862" customFormat="false" ht="15" hidden="false" customHeight="true" outlineLevel="0" collapsed="false">
      <c r="A4862" s="114" t="n">
        <v>6206080.01</v>
      </c>
      <c r="B4862" s="114" t="n">
        <v>6207360</v>
      </c>
      <c r="C4862" s="114" t="n">
        <v>139272.220000013</v>
      </c>
    </row>
    <row r="4863" customFormat="false" ht="15" hidden="false" customHeight="true" outlineLevel="0" collapsed="false">
      <c r="A4863" s="115" t="n">
        <v>6207360.01</v>
      </c>
      <c r="B4863" s="115" t="n">
        <v>6208640</v>
      </c>
      <c r="C4863" s="115" t="n">
        <v>139300.880000013</v>
      </c>
    </row>
    <row r="4864" customFormat="false" ht="15" hidden="false" customHeight="true" outlineLevel="0" collapsed="false">
      <c r="A4864" s="114" t="n">
        <v>6208640.01</v>
      </c>
      <c r="B4864" s="114" t="n">
        <v>6209920</v>
      </c>
      <c r="C4864" s="114" t="n">
        <v>139329.540000013</v>
      </c>
    </row>
    <row r="4865" customFormat="false" ht="15" hidden="false" customHeight="true" outlineLevel="0" collapsed="false">
      <c r="A4865" s="115" t="n">
        <v>6209920.01</v>
      </c>
      <c r="B4865" s="115" t="n">
        <v>6211200</v>
      </c>
      <c r="C4865" s="115" t="n">
        <v>139358.200000013</v>
      </c>
    </row>
    <row r="4866" customFormat="false" ht="15" hidden="false" customHeight="true" outlineLevel="0" collapsed="false">
      <c r="A4866" s="114" t="n">
        <v>6211200.01</v>
      </c>
      <c r="B4866" s="114" t="n">
        <v>6212480</v>
      </c>
      <c r="C4866" s="114" t="n">
        <v>139386.860000013</v>
      </c>
    </row>
    <row r="4867" customFormat="false" ht="15" hidden="false" customHeight="true" outlineLevel="0" collapsed="false">
      <c r="A4867" s="115" t="n">
        <v>6212480.01</v>
      </c>
      <c r="B4867" s="115" t="n">
        <v>6213760</v>
      </c>
      <c r="C4867" s="115" t="n">
        <v>139415.520000013</v>
      </c>
    </row>
    <row r="4868" customFormat="false" ht="15" hidden="false" customHeight="true" outlineLevel="0" collapsed="false">
      <c r="A4868" s="114" t="n">
        <v>6213760.01</v>
      </c>
      <c r="B4868" s="114" t="n">
        <v>6215040</v>
      </c>
      <c r="C4868" s="114" t="n">
        <v>139444.180000013</v>
      </c>
    </row>
    <row r="4869" customFormat="false" ht="15" hidden="false" customHeight="true" outlineLevel="0" collapsed="false">
      <c r="A4869" s="115" t="n">
        <v>6215040.01</v>
      </c>
      <c r="B4869" s="115" t="n">
        <v>6216320</v>
      </c>
      <c r="C4869" s="115" t="n">
        <v>139472.840000013</v>
      </c>
    </row>
    <row r="4870" customFormat="false" ht="15" hidden="false" customHeight="true" outlineLevel="0" collapsed="false">
      <c r="A4870" s="114" t="n">
        <v>6216320.01</v>
      </c>
      <c r="B4870" s="114" t="n">
        <v>6217600</v>
      </c>
      <c r="C4870" s="114" t="n">
        <v>139501.500000013</v>
      </c>
    </row>
    <row r="4871" customFormat="false" ht="15" hidden="false" customHeight="true" outlineLevel="0" collapsed="false">
      <c r="A4871" s="115" t="n">
        <v>6217600.01</v>
      </c>
      <c r="B4871" s="115" t="n">
        <v>6218880</v>
      </c>
      <c r="C4871" s="115" t="n">
        <v>139530.160000013</v>
      </c>
    </row>
    <row r="4872" customFormat="false" ht="15" hidden="false" customHeight="true" outlineLevel="0" collapsed="false">
      <c r="A4872" s="114" t="n">
        <v>6218880.01</v>
      </c>
      <c r="B4872" s="114" t="n">
        <v>6220160</v>
      </c>
      <c r="C4872" s="114" t="n">
        <v>139558.820000013</v>
      </c>
    </row>
    <row r="4873" customFormat="false" ht="15" hidden="false" customHeight="true" outlineLevel="0" collapsed="false">
      <c r="A4873" s="115" t="n">
        <v>6220160.01</v>
      </c>
      <c r="B4873" s="115" t="n">
        <v>6221440</v>
      </c>
      <c r="C4873" s="115" t="n">
        <v>139587.480000013</v>
      </c>
    </row>
    <row r="4874" customFormat="false" ht="15" hidden="false" customHeight="true" outlineLevel="0" collapsed="false">
      <c r="A4874" s="114" t="n">
        <v>6221440.01</v>
      </c>
      <c r="B4874" s="114" t="n">
        <v>6222720</v>
      </c>
      <c r="C4874" s="114" t="n">
        <v>139616.140000013</v>
      </c>
    </row>
    <row r="4875" customFormat="false" ht="15" hidden="false" customHeight="true" outlineLevel="0" collapsed="false">
      <c r="A4875" s="115" t="n">
        <v>6222720.01</v>
      </c>
      <c r="B4875" s="115" t="n">
        <v>6224000</v>
      </c>
      <c r="C4875" s="115" t="n">
        <v>139644.800000013</v>
      </c>
    </row>
    <row r="4876" customFormat="false" ht="15" hidden="false" customHeight="true" outlineLevel="0" collapsed="false">
      <c r="A4876" s="114" t="n">
        <v>6224000.01</v>
      </c>
      <c r="B4876" s="114" t="n">
        <v>6225280</v>
      </c>
      <c r="C4876" s="114" t="n">
        <v>139673.460000013</v>
      </c>
    </row>
    <row r="4877" customFormat="false" ht="15" hidden="false" customHeight="true" outlineLevel="0" collapsed="false">
      <c r="A4877" s="115" t="n">
        <v>6225280.01</v>
      </c>
      <c r="B4877" s="115" t="n">
        <v>6226560</v>
      </c>
      <c r="C4877" s="115" t="n">
        <v>139702.120000013</v>
      </c>
    </row>
    <row r="4878" customFormat="false" ht="15" hidden="false" customHeight="true" outlineLevel="0" collapsed="false">
      <c r="A4878" s="114" t="n">
        <v>6226560.01</v>
      </c>
      <c r="B4878" s="114" t="n">
        <v>6227840</v>
      </c>
      <c r="C4878" s="114" t="n">
        <v>139730.780000013</v>
      </c>
    </row>
    <row r="4879" customFormat="false" ht="15" hidden="false" customHeight="true" outlineLevel="0" collapsed="false">
      <c r="A4879" s="115" t="n">
        <v>6227840.01</v>
      </c>
      <c r="B4879" s="115" t="n">
        <v>6229120</v>
      </c>
      <c r="C4879" s="115" t="n">
        <v>139759.440000013</v>
      </c>
    </row>
    <row r="4880" customFormat="false" ht="15" hidden="false" customHeight="true" outlineLevel="0" collapsed="false">
      <c r="A4880" s="114" t="n">
        <v>6229120.01</v>
      </c>
      <c r="B4880" s="114" t="n">
        <v>6230400</v>
      </c>
      <c r="C4880" s="114" t="n">
        <v>139788.100000013</v>
      </c>
    </row>
    <row r="4881" customFormat="false" ht="15" hidden="false" customHeight="true" outlineLevel="0" collapsed="false">
      <c r="A4881" s="115" t="n">
        <v>6230400.01</v>
      </c>
      <c r="B4881" s="115" t="n">
        <v>6231680</v>
      </c>
      <c r="C4881" s="115" t="n">
        <v>139816.760000013</v>
      </c>
    </row>
    <row r="4882" customFormat="false" ht="15" hidden="false" customHeight="true" outlineLevel="0" collapsed="false">
      <c r="A4882" s="114" t="n">
        <v>6231680.01</v>
      </c>
      <c r="B4882" s="114" t="n">
        <v>6232960</v>
      </c>
      <c r="C4882" s="114" t="n">
        <v>139845.420000013</v>
      </c>
    </row>
    <row r="4883" customFormat="false" ht="15" hidden="false" customHeight="true" outlineLevel="0" collapsed="false">
      <c r="A4883" s="115" t="n">
        <v>6232960.01</v>
      </c>
      <c r="B4883" s="115" t="n">
        <v>6234240</v>
      </c>
      <c r="C4883" s="115" t="n">
        <v>139874.080000013</v>
      </c>
    </row>
    <row r="4884" customFormat="false" ht="15" hidden="false" customHeight="true" outlineLevel="0" collapsed="false">
      <c r="A4884" s="114" t="n">
        <v>6234240.01</v>
      </c>
      <c r="B4884" s="114" t="n">
        <v>6235520</v>
      </c>
      <c r="C4884" s="114" t="n">
        <v>139902.740000013</v>
      </c>
    </row>
    <row r="4885" customFormat="false" ht="15" hidden="false" customHeight="true" outlineLevel="0" collapsed="false">
      <c r="A4885" s="115" t="n">
        <v>6235520.01</v>
      </c>
      <c r="B4885" s="115" t="n">
        <v>6236800</v>
      </c>
      <c r="C4885" s="115" t="n">
        <v>139931.400000013</v>
      </c>
    </row>
    <row r="4886" customFormat="false" ht="15" hidden="false" customHeight="true" outlineLevel="0" collapsed="false">
      <c r="A4886" s="114" t="n">
        <v>6236800.01</v>
      </c>
      <c r="B4886" s="114" t="n">
        <v>6238080</v>
      </c>
      <c r="C4886" s="114" t="n">
        <v>139960.060000013</v>
      </c>
    </row>
    <row r="4887" customFormat="false" ht="15" hidden="false" customHeight="true" outlineLevel="0" collapsed="false">
      <c r="A4887" s="115" t="n">
        <v>6238080.01</v>
      </c>
      <c r="B4887" s="115" t="n">
        <v>6239360</v>
      </c>
      <c r="C4887" s="115" t="n">
        <v>139988.720000013</v>
      </c>
    </row>
    <row r="4888" customFormat="false" ht="15" hidden="false" customHeight="true" outlineLevel="0" collapsed="false">
      <c r="A4888" s="114" t="n">
        <v>6239360.01</v>
      </c>
      <c r="B4888" s="114" t="n">
        <v>6240640</v>
      </c>
      <c r="C4888" s="114" t="n">
        <v>140017.380000013</v>
      </c>
    </row>
    <row r="4889" customFormat="false" ht="15" hidden="false" customHeight="true" outlineLevel="0" collapsed="false">
      <c r="A4889" s="115" t="n">
        <v>6240640.01</v>
      </c>
      <c r="B4889" s="115" t="n">
        <v>6241920</v>
      </c>
      <c r="C4889" s="115" t="n">
        <v>140046.040000013</v>
      </c>
    </row>
    <row r="4890" customFormat="false" ht="15" hidden="false" customHeight="true" outlineLevel="0" collapsed="false">
      <c r="A4890" s="114" t="n">
        <v>6241920.01</v>
      </c>
      <c r="B4890" s="114" t="n">
        <v>6243200</v>
      </c>
      <c r="C4890" s="114" t="n">
        <v>140074.700000013</v>
      </c>
    </row>
    <row r="4891" customFormat="false" ht="15" hidden="false" customHeight="true" outlineLevel="0" collapsed="false">
      <c r="A4891" s="115" t="n">
        <v>6243200.01</v>
      </c>
      <c r="B4891" s="115" t="n">
        <v>6244480</v>
      </c>
      <c r="C4891" s="115" t="n">
        <v>140103.360000013</v>
      </c>
    </row>
    <row r="4892" customFormat="false" ht="15" hidden="false" customHeight="true" outlineLevel="0" collapsed="false">
      <c r="A4892" s="114" t="n">
        <v>6244480.01</v>
      </c>
      <c r="B4892" s="114" t="n">
        <v>6245760</v>
      </c>
      <c r="C4892" s="114" t="n">
        <v>140132.020000013</v>
      </c>
    </row>
    <row r="4893" customFormat="false" ht="15" hidden="false" customHeight="true" outlineLevel="0" collapsed="false">
      <c r="A4893" s="115" t="n">
        <v>6245760.01</v>
      </c>
      <c r="B4893" s="115" t="n">
        <v>6247040</v>
      </c>
      <c r="C4893" s="115" t="n">
        <v>140160.680000013</v>
      </c>
    </row>
    <row r="4894" customFormat="false" ht="15" hidden="false" customHeight="true" outlineLevel="0" collapsed="false">
      <c r="A4894" s="114" t="n">
        <v>6247040.01</v>
      </c>
      <c r="B4894" s="114" t="n">
        <v>6248320</v>
      </c>
      <c r="C4894" s="114" t="n">
        <v>140189.340000013</v>
      </c>
    </row>
    <row r="4895" customFormat="false" ht="15" hidden="false" customHeight="true" outlineLevel="0" collapsed="false">
      <c r="A4895" s="115" t="n">
        <v>6248320.01</v>
      </c>
      <c r="B4895" s="115" t="n">
        <v>6249600</v>
      </c>
      <c r="C4895" s="115" t="n">
        <v>140218.000000013</v>
      </c>
    </row>
    <row r="4896" customFormat="false" ht="15" hidden="false" customHeight="true" outlineLevel="0" collapsed="false">
      <c r="A4896" s="114" t="n">
        <v>6249600.01</v>
      </c>
      <c r="B4896" s="114" t="n">
        <v>6250880</v>
      </c>
      <c r="C4896" s="114" t="n">
        <v>140246.660000013</v>
      </c>
    </row>
    <row r="4897" customFormat="false" ht="15" hidden="false" customHeight="true" outlineLevel="0" collapsed="false">
      <c r="A4897" s="115" t="n">
        <v>6250880.01</v>
      </c>
      <c r="B4897" s="115" t="n">
        <v>6252160</v>
      </c>
      <c r="C4897" s="115" t="n">
        <v>140275.320000013</v>
      </c>
    </row>
    <row r="4898" customFormat="false" ht="15" hidden="false" customHeight="true" outlineLevel="0" collapsed="false">
      <c r="A4898" s="114" t="n">
        <v>6252160.01</v>
      </c>
      <c r="B4898" s="114" t="n">
        <v>6253440</v>
      </c>
      <c r="C4898" s="114" t="n">
        <v>140303.980000013</v>
      </c>
    </row>
    <row r="4899" customFormat="false" ht="15" hidden="false" customHeight="true" outlineLevel="0" collapsed="false">
      <c r="A4899" s="115" t="n">
        <v>6253440.01</v>
      </c>
      <c r="B4899" s="115" t="n">
        <v>6254720</v>
      </c>
      <c r="C4899" s="115" t="n">
        <v>140332.640000013</v>
      </c>
    </row>
    <row r="4900" customFormat="false" ht="15" hidden="false" customHeight="true" outlineLevel="0" collapsed="false">
      <c r="A4900" s="114" t="n">
        <v>6254720.01</v>
      </c>
      <c r="B4900" s="114" t="n">
        <v>6256000</v>
      </c>
      <c r="C4900" s="114" t="n">
        <v>140361.300000013</v>
      </c>
    </row>
    <row r="4901" customFormat="false" ht="15" hidden="false" customHeight="true" outlineLevel="0" collapsed="false">
      <c r="A4901" s="115" t="n">
        <v>6256000.01</v>
      </c>
      <c r="B4901" s="115" t="n">
        <v>6257280</v>
      </c>
      <c r="C4901" s="115" t="n">
        <v>140389.960000013</v>
      </c>
    </row>
    <row r="4902" customFormat="false" ht="15" hidden="false" customHeight="true" outlineLevel="0" collapsed="false">
      <c r="A4902" s="114" t="n">
        <v>6257280.01</v>
      </c>
      <c r="B4902" s="114" t="n">
        <v>6258560</v>
      </c>
      <c r="C4902" s="114" t="n">
        <v>140418.620000013</v>
      </c>
    </row>
    <row r="4903" customFormat="false" ht="15" hidden="false" customHeight="true" outlineLevel="0" collapsed="false">
      <c r="A4903" s="115" t="n">
        <v>6258560.01</v>
      </c>
      <c r="B4903" s="115" t="n">
        <v>6259840</v>
      </c>
      <c r="C4903" s="115" t="n">
        <v>140447.280000013</v>
      </c>
    </row>
    <row r="4904" customFormat="false" ht="15" hidden="false" customHeight="true" outlineLevel="0" collapsed="false">
      <c r="A4904" s="114" t="n">
        <v>6259840.01</v>
      </c>
      <c r="B4904" s="114" t="n">
        <v>6261120</v>
      </c>
      <c r="C4904" s="114" t="n">
        <v>140475.940000013</v>
      </c>
    </row>
    <row r="4905" customFormat="false" ht="15" hidden="false" customHeight="true" outlineLevel="0" collapsed="false">
      <c r="A4905" s="115" t="n">
        <v>6261120.01</v>
      </c>
      <c r="B4905" s="115" t="n">
        <v>6262400</v>
      </c>
      <c r="C4905" s="115" t="n">
        <v>140504.600000013</v>
      </c>
    </row>
    <row r="4906" customFormat="false" ht="15" hidden="false" customHeight="true" outlineLevel="0" collapsed="false">
      <c r="A4906" s="114" t="n">
        <v>6262400.01</v>
      </c>
      <c r="B4906" s="114" t="n">
        <v>6263680</v>
      </c>
      <c r="C4906" s="114" t="n">
        <v>140533.260000013</v>
      </c>
    </row>
    <row r="4907" customFormat="false" ht="15" hidden="false" customHeight="true" outlineLevel="0" collapsed="false">
      <c r="A4907" s="115" t="n">
        <v>6263680.01</v>
      </c>
      <c r="B4907" s="115" t="n">
        <v>6264960</v>
      </c>
      <c r="C4907" s="115" t="n">
        <v>140561.920000013</v>
      </c>
    </row>
    <row r="4908" customFormat="false" ht="15" hidden="false" customHeight="true" outlineLevel="0" collapsed="false">
      <c r="A4908" s="114" t="n">
        <v>6264960.01</v>
      </c>
      <c r="B4908" s="114" t="n">
        <v>6266240</v>
      </c>
      <c r="C4908" s="114" t="n">
        <v>140590.580000013</v>
      </c>
    </row>
    <row r="4909" customFormat="false" ht="15" hidden="false" customHeight="true" outlineLevel="0" collapsed="false">
      <c r="A4909" s="115" t="n">
        <v>6266240.01</v>
      </c>
      <c r="B4909" s="115" t="n">
        <v>6267520</v>
      </c>
      <c r="C4909" s="115" t="n">
        <v>140619.240000013</v>
      </c>
    </row>
    <row r="4910" customFormat="false" ht="15" hidden="false" customHeight="true" outlineLevel="0" collapsed="false">
      <c r="A4910" s="114" t="n">
        <v>6267520.01</v>
      </c>
      <c r="B4910" s="114" t="n">
        <v>6268800</v>
      </c>
      <c r="C4910" s="114" t="n">
        <v>140647.900000013</v>
      </c>
    </row>
    <row r="4911" customFormat="false" ht="15" hidden="false" customHeight="true" outlineLevel="0" collapsed="false">
      <c r="A4911" s="115" t="n">
        <v>6268800.01</v>
      </c>
      <c r="B4911" s="115" t="n">
        <v>6270080</v>
      </c>
      <c r="C4911" s="115" t="n">
        <v>140676.560000013</v>
      </c>
    </row>
    <row r="4912" customFormat="false" ht="15" hidden="false" customHeight="true" outlineLevel="0" collapsed="false">
      <c r="A4912" s="114" t="n">
        <v>6270080.01</v>
      </c>
      <c r="B4912" s="114" t="n">
        <v>6271360</v>
      </c>
      <c r="C4912" s="114" t="n">
        <v>140705.220000013</v>
      </c>
    </row>
    <row r="4913" customFormat="false" ht="15" hidden="false" customHeight="true" outlineLevel="0" collapsed="false">
      <c r="A4913" s="115" t="n">
        <v>6271360.01</v>
      </c>
      <c r="B4913" s="115" t="n">
        <v>6272640</v>
      </c>
      <c r="C4913" s="115" t="n">
        <v>140733.880000013</v>
      </c>
    </row>
    <row r="4914" customFormat="false" ht="15" hidden="false" customHeight="true" outlineLevel="0" collapsed="false">
      <c r="A4914" s="114" t="n">
        <v>6272640.01</v>
      </c>
      <c r="B4914" s="114" t="n">
        <v>6273920</v>
      </c>
      <c r="C4914" s="114" t="n">
        <v>140762.540000013</v>
      </c>
    </row>
    <row r="4915" customFormat="false" ht="15" hidden="false" customHeight="true" outlineLevel="0" collapsed="false">
      <c r="A4915" s="115" t="n">
        <v>6273920.01</v>
      </c>
      <c r="B4915" s="115" t="n">
        <v>6275200</v>
      </c>
      <c r="C4915" s="115" t="n">
        <v>140791.200000013</v>
      </c>
    </row>
    <row r="4916" customFormat="false" ht="15" hidden="false" customHeight="true" outlineLevel="0" collapsed="false">
      <c r="A4916" s="114" t="n">
        <v>6275200.01</v>
      </c>
      <c r="B4916" s="114" t="n">
        <v>6276480</v>
      </c>
      <c r="C4916" s="114" t="n">
        <v>140819.860000013</v>
      </c>
    </row>
    <row r="4917" customFormat="false" ht="15" hidden="false" customHeight="true" outlineLevel="0" collapsed="false">
      <c r="A4917" s="115" t="n">
        <v>6276480.01</v>
      </c>
      <c r="B4917" s="115" t="n">
        <v>6277760</v>
      </c>
      <c r="C4917" s="115" t="n">
        <v>140848.520000013</v>
      </c>
    </row>
    <row r="4918" customFormat="false" ht="15" hidden="false" customHeight="true" outlineLevel="0" collapsed="false">
      <c r="A4918" s="114" t="n">
        <v>6277760.01</v>
      </c>
      <c r="B4918" s="114" t="n">
        <v>6279040</v>
      </c>
      <c r="C4918" s="114" t="n">
        <v>140877.180000013</v>
      </c>
    </row>
    <row r="4919" customFormat="false" ht="15" hidden="false" customHeight="true" outlineLevel="0" collapsed="false">
      <c r="A4919" s="115" t="n">
        <v>6279040.01</v>
      </c>
      <c r="B4919" s="115" t="n">
        <v>6280320</v>
      </c>
      <c r="C4919" s="115" t="n">
        <v>140905.840000013</v>
      </c>
    </row>
    <row r="4920" customFormat="false" ht="15" hidden="false" customHeight="true" outlineLevel="0" collapsed="false">
      <c r="A4920" s="114" t="n">
        <v>6280320.01</v>
      </c>
      <c r="B4920" s="114" t="n">
        <v>6281600</v>
      </c>
      <c r="C4920" s="114" t="n">
        <v>140934.500000013</v>
      </c>
    </row>
    <row r="4921" customFormat="false" ht="15" hidden="false" customHeight="true" outlineLevel="0" collapsed="false">
      <c r="A4921" s="115" t="n">
        <v>6281600.01</v>
      </c>
      <c r="B4921" s="115" t="n">
        <v>6282880</v>
      </c>
      <c r="C4921" s="115" t="n">
        <v>140963.160000013</v>
      </c>
    </row>
    <row r="4922" customFormat="false" ht="15" hidden="false" customHeight="true" outlineLevel="0" collapsed="false">
      <c r="A4922" s="114" t="n">
        <v>6282880.01</v>
      </c>
      <c r="B4922" s="114" t="n">
        <v>6284160</v>
      </c>
      <c r="C4922" s="114" t="n">
        <v>140991.820000013</v>
      </c>
    </row>
    <row r="4923" customFormat="false" ht="15" hidden="false" customHeight="true" outlineLevel="0" collapsed="false">
      <c r="A4923" s="115" t="n">
        <v>6284160.01</v>
      </c>
      <c r="B4923" s="115" t="n">
        <v>6285440</v>
      </c>
      <c r="C4923" s="115" t="n">
        <v>141020.480000013</v>
      </c>
    </row>
    <row r="4924" customFormat="false" ht="15" hidden="false" customHeight="true" outlineLevel="0" collapsed="false">
      <c r="A4924" s="114" t="n">
        <v>6285440.01</v>
      </c>
      <c r="B4924" s="114" t="n">
        <v>6286720</v>
      </c>
      <c r="C4924" s="114" t="n">
        <v>141049.140000013</v>
      </c>
    </row>
    <row r="4925" customFormat="false" ht="15" hidden="false" customHeight="true" outlineLevel="0" collapsed="false">
      <c r="A4925" s="115" t="n">
        <v>6286720.01</v>
      </c>
      <c r="B4925" s="115" t="n">
        <v>6288000</v>
      </c>
      <c r="C4925" s="115" t="n">
        <v>141077.800000013</v>
      </c>
    </row>
    <row r="4926" customFormat="false" ht="15" hidden="false" customHeight="true" outlineLevel="0" collapsed="false">
      <c r="A4926" s="114" t="n">
        <v>6288000.01</v>
      </c>
      <c r="B4926" s="114" t="n">
        <v>6289280</v>
      </c>
      <c r="C4926" s="114" t="n">
        <v>141106.460000013</v>
      </c>
    </row>
    <row r="4927" customFormat="false" ht="15" hidden="false" customHeight="true" outlineLevel="0" collapsed="false">
      <c r="A4927" s="115" t="n">
        <v>6289280.01</v>
      </c>
      <c r="B4927" s="115" t="n">
        <v>6290560</v>
      </c>
      <c r="C4927" s="115" t="n">
        <v>141135.120000013</v>
      </c>
    </row>
    <row r="4928" customFormat="false" ht="15" hidden="false" customHeight="true" outlineLevel="0" collapsed="false">
      <c r="A4928" s="114" t="n">
        <v>6290560.01</v>
      </c>
      <c r="B4928" s="114" t="n">
        <v>6291840</v>
      </c>
      <c r="C4928" s="114" t="n">
        <v>141163.780000013</v>
      </c>
    </row>
    <row r="4929" customFormat="false" ht="15" hidden="false" customHeight="true" outlineLevel="0" collapsed="false">
      <c r="A4929" s="115" t="n">
        <v>6291840.01</v>
      </c>
      <c r="B4929" s="115" t="n">
        <v>6293120</v>
      </c>
      <c r="C4929" s="115" t="n">
        <v>141192.440000013</v>
      </c>
    </row>
    <row r="4930" customFormat="false" ht="15" hidden="false" customHeight="true" outlineLevel="0" collapsed="false">
      <c r="A4930" s="114" t="n">
        <v>6293120.01</v>
      </c>
      <c r="B4930" s="114" t="n">
        <v>6294400</v>
      </c>
      <c r="C4930" s="114" t="n">
        <v>141221.100000013</v>
      </c>
    </row>
    <row r="4931" customFormat="false" ht="15" hidden="false" customHeight="true" outlineLevel="0" collapsed="false">
      <c r="A4931" s="115" t="n">
        <v>6294400.01</v>
      </c>
      <c r="B4931" s="115" t="n">
        <v>6295680</v>
      </c>
      <c r="C4931" s="115" t="n">
        <v>141249.760000013</v>
      </c>
    </row>
    <row r="4932" customFormat="false" ht="15" hidden="false" customHeight="true" outlineLevel="0" collapsed="false">
      <c r="A4932" s="114" t="n">
        <v>6295680.01</v>
      </c>
      <c r="B4932" s="114" t="n">
        <v>6296960</v>
      </c>
      <c r="C4932" s="114" t="n">
        <v>141278.420000013</v>
      </c>
    </row>
    <row r="4933" customFormat="false" ht="15" hidden="false" customHeight="true" outlineLevel="0" collapsed="false">
      <c r="A4933" s="115" t="n">
        <v>6296960.01</v>
      </c>
      <c r="B4933" s="115" t="n">
        <v>6298240</v>
      </c>
      <c r="C4933" s="115" t="n">
        <v>141307.080000013</v>
      </c>
    </row>
    <row r="4934" customFormat="false" ht="15" hidden="false" customHeight="true" outlineLevel="0" collapsed="false">
      <c r="A4934" s="114" t="n">
        <v>6298240.01</v>
      </c>
      <c r="B4934" s="114" t="n">
        <v>6299520</v>
      </c>
      <c r="C4934" s="114" t="n">
        <v>141335.740000013</v>
      </c>
    </row>
    <row r="4935" customFormat="false" ht="15" hidden="false" customHeight="true" outlineLevel="0" collapsed="false">
      <c r="A4935" s="115" t="n">
        <v>6299520.01</v>
      </c>
      <c r="B4935" s="115" t="n">
        <v>6300800</v>
      </c>
      <c r="C4935" s="115" t="n">
        <v>141364.400000013</v>
      </c>
    </row>
    <row r="4936" customFormat="false" ht="15" hidden="false" customHeight="true" outlineLevel="0" collapsed="false">
      <c r="A4936" s="114" t="n">
        <v>6300800.01</v>
      </c>
      <c r="B4936" s="114" t="n">
        <v>6302080</v>
      </c>
      <c r="C4936" s="114" t="n">
        <v>141393.060000013</v>
      </c>
    </row>
    <row r="4937" customFormat="false" ht="15" hidden="false" customHeight="true" outlineLevel="0" collapsed="false">
      <c r="A4937" s="115" t="n">
        <v>6302080.01</v>
      </c>
      <c r="B4937" s="115" t="n">
        <v>6303360</v>
      </c>
      <c r="C4937" s="115" t="n">
        <v>141421.720000013</v>
      </c>
    </row>
    <row r="4938" customFormat="false" ht="15" hidden="false" customHeight="true" outlineLevel="0" collapsed="false">
      <c r="A4938" s="114" t="n">
        <v>6303360.01</v>
      </c>
      <c r="B4938" s="114" t="n">
        <v>6304640</v>
      </c>
      <c r="C4938" s="114" t="n">
        <v>141450.380000013</v>
      </c>
    </row>
    <row r="4939" customFormat="false" ht="15" hidden="false" customHeight="true" outlineLevel="0" collapsed="false">
      <c r="A4939" s="115" t="n">
        <v>6304640.01</v>
      </c>
      <c r="B4939" s="115" t="n">
        <v>6305920</v>
      </c>
      <c r="C4939" s="115" t="n">
        <v>141479.040000013</v>
      </c>
    </row>
    <row r="4940" customFormat="false" ht="15" hidden="false" customHeight="true" outlineLevel="0" collapsed="false">
      <c r="A4940" s="114" t="n">
        <v>6305920.01</v>
      </c>
      <c r="B4940" s="114" t="n">
        <v>6307200</v>
      </c>
      <c r="C4940" s="114" t="n">
        <v>141507.700000013</v>
      </c>
    </row>
    <row r="4941" customFormat="false" ht="15" hidden="false" customHeight="true" outlineLevel="0" collapsed="false">
      <c r="A4941" s="115" t="n">
        <v>6307200.01</v>
      </c>
      <c r="B4941" s="115" t="n">
        <v>6308480</v>
      </c>
      <c r="C4941" s="115" t="n">
        <v>141536.360000013</v>
      </c>
    </row>
    <row r="4942" customFormat="false" ht="15" hidden="false" customHeight="true" outlineLevel="0" collapsed="false">
      <c r="A4942" s="114" t="n">
        <v>6308480.01</v>
      </c>
      <c r="B4942" s="114" t="n">
        <v>6309760</v>
      </c>
      <c r="C4942" s="114" t="n">
        <v>141565.020000013</v>
      </c>
    </row>
    <row r="4943" customFormat="false" ht="15" hidden="false" customHeight="true" outlineLevel="0" collapsed="false">
      <c r="A4943" s="115" t="n">
        <v>6309760.01</v>
      </c>
      <c r="B4943" s="115" t="n">
        <v>6311040</v>
      </c>
      <c r="C4943" s="115" t="n">
        <v>141593.680000013</v>
      </c>
    </row>
    <row r="4944" customFormat="false" ht="15" hidden="false" customHeight="true" outlineLevel="0" collapsed="false">
      <c r="A4944" s="114" t="n">
        <v>6311040.01</v>
      </c>
      <c r="B4944" s="114" t="n">
        <v>6312320</v>
      </c>
      <c r="C4944" s="114" t="n">
        <v>141622.340000013</v>
      </c>
    </row>
    <row r="4945" customFormat="false" ht="15" hidden="false" customHeight="true" outlineLevel="0" collapsed="false">
      <c r="A4945" s="115" t="n">
        <v>6312320.01</v>
      </c>
      <c r="B4945" s="115" t="n">
        <v>6313600</v>
      </c>
      <c r="C4945" s="115" t="n">
        <v>141651.000000013</v>
      </c>
    </row>
    <row r="4946" customFormat="false" ht="15" hidden="false" customHeight="true" outlineLevel="0" collapsed="false">
      <c r="A4946" s="114" t="n">
        <v>6313600.01</v>
      </c>
      <c r="B4946" s="114" t="n">
        <v>6314880</v>
      </c>
      <c r="C4946" s="114" t="n">
        <v>141679.660000013</v>
      </c>
    </row>
    <row r="4947" customFormat="false" ht="15" hidden="false" customHeight="true" outlineLevel="0" collapsed="false">
      <c r="A4947" s="115" t="n">
        <v>6314880.01</v>
      </c>
      <c r="B4947" s="115" t="n">
        <v>6316160</v>
      </c>
      <c r="C4947" s="115" t="n">
        <v>141708.320000013</v>
      </c>
    </row>
    <row r="4948" customFormat="false" ht="15" hidden="false" customHeight="true" outlineLevel="0" collapsed="false">
      <c r="A4948" s="114" t="n">
        <v>6316160.01</v>
      </c>
      <c r="B4948" s="114" t="n">
        <v>6317440</v>
      </c>
      <c r="C4948" s="114" t="n">
        <v>141736.980000013</v>
      </c>
    </row>
    <row r="4949" customFormat="false" ht="15" hidden="false" customHeight="true" outlineLevel="0" collapsed="false">
      <c r="A4949" s="115" t="n">
        <v>6317440.01</v>
      </c>
      <c r="B4949" s="115" t="n">
        <v>6318720</v>
      </c>
      <c r="C4949" s="115" t="n">
        <v>141765.640000013</v>
      </c>
    </row>
    <row r="4950" customFormat="false" ht="15" hidden="false" customHeight="true" outlineLevel="0" collapsed="false">
      <c r="A4950" s="114" t="n">
        <v>6318720.01</v>
      </c>
      <c r="B4950" s="114" t="n">
        <v>6320000</v>
      </c>
      <c r="C4950" s="114" t="n">
        <v>141794.300000013</v>
      </c>
    </row>
    <row r="4951" customFormat="false" ht="15" hidden="false" customHeight="true" outlineLevel="0" collapsed="false">
      <c r="A4951" s="115" t="n">
        <v>6320000.01</v>
      </c>
      <c r="B4951" s="115" t="n">
        <v>6321280</v>
      </c>
      <c r="C4951" s="115" t="n">
        <v>141822.960000013</v>
      </c>
    </row>
    <row r="4952" customFormat="false" ht="15" hidden="false" customHeight="true" outlineLevel="0" collapsed="false">
      <c r="A4952" s="114" t="n">
        <v>6321280.01</v>
      </c>
      <c r="B4952" s="114" t="n">
        <v>6322560</v>
      </c>
      <c r="C4952" s="114" t="n">
        <v>141851.620000013</v>
      </c>
    </row>
    <row r="4953" customFormat="false" ht="15" hidden="false" customHeight="true" outlineLevel="0" collapsed="false">
      <c r="A4953" s="115" t="n">
        <v>6322560.01</v>
      </c>
      <c r="B4953" s="115" t="n">
        <v>6323840</v>
      </c>
      <c r="C4953" s="115" t="n">
        <v>141880.280000013</v>
      </c>
    </row>
    <row r="4954" customFormat="false" ht="15" hidden="false" customHeight="true" outlineLevel="0" collapsed="false">
      <c r="A4954" s="114" t="n">
        <v>6323840.01</v>
      </c>
      <c r="B4954" s="114" t="n">
        <v>6325120</v>
      </c>
      <c r="C4954" s="114" t="n">
        <v>141908.940000013</v>
      </c>
    </row>
    <row r="4955" customFormat="false" ht="15" hidden="false" customHeight="true" outlineLevel="0" collapsed="false">
      <c r="A4955" s="115" t="n">
        <v>6325120.01</v>
      </c>
      <c r="B4955" s="115" t="n">
        <v>6326400</v>
      </c>
      <c r="C4955" s="115" t="n">
        <v>141937.600000013</v>
      </c>
    </row>
    <row r="4956" customFormat="false" ht="15" hidden="false" customHeight="true" outlineLevel="0" collapsed="false">
      <c r="A4956" s="114" t="n">
        <v>6326400.01</v>
      </c>
      <c r="B4956" s="114" t="n">
        <v>6327680</v>
      </c>
      <c r="C4956" s="114" t="n">
        <v>141966.260000013</v>
      </c>
    </row>
    <row r="4957" customFormat="false" ht="15" hidden="false" customHeight="true" outlineLevel="0" collapsed="false">
      <c r="A4957" s="115" t="n">
        <v>6327680.01</v>
      </c>
      <c r="B4957" s="115" t="n">
        <v>6328960</v>
      </c>
      <c r="C4957" s="115" t="n">
        <v>141994.920000013</v>
      </c>
    </row>
    <row r="4958" customFormat="false" ht="15" hidden="false" customHeight="true" outlineLevel="0" collapsed="false">
      <c r="A4958" s="114" t="n">
        <v>6328960.01</v>
      </c>
      <c r="B4958" s="114" t="n">
        <v>6330240</v>
      </c>
      <c r="C4958" s="114" t="n">
        <v>142023.580000013</v>
      </c>
    </row>
    <row r="4959" customFormat="false" ht="15" hidden="false" customHeight="true" outlineLevel="0" collapsed="false">
      <c r="A4959" s="115" t="n">
        <v>6330240.01</v>
      </c>
      <c r="B4959" s="115" t="n">
        <v>6331520</v>
      </c>
      <c r="C4959" s="115" t="n">
        <v>142052.240000013</v>
      </c>
    </row>
    <row r="4960" customFormat="false" ht="15" hidden="false" customHeight="true" outlineLevel="0" collapsed="false">
      <c r="A4960" s="114" t="n">
        <v>6331520.01</v>
      </c>
      <c r="B4960" s="114" t="n">
        <v>6332800</v>
      </c>
      <c r="C4960" s="114" t="n">
        <v>142080.900000013</v>
      </c>
    </row>
    <row r="4961" customFormat="false" ht="15" hidden="false" customHeight="true" outlineLevel="0" collapsed="false">
      <c r="A4961" s="115" t="n">
        <v>6332800.01</v>
      </c>
      <c r="B4961" s="115" t="n">
        <v>6334080</v>
      </c>
      <c r="C4961" s="115" t="n">
        <v>142109.560000013</v>
      </c>
    </row>
    <row r="4962" customFormat="false" ht="15" hidden="false" customHeight="true" outlineLevel="0" collapsed="false">
      <c r="A4962" s="114" t="n">
        <v>6334080.01</v>
      </c>
      <c r="B4962" s="114" t="n">
        <v>6335360</v>
      </c>
      <c r="C4962" s="114" t="n">
        <v>142138.220000013</v>
      </c>
    </row>
    <row r="4963" customFormat="false" ht="15" hidden="false" customHeight="true" outlineLevel="0" collapsed="false">
      <c r="A4963" s="115" t="n">
        <v>6335360.01</v>
      </c>
      <c r="B4963" s="115" t="n">
        <v>6336640</v>
      </c>
      <c r="C4963" s="115" t="n">
        <v>142166.880000013</v>
      </c>
    </row>
    <row r="4964" customFormat="false" ht="15" hidden="false" customHeight="true" outlineLevel="0" collapsed="false">
      <c r="A4964" s="114" t="n">
        <v>6336640.01</v>
      </c>
      <c r="B4964" s="114" t="n">
        <v>6337920</v>
      </c>
      <c r="C4964" s="114" t="n">
        <v>142195.540000013</v>
      </c>
    </row>
    <row r="4965" customFormat="false" ht="15" hidden="false" customHeight="true" outlineLevel="0" collapsed="false">
      <c r="A4965" s="115" t="n">
        <v>6337920.01</v>
      </c>
      <c r="B4965" s="115" t="n">
        <v>6339200</v>
      </c>
      <c r="C4965" s="115" t="n">
        <v>142224.200000013</v>
      </c>
    </row>
    <row r="4966" customFormat="false" ht="15" hidden="false" customHeight="true" outlineLevel="0" collapsed="false">
      <c r="A4966" s="114" t="n">
        <v>6339200.01</v>
      </c>
      <c r="B4966" s="114" t="n">
        <v>6340480</v>
      </c>
      <c r="C4966" s="114" t="n">
        <v>142252.860000013</v>
      </c>
    </row>
    <row r="4967" customFormat="false" ht="15" hidden="false" customHeight="true" outlineLevel="0" collapsed="false">
      <c r="A4967" s="115" t="n">
        <v>6340480.01</v>
      </c>
      <c r="B4967" s="115" t="n">
        <v>6341760</v>
      </c>
      <c r="C4967" s="115" t="n">
        <v>142281.520000013</v>
      </c>
    </row>
    <row r="4968" customFormat="false" ht="15" hidden="false" customHeight="true" outlineLevel="0" collapsed="false">
      <c r="A4968" s="114" t="n">
        <v>6341760.01</v>
      </c>
      <c r="B4968" s="114" t="n">
        <v>6343040</v>
      </c>
      <c r="C4968" s="114" t="n">
        <v>142310.180000013</v>
      </c>
    </row>
    <row r="4969" customFormat="false" ht="15" hidden="false" customHeight="true" outlineLevel="0" collapsed="false">
      <c r="A4969" s="115" t="n">
        <v>6343040.01</v>
      </c>
      <c r="B4969" s="115" t="n">
        <v>6344320</v>
      </c>
      <c r="C4969" s="115" t="n">
        <v>142338.840000013</v>
      </c>
    </row>
    <row r="4970" customFormat="false" ht="15" hidden="false" customHeight="true" outlineLevel="0" collapsed="false">
      <c r="A4970" s="114" t="n">
        <v>6344320.01</v>
      </c>
      <c r="B4970" s="114" t="n">
        <v>6345600</v>
      </c>
      <c r="C4970" s="114" t="n">
        <v>142367.500000013</v>
      </c>
    </row>
    <row r="4971" customFormat="false" ht="15" hidden="false" customHeight="true" outlineLevel="0" collapsed="false">
      <c r="A4971" s="115" t="n">
        <v>6345600.01</v>
      </c>
      <c r="B4971" s="115" t="n">
        <v>6346880</v>
      </c>
      <c r="C4971" s="115" t="n">
        <v>142396.160000013</v>
      </c>
    </row>
    <row r="4972" customFormat="false" ht="15" hidden="false" customHeight="true" outlineLevel="0" collapsed="false">
      <c r="A4972" s="114" t="n">
        <v>6346880.01</v>
      </c>
      <c r="B4972" s="114" t="n">
        <v>6348160</v>
      </c>
      <c r="C4972" s="114" t="n">
        <v>142424.820000013</v>
      </c>
    </row>
    <row r="4973" customFormat="false" ht="15" hidden="false" customHeight="true" outlineLevel="0" collapsed="false">
      <c r="A4973" s="115" t="n">
        <v>6348160.01</v>
      </c>
      <c r="B4973" s="115" t="n">
        <v>6349440</v>
      </c>
      <c r="C4973" s="115" t="n">
        <v>142453.480000013</v>
      </c>
    </row>
    <row r="4974" customFormat="false" ht="15" hidden="false" customHeight="true" outlineLevel="0" collapsed="false">
      <c r="A4974" s="114" t="n">
        <v>6349440.01</v>
      </c>
      <c r="B4974" s="114" t="n">
        <v>6350720</v>
      </c>
      <c r="C4974" s="114" t="n">
        <v>142482.140000013</v>
      </c>
    </row>
    <row r="4975" customFormat="false" ht="15" hidden="false" customHeight="true" outlineLevel="0" collapsed="false">
      <c r="A4975" s="115" t="n">
        <v>6350720.01</v>
      </c>
      <c r="B4975" s="115" t="n">
        <v>6352000</v>
      </c>
      <c r="C4975" s="115" t="n">
        <v>142510.800000013</v>
      </c>
    </row>
    <row r="4976" customFormat="false" ht="15" hidden="false" customHeight="true" outlineLevel="0" collapsed="false">
      <c r="A4976" s="114" t="n">
        <v>6352000.01</v>
      </c>
      <c r="B4976" s="114" t="n">
        <v>6353280</v>
      </c>
      <c r="C4976" s="114" t="n">
        <v>142539.460000013</v>
      </c>
    </row>
    <row r="4977" customFormat="false" ht="15" hidden="false" customHeight="true" outlineLevel="0" collapsed="false">
      <c r="A4977" s="115" t="n">
        <v>6353280.01</v>
      </c>
      <c r="B4977" s="115" t="n">
        <v>6354560</v>
      </c>
      <c r="C4977" s="115" t="n">
        <v>142568.120000013</v>
      </c>
    </row>
    <row r="4978" customFormat="false" ht="15" hidden="false" customHeight="true" outlineLevel="0" collapsed="false">
      <c r="A4978" s="114" t="n">
        <v>6354560.01</v>
      </c>
      <c r="B4978" s="114" t="n">
        <v>6355840</v>
      </c>
      <c r="C4978" s="114" t="n">
        <v>142596.780000013</v>
      </c>
    </row>
    <row r="4979" customFormat="false" ht="15" hidden="false" customHeight="true" outlineLevel="0" collapsed="false">
      <c r="A4979" s="115" t="n">
        <v>6355840.01</v>
      </c>
      <c r="B4979" s="115" t="n">
        <v>6357120</v>
      </c>
      <c r="C4979" s="115" t="n">
        <v>142625.440000013</v>
      </c>
    </row>
    <row r="4980" customFormat="false" ht="15" hidden="false" customHeight="true" outlineLevel="0" collapsed="false">
      <c r="A4980" s="114" t="n">
        <v>6357120.01</v>
      </c>
      <c r="B4980" s="114" t="n">
        <v>6358400</v>
      </c>
      <c r="C4980" s="114" t="n">
        <v>142654.100000013</v>
      </c>
    </row>
    <row r="4981" customFormat="false" ht="15" hidden="false" customHeight="true" outlineLevel="0" collapsed="false">
      <c r="A4981" s="115" t="n">
        <v>6358400.01</v>
      </c>
      <c r="B4981" s="115" t="n">
        <v>6359680</v>
      </c>
      <c r="C4981" s="115" t="n">
        <v>142682.760000013</v>
      </c>
    </row>
    <row r="4982" customFormat="false" ht="15" hidden="false" customHeight="true" outlineLevel="0" collapsed="false">
      <c r="A4982" s="114" t="n">
        <v>6359680.01</v>
      </c>
      <c r="B4982" s="114" t="n">
        <v>6360960</v>
      </c>
      <c r="C4982" s="114" t="n">
        <v>142711.420000013</v>
      </c>
    </row>
    <row r="4983" customFormat="false" ht="15" hidden="false" customHeight="true" outlineLevel="0" collapsed="false">
      <c r="A4983" s="115" t="n">
        <v>6360960.01</v>
      </c>
      <c r="B4983" s="115" t="n">
        <v>6362240</v>
      </c>
      <c r="C4983" s="115" t="n">
        <v>142740.080000013</v>
      </c>
    </row>
    <row r="4984" customFormat="false" ht="15" hidden="false" customHeight="true" outlineLevel="0" collapsed="false">
      <c r="A4984" s="114" t="n">
        <v>6362240.01</v>
      </c>
      <c r="B4984" s="114" t="n">
        <v>6363520</v>
      </c>
      <c r="C4984" s="114" t="n">
        <v>142768.740000013</v>
      </c>
    </row>
    <row r="4985" customFormat="false" ht="15" hidden="false" customHeight="true" outlineLevel="0" collapsed="false">
      <c r="A4985" s="115" t="n">
        <v>6363520.01</v>
      </c>
      <c r="B4985" s="115" t="n">
        <v>6364800</v>
      </c>
      <c r="C4985" s="115" t="n">
        <v>142797.400000013</v>
      </c>
    </row>
    <row r="4986" customFormat="false" ht="15" hidden="false" customHeight="true" outlineLevel="0" collapsed="false">
      <c r="A4986" s="114" t="n">
        <v>6364800.01</v>
      </c>
      <c r="B4986" s="114" t="n">
        <v>6366080</v>
      </c>
      <c r="C4986" s="114" t="n">
        <v>142826.060000013</v>
      </c>
    </row>
    <row r="4987" customFormat="false" ht="15" hidden="false" customHeight="true" outlineLevel="0" collapsed="false">
      <c r="A4987" s="115" t="n">
        <v>6366080.01</v>
      </c>
      <c r="B4987" s="115" t="n">
        <v>6367360</v>
      </c>
      <c r="C4987" s="115" t="n">
        <v>142854.720000013</v>
      </c>
    </row>
    <row r="4988" customFormat="false" ht="15" hidden="false" customHeight="true" outlineLevel="0" collapsed="false">
      <c r="A4988" s="114" t="n">
        <v>6367360.01</v>
      </c>
      <c r="B4988" s="114" t="n">
        <v>6368640</v>
      </c>
      <c r="C4988" s="114" t="n">
        <v>142883.380000013</v>
      </c>
    </row>
    <row r="4989" customFormat="false" ht="15" hidden="false" customHeight="true" outlineLevel="0" collapsed="false">
      <c r="A4989" s="115" t="n">
        <v>6368640.01</v>
      </c>
      <c r="B4989" s="115" t="n">
        <v>6369920</v>
      </c>
      <c r="C4989" s="115" t="n">
        <v>142912.040000013</v>
      </c>
    </row>
    <row r="4990" customFormat="false" ht="15" hidden="false" customHeight="true" outlineLevel="0" collapsed="false">
      <c r="A4990" s="114" t="n">
        <v>6369920.01</v>
      </c>
      <c r="B4990" s="114" t="n">
        <v>6371200</v>
      </c>
      <c r="C4990" s="114" t="n">
        <v>142940.700000013</v>
      </c>
    </row>
    <row r="4991" customFormat="false" ht="15" hidden="false" customHeight="true" outlineLevel="0" collapsed="false">
      <c r="A4991" s="115" t="n">
        <v>6371200.01</v>
      </c>
      <c r="B4991" s="115" t="n">
        <v>6372480</v>
      </c>
      <c r="C4991" s="115" t="n">
        <v>142969.360000013</v>
      </c>
    </row>
    <row r="4992" customFormat="false" ht="15" hidden="false" customHeight="true" outlineLevel="0" collapsed="false">
      <c r="A4992" s="114" t="n">
        <v>6372480.01</v>
      </c>
      <c r="B4992" s="114" t="n">
        <v>6373760</v>
      </c>
      <c r="C4992" s="114" t="n">
        <v>142998.020000013</v>
      </c>
    </row>
    <row r="4993" customFormat="false" ht="15" hidden="false" customHeight="true" outlineLevel="0" collapsed="false">
      <c r="A4993" s="115" t="n">
        <v>6373760.01</v>
      </c>
      <c r="B4993" s="115" t="n">
        <v>6375040</v>
      </c>
      <c r="C4993" s="115" t="n">
        <v>143026.680000013</v>
      </c>
    </row>
    <row r="4994" customFormat="false" ht="15" hidden="false" customHeight="true" outlineLevel="0" collapsed="false">
      <c r="A4994" s="114" t="n">
        <v>6375040.01</v>
      </c>
      <c r="B4994" s="114" t="n">
        <v>6376320</v>
      </c>
      <c r="C4994" s="114" t="n">
        <v>143055.340000013</v>
      </c>
    </row>
    <row r="4995" customFormat="false" ht="15" hidden="false" customHeight="true" outlineLevel="0" collapsed="false">
      <c r="A4995" s="115" t="n">
        <v>6376320.01</v>
      </c>
      <c r="B4995" s="115" t="n">
        <v>6377600</v>
      </c>
      <c r="C4995" s="115" t="n">
        <v>143084.000000013</v>
      </c>
    </row>
    <row r="4996" customFormat="false" ht="15" hidden="false" customHeight="true" outlineLevel="0" collapsed="false">
      <c r="A4996" s="114" t="n">
        <v>6377600.01</v>
      </c>
      <c r="B4996" s="114" t="n">
        <v>6378880</v>
      </c>
      <c r="C4996" s="114" t="n">
        <v>143112.660000013</v>
      </c>
    </row>
    <row r="4997" customFormat="false" ht="15" hidden="false" customHeight="true" outlineLevel="0" collapsed="false">
      <c r="A4997" s="115" t="n">
        <v>6378880.01</v>
      </c>
      <c r="B4997" s="115" t="n">
        <v>6380160</v>
      </c>
      <c r="C4997" s="115" t="n">
        <v>143141.320000013</v>
      </c>
    </row>
    <row r="4998" customFormat="false" ht="15" hidden="false" customHeight="true" outlineLevel="0" collapsed="false">
      <c r="A4998" s="114" t="n">
        <v>6380160.01</v>
      </c>
      <c r="B4998" s="114" t="n">
        <v>6381440</v>
      </c>
      <c r="C4998" s="114" t="n">
        <v>143169.980000013</v>
      </c>
    </row>
    <row r="4999" customFormat="false" ht="15" hidden="false" customHeight="true" outlineLevel="0" collapsed="false">
      <c r="A4999" s="115" t="n">
        <v>6381440.01</v>
      </c>
      <c r="B4999" s="115" t="n">
        <v>6382720</v>
      </c>
      <c r="C4999" s="115" t="n">
        <v>143198.640000013</v>
      </c>
    </row>
    <row r="5000" customFormat="false" ht="15" hidden="false" customHeight="true" outlineLevel="0" collapsed="false">
      <c r="A5000" s="114" t="n">
        <v>6382720.01</v>
      </c>
      <c r="B5000" s="114" t="n">
        <v>6384000</v>
      </c>
      <c r="C5000" s="114" t="n">
        <v>143227.300000013</v>
      </c>
    </row>
    <row r="5001" customFormat="false" ht="15" hidden="false" customHeight="true" outlineLevel="0" collapsed="false">
      <c r="A5001" s="115" t="n">
        <v>6384000.01</v>
      </c>
      <c r="B5001" s="115" t="n">
        <v>6385280</v>
      </c>
      <c r="C5001" s="115" t="n">
        <v>143255.960000013</v>
      </c>
    </row>
    <row r="5002" customFormat="false" ht="15" hidden="false" customHeight="true" outlineLevel="0" collapsed="false">
      <c r="A5002" s="114" t="n">
        <v>6385280.01</v>
      </c>
      <c r="B5002" s="114" t="n">
        <v>6386560</v>
      </c>
      <c r="C5002" s="114" t="n">
        <v>143284.620000013</v>
      </c>
    </row>
    <row r="5003" customFormat="false" ht="15" hidden="false" customHeight="true" outlineLevel="0" collapsed="false">
      <c r="A5003" s="115" t="n">
        <v>6386560.01</v>
      </c>
      <c r="B5003" s="115" t="n">
        <v>6387840</v>
      </c>
      <c r="C5003" s="115" t="n">
        <v>143313.280000013</v>
      </c>
    </row>
    <row r="5004" customFormat="false" ht="15" hidden="false" customHeight="true" outlineLevel="0" collapsed="false">
      <c r="A5004" s="114" t="n">
        <v>6387840.01</v>
      </c>
      <c r="B5004" s="114" t="n">
        <v>6389120</v>
      </c>
      <c r="C5004" s="114" t="n">
        <v>143341.940000013</v>
      </c>
    </row>
    <row r="5005" customFormat="false" ht="15" hidden="false" customHeight="true" outlineLevel="0" collapsed="false">
      <c r="A5005" s="115" t="n">
        <v>6389120.01</v>
      </c>
      <c r="B5005" s="115" t="n">
        <v>6390400</v>
      </c>
      <c r="C5005" s="115" t="n">
        <v>143370.600000013</v>
      </c>
    </row>
    <row r="5006" customFormat="false" ht="15" hidden="false" customHeight="true" outlineLevel="0" collapsed="false">
      <c r="A5006" s="114" t="n">
        <v>6390400.01</v>
      </c>
      <c r="B5006" s="114" t="n">
        <v>6391680</v>
      </c>
      <c r="C5006" s="114" t="n">
        <v>143399.260000013</v>
      </c>
    </row>
    <row r="5007" customFormat="false" ht="15" hidden="false" customHeight="true" outlineLevel="0" collapsed="false">
      <c r="A5007" s="115" t="n">
        <v>6391680.01</v>
      </c>
      <c r="B5007" s="115" t="n">
        <v>6392960</v>
      </c>
      <c r="C5007" s="115" t="n">
        <v>143427.920000013</v>
      </c>
    </row>
    <row r="5008" customFormat="false" ht="15" hidden="false" customHeight="true" outlineLevel="0" collapsed="false">
      <c r="A5008" s="114" t="n">
        <v>6392960.01</v>
      </c>
      <c r="B5008" s="114" t="n">
        <v>6394240</v>
      </c>
      <c r="C5008" s="114" t="n">
        <v>143456.580000013</v>
      </c>
    </row>
    <row r="5009" customFormat="false" ht="15" hidden="false" customHeight="true" outlineLevel="0" collapsed="false">
      <c r="A5009" s="115" t="n">
        <v>6394240.01</v>
      </c>
      <c r="B5009" s="115" t="n">
        <v>6395520</v>
      </c>
      <c r="C5009" s="115" t="n">
        <v>143485.240000013</v>
      </c>
    </row>
    <row r="5010" customFormat="false" ht="15" hidden="false" customHeight="true" outlineLevel="0" collapsed="false">
      <c r="A5010" s="114" t="n">
        <v>6395520.01</v>
      </c>
      <c r="B5010" s="114" t="n">
        <v>6396800</v>
      </c>
      <c r="C5010" s="114" t="n">
        <v>143513.900000013</v>
      </c>
    </row>
    <row r="5011" customFormat="false" ht="15" hidden="false" customHeight="true" outlineLevel="0" collapsed="false">
      <c r="A5011" s="115" t="n">
        <v>6396800.01</v>
      </c>
      <c r="B5011" s="115" t="n">
        <v>6398080</v>
      </c>
      <c r="C5011" s="115" t="n">
        <v>143542.560000013</v>
      </c>
    </row>
    <row r="5012" customFormat="false" ht="15" hidden="false" customHeight="true" outlineLevel="0" collapsed="false">
      <c r="A5012" s="114" t="n">
        <v>6398080.01</v>
      </c>
      <c r="B5012" s="114" t="n">
        <v>6399360</v>
      </c>
      <c r="C5012" s="114" t="n">
        <v>143571.220000013</v>
      </c>
    </row>
    <row r="5013" customFormat="false" ht="15" hidden="false" customHeight="true" outlineLevel="0" collapsed="false">
      <c r="A5013" s="115" t="n">
        <v>6399360.01</v>
      </c>
      <c r="B5013" s="115" t="n">
        <v>6400640</v>
      </c>
      <c r="C5013" s="115" t="n">
        <v>143599.880000013</v>
      </c>
    </row>
    <row r="5014" customFormat="false" ht="15" hidden="false" customHeight="true" outlineLevel="0" collapsed="false">
      <c r="A5014" s="114" t="n">
        <v>6400640.01</v>
      </c>
      <c r="B5014" s="114" t="n">
        <v>6401920</v>
      </c>
      <c r="C5014" s="114" t="n">
        <v>143628.540000013</v>
      </c>
    </row>
    <row r="5015" customFormat="false" ht="15" hidden="false" customHeight="true" outlineLevel="0" collapsed="false">
      <c r="A5015" s="115" t="n">
        <v>6401920.01</v>
      </c>
      <c r="B5015" s="115" t="n">
        <v>6403200</v>
      </c>
      <c r="C5015" s="115" t="n">
        <v>143657.200000013</v>
      </c>
    </row>
    <row r="5016" customFormat="false" ht="15" hidden="false" customHeight="true" outlineLevel="0" collapsed="false">
      <c r="A5016" s="114" t="n">
        <v>6403200.01</v>
      </c>
      <c r="B5016" s="114" t="n">
        <v>6404480</v>
      </c>
      <c r="C5016" s="114" t="n">
        <v>143685.860000013</v>
      </c>
    </row>
    <row r="5017" customFormat="false" ht="15" hidden="false" customHeight="true" outlineLevel="0" collapsed="false">
      <c r="A5017" s="115" t="n">
        <v>6404480.01</v>
      </c>
      <c r="B5017" s="115" t="n">
        <v>6405760</v>
      </c>
      <c r="C5017" s="115" t="n">
        <v>143714.520000013</v>
      </c>
    </row>
    <row r="5018" customFormat="false" ht="15" hidden="false" customHeight="true" outlineLevel="0" collapsed="false">
      <c r="A5018" s="114" t="n">
        <v>6405760.01</v>
      </c>
      <c r="B5018" s="114" t="n">
        <v>6407040</v>
      </c>
      <c r="C5018" s="114" t="n">
        <v>143743.180000013</v>
      </c>
    </row>
    <row r="5019" customFormat="false" ht="15" hidden="false" customHeight="true" outlineLevel="0" collapsed="false">
      <c r="A5019" s="115" t="n">
        <v>6407040.01</v>
      </c>
      <c r="B5019" s="115" t="n">
        <v>6408320</v>
      </c>
      <c r="C5019" s="115" t="n">
        <v>143771.840000013</v>
      </c>
    </row>
    <row r="5020" customFormat="false" ht="15" hidden="false" customHeight="true" outlineLevel="0" collapsed="false">
      <c r="A5020" s="114" t="n">
        <v>6408320.01</v>
      </c>
      <c r="B5020" s="114" t="n">
        <v>6409600</v>
      </c>
      <c r="C5020" s="114" t="n">
        <v>143800.500000013</v>
      </c>
    </row>
    <row r="5021" customFormat="false" ht="15" hidden="false" customHeight="true" outlineLevel="0" collapsed="false">
      <c r="A5021" s="115" t="n">
        <v>6409600.01</v>
      </c>
      <c r="B5021" s="115" t="n">
        <v>6410880</v>
      </c>
      <c r="C5021" s="115" t="n">
        <v>143829.160000013</v>
      </c>
    </row>
    <row r="5022" customFormat="false" ht="15" hidden="false" customHeight="true" outlineLevel="0" collapsed="false">
      <c r="A5022" s="114" t="n">
        <v>6410880.01</v>
      </c>
      <c r="B5022" s="114" t="n">
        <v>6412160</v>
      </c>
      <c r="C5022" s="114" t="n">
        <v>143857.820000013</v>
      </c>
    </row>
    <row r="5023" customFormat="false" ht="15" hidden="false" customHeight="true" outlineLevel="0" collapsed="false">
      <c r="A5023" s="115" t="n">
        <v>6412160.01</v>
      </c>
      <c r="B5023" s="115" t="n">
        <v>6413440</v>
      </c>
      <c r="C5023" s="115" t="n">
        <v>143886.480000013</v>
      </c>
    </row>
    <row r="5024" customFormat="false" ht="15" hidden="false" customHeight="true" outlineLevel="0" collapsed="false">
      <c r="A5024" s="114" t="n">
        <v>6413440.01</v>
      </c>
      <c r="B5024" s="114" t="n">
        <v>6414720</v>
      </c>
      <c r="C5024" s="114" t="n">
        <v>143915.140000013</v>
      </c>
    </row>
    <row r="5025" customFormat="false" ht="15" hidden="false" customHeight="true" outlineLevel="0" collapsed="false">
      <c r="A5025" s="115" t="n">
        <v>6414720.01</v>
      </c>
      <c r="B5025" s="115" t="n">
        <v>6416000</v>
      </c>
      <c r="C5025" s="115" t="n">
        <v>143943.800000013</v>
      </c>
    </row>
    <row r="5026" customFormat="false" ht="15" hidden="false" customHeight="true" outlineLevel="0" collapsed="false">
      <c r="A5026" s="114" t="n">
        <v>6416000.01</v>
      </c>
      <c r="B5026" s="114" t="n">
        <v>6417280</v>
      </c>
      <c r="C5026" s="114" t="n">
        <v>143972.460000013</v>
      </c>
    </row>
    <row r="5027" customFormat="false" ht="15" hidden="false" customHeight="true" outlineLevel="0" collapsed="false">
      <c r="A5027" s="115" t="n">
        <v>6417280.01</v>
      </c>
      <c r="B5027" s="115" t="n">
        <v>6418560</v>
      </c>
      <c r="C5027" s="115" t="n">
        <v>144001.120000013</v>
      </c>
    </row>
    <row r="5028" customFormat="false" ht="15" hidden="false" customHeight="true" outlineLevel="0" collapsed="false">
      <c r="A5028" s="114" t="n">
        <v>6418560.01</v>
      </c>
      <c r="B5028" s="114" t="n">
        <v>6419840</v>
      </c>
      <c r="C5028" s="114" t="n">
        <v>144029.780000013</v>
      </c>
    </row>
    <row r="5029" customFormat="false" ht="15" hidden="false" customHeight="true" outlineLevel="0" collapsed="false">
      <c r="A5029" s="115" t="n">
        <v>6419840.01</v>
      </c>
      <c r="B5029" s="115" t="n">
        <v>6421120</v>
      </c>
      <c r="C5029" s="115" t="n">
        <v>144058.440000013</v>
      </c>
    </row>
    <row r="5030" customFormat="false" ht="15" hidden="false" customHeight="true" outlineLevel="0" collapsed="false">
      <c r="A5030" s="114" t="n">
        <v>6421120.01</v>
      </c>
      <c r="B5030" s="114" t="n">
        <v>6422400</v>
      </c>
      <c r="C5030" s="114" t="n">
        <v>144087.100000013</v>
      </c>
    </row>
    <row r="5031" customFormat="false" ht="15" hidden="false" customHeight="true" outlineLevel="0" collapsed="false">
      <c r="A5031" s="115" t="n">
        <v>6422400.01</v>
      </c>
      <c r="B5031" s="115" t="n">
        <v>6423680</v>
      </c>
      <c r="C5031" s="115" t="n">
        <v>144115.760000013</v>
      </c>
    </row>
    <row r="5032" customFormat="false" ht="15" hidden="false" customHeight="true" outlineLevel="0" collapsed="false">
      <c r="A5032" s="114" t="n">
        <v>6423680.01</v>
      </c>
      <c r="B5032" s="114" t="n">
        <v>6424960</v>
      </c>
      <c r="C5032" s="114" t="n">
        <v>144144.420000013</v>
      </c>
    </row>
    <row r="5033" customFormat="false" ht="15" hidden="false" customHeight="true" outlineLevel="0" collapsed="false">
      <c r="A5033" s="115" t="n">
        <v>6424960.01</v>
      </c>
      <c r="B5033" s="115" t="n">
        <v>6426240</v>
      </c>
      <c r="C5033" s="115" t="n">
        <v>144173.080000013</v>
      </c>
    </row>
    <row r="5034" customFormat="false" ht="15" hidden="false" customHeight="true" outlineLevel="0" collapsed="false">
      <c r="A5034" s="114" t="n">
        <v>6426240.01</v>
      </c>
      <c r="B5034" s="114" t="n">
        <v>6427520</v>
      </c>
      <c r="C5034" s="114" t="n">
        <v>144201.740000013</v>
      </c>
    </row>
    <row r="5035" customFormat="false" ht="15" hidden="false" customHeight="true" outlineLevel="0" collapsed="false">
      <c r="A5035" s="115" t="n">
        <v>6427520.01</v>
      </c>
      <c r="B5035" s="115" t="n">
        <v>6428800</v>
      </c>
      <c r="C5035" s="115" t="n">
        <v>144230.400000013</v>
      </c>
    </row>
    <row r="5036" customFormat="false" ht="15" hidden="false" customHeight="true" outlineLevel="0" collapsed="false">
      <c r="A5036" s="114" t="n">
        <v>6428800.01</v>
      </c>
      <c r="B5036" s="114" t="n">
        <v>6430080</v>
      </c>
      <c r="C5036" s="114" t="n">
        <v>144259.060000013</v>
      </c>
    </row>
    <row r="5037" customFormat="false" ht="15" hidden="false" customHeight="true" outlineLevel="0" collapsed="false">
      <c r="A5037" s="115" t="n">
        <v>6430080.01</v>
      </c>
      <c r="B5037" s="115" t="n">
        <v>6431360</v>
      </c>
      <c r="C5037" s="115" t="n">
        <v>144287.720000013</v>
      </c>
    </row>
    <row r="5038" customFormat="false" ht="15" hidden="false" customHeight="true" outlineLevel="0" collapsed="false">
      <c r="A5038" s="114" t="n">
        <v>6431360.01</v>
      </c>
      <c r="B5038" s="114" t="n">
        <v>6432640</v>
      </c>
      <c r="C5038" s="114" t="n">
        <v>144316.380000013</v>
      </c>
    </row>
    <row r="5039" customFormat="false" ht="15" hidden="false" customHeight="true" outlineLevel="0" collapsed="false">
      <c r="A5039" s="115" t="n">
        <v>6432640.01</v>
      </c>
      <c r="B5039" s="115" t="n">
        <v>6433920</v>
      </c>
      <c r="C5039" s="115" t="n">
        <v>144345.040000013</v>
      </c>
    </row>
    <row r="5040" customFormat="false" ht="15" hidden="false" customHeight="true" outlineLevel="0" collapsed="false">
      <c r="A5040" s="114" t="n">
        <v>6433920.01</v>
      </c>
      <c r="B5040" s="114" t="n">
        <v>6435200</v>
      </c>
      <c r="C5040" s="114" t="n">
        <v>144373.700000013</v>
      </c>
    </row>
    <row r="5041" customFormat="false" ht="15" hidden="false" customHeight="true" outlineLevel="0" collapsed="false">
      <c r="A5041" s="115" t="n">
        <v>6435200.01</v>
      </c>
      <c r="B5041" s="115" t="n">
        <v>6436480</v>
      </c>
      <c r="C5041" s="115" t="n">
        <v>144402.360000013</v>
      </c>
    </row>
    <row r="5042" customFormat="false" ht="15" hidden="false" customHeight="true" outlineLevel="0" collapsed="false">
      <c r="A5042" s="114" t="n">
        <v>6436480.01</v>
      </c>
      <c r="B5042" s="114" t="n">
        <v>6437760</v>
      </c>
      <c r="C5042" s="114" t="n">
        <v>144431.020000013</v>
      </c>
    </row>
    <row r="5043" customFormat="false" ht="15" hidden="false" customHeight="true" outlineLevel="0" collapsed="false">
      <c r="A5043" s="115" t="n">
        <v>6437760.01</v>
      </c>
      <c r="B5043" s="115" t="n">
        <v>6439040</v>
      </c>
      <c r="C5043" s="115" t="n">
        <v>144459.680000013</v>
      </c>
    </row>
    <row r="5044" customFormat="false" ht="15" hidden="false" customHeight="true" outlineLevel="0" collapsed="false">
      <c r="A5044" s="114" t="n">
        <v>6439040.01</v>
      </c>
      <c r="B5044" s="114" t="n">
        <v>6440320</v>
      </c>
      <c r="C5044" s="114" t="n">
        <v>144488.340000013</v>
      </c>
    </row>
    <row r="5045" customFormat="false" ht="15" hidden="false" customHeight="true" outlineLevel="0" collapsed="false">
      <c r="A5045" s="115" t="n">
        <v>6440320.01</v>
      </c>
      <c r="B5045" s="115" t="n">
        <v>6441600</v>
      </c>
      <c r="C5045" s="115" t="n">
        <v>144517.000000013</v>
      </c>
    </row>
    <row r="5046" customFormat="false" ht="15" hidden="false" customHeight="true" outlineLevel="0" collapsed="false">
      <c r="A5046" s="114" t="n">
        <v>6441600.01</v>
      </c>
      <c r="B5046" s="114" t="n">
        <v>6442880</v>
      </c>
      <c r="C5046" s="114" t="n">
        <v>144545.660000013</v>
      </c>
    </row>
    <row r="5047" customFormat="false" ht="15" hidden="false" customHeight="true" outlineLevel="0" collapsed="false">
      <c r="A5047" s="115" t="n">
        <v>6442880.01</v>
      </c>
      <c r="B5047" s="115" t="n">
        <v>6444160</v>
      </c>
      <c r="C5047" s="115" t="n">
        <v>144574.320000014</v>
      </c>
    </row>
    <row r="5048" customFormat="false" ht="15" hidden="false" customHeight="true" outlineLevel="0" collapsed="false">
      <c r="A5048" s="114" t="n">
        <v>6444160.01</v>
      </c>
      <c r="B5048" s="114" t="n">
        <v>6445440</v>
      </c>
      <c r="C5048" s="114" t="n">
        <v>144602.980000014</v>
      </c>
    </row>
    <row r="5049" customFormat="false" ht="15" hidden="false" customHeight="true" outlineLevel="0" collapsed="false">
      <c r="A5049" s="115" t="n">
        <v>6445440.01</v>
      </c>
      <c r="B5049" s="115" t="n">
        <v>6446720</v>
      </c>
      <c r="C5049" s="115" t="n">
        <v>144631.640000014</v>
      </c>
    </row>
    <row r="5050" customFormat="false" ht="15" hidden="false" customHeight="true" outlineLevel="0" collapsed="false">
      <c r="A5050" s="114" t="n">
        <v>6446720.01</v>
      </c>
      <c r="B5050" s="114" t="n">
        <v>6448000</v>
      </c>
      <c r="C5050" s="114" t="n">
        <v>144660.300000014</v>
      </c>
    </row>
    <row r="5051" customFormat="false" ht="15" hidden="false" customHeight="true" outlineLevel="0" collapsed="false">
      <c r="A5051" s="115" t="n">
        <v>6448000.01</v>
      </c>
      <c r="B5051" s="115" t="n">
        <v>6449280</v>
      </c>
      <c r="C5051" s="115" t="n">
        <v>144688.960000014</v>
      </c>
    </row>
    <row r="5052" customFormat="false" ht="15" hidden="false" customHeight="true" outlineLevel="0" collapsed="false">
      <c r="A5052" s="114" t="n">
        <v>6449280.01</v>
      </c>
      <c r="B5052" s="114" t="n">
        <v>6450560</v>
      </c>
      <c r="C5052" s="114" t="n">
        <v>144717.620000014</v>
      </c>
    </row>
    <row r="5053" customFormat="false" ht="15" hidden="false" customHeight="true" outlineLevel="0" collapsed="false">
      <c r="A5053" s="115" t="n">
        <v>6450560.01</v>
      </c>
      <c r="B5053" s="115" t="n">
        <v>6451840</v>
      </c>
      <c r="C5053" s="115" t="n">
        <v>144746.280000014</v>
      </c>
    </row>
    <row r="5054" customFormat="false" ht="15" hidden="false" customHeight="true" outlineLevel="0" collapsed="false">
      <c r="A5054" s="114" t="n">
        <v>6451840.01</v>
      </c>
      <c r="B5054" s="114" t="n">
        <v>6453120</v>
      </c>
      <c r="C5054" s="114" t="n">
        <v>144774.940000014</v>
      </c>
    </row>
    <row r="5055" customFormat="false" ht="15" hidden="false" customHeight="true" outlineLevel="0" collapsed="false">
      <c r="A5055" s="115" t="n">
        <v>6453120.01</v>
      </c>
      <c r="B5055" s="115" t="n">
        <v>6454400</v>
      </c>
      <c r="C5055" s="115" t="n">
        <v>144803.600000014</v>
      </c>
    </row>
    <row r="5056" customFormat="false" ht="15" hidden="false" customHeight="true" outlineLevel="0" collapsed="false">
      <c r="A5056" s="114" t="n">
        <v>6454400.01</v>
      </c>
      <c r="B5056" s="114" t="n">
        <v>6455680</v>
      </c>
      <c r="C5056" s="114" t="n">
        <v>144832.260000014</v>
      </c>
    </row>
    <row r="5057" customFormat="false" ht="15" hidden="false" customHeight="true" outlineLevel="0" collapsed="false">
      <c r="A5057" s="115" t="n">
        <v>6455680.01</v>
      </c>
      <c r="B5057" s="115" t="n">
        <v>6456960</v>
      </c>
      <c r="C5057" s="115" t="n">
        <v>144860.920000014</v>
      </c>
    </row>
    <row r="5058" customFormat="false" ht="15" hidden="false" customHeight="true" outlineLevel="0" collapsed="false">
      <c r="A5058" s="114" t="n">
        <v>6456960.01</v>
      </c>
      <c r="B5058" s="114" t="n">
        <v>6458240</v>
      </c>
      <c r="C5058" s="114" t="n">
        <v>144889.580000014</v>
      </c>
    </row>
    <row r="5059" customFormat="false" ht="15" hidden="false" customHeight="true" outlineLevel="0" collapsed="false">
      <c r="A5059" s="115" t="n">
        <v>6458240.01</v>
      </c>
      <c r="B5059" s="115" t="n">
        <v>6459520</v>
      </c>
      <c r="C5059" s="115" t="n">
        <v>144918.240000014</v>
      </c>
    </row>
    <row r="5060" customFormat="false" ht="15" hidden="false" customHeight="true" outlineLevel="0" collapsed="false">
      <c r="A5060" s="114" t="n">
        <v>6459520.01</v>
      </c>
      <c r="B5060" s="114" t="n">
        <v>6460800</v>
      </c>
      <c r="C5060" s="114" t="n">
        <v>144946.900000014</v>
      </c>
    </row>
    <row r="5061" customFormat="false" ht="15" hidden="false" customHeight="true" outlineLevel="0" collapsed="false">
      <c r="A5061" s="115" t="n">
        <v>6460800.01</v>
      </c>
      <c r="B5061" s="115" t="n">
        <v>6462080</v>
      </c>
      <c r="C5061" s="115" t="n">
        <v>144975.560000014</v>
      </c>
    </row>
    <row r="5062" customFormat="false" ht="15" hidden="false" customHeight="true" outlineLevel="0" collapsed="false">
      <c r="A5062" s="114" t="n">
        <v>6462080.01</v>
      </c>
      <c r="B5062" s="114" t="n">
        <v>6463360</v>
      </c>
      <c r="C5062" s="114" t="n">
        <v>145004.220000014</v>
      </c>
    </row>
    <row r="5063" customFormat="false" ht="15" hidden="false" customHeight="true" outlineLevel="0" collapsed="false">
      <c r="A5063" s="115" t="n">
        <v>6463360.01</v>
      </c>
      <c r="B5063" s="115" t="n">
        <v>6464640</v>
      </c>
      <c r="C5063" s="115" t="n">
        <v>145032.880000014</v>
      </c>
    </row>
    <row r="5064" customFormat="false" ht="15" hidden="false" customHeight="true" outlineLevel="0" collapsed="false">
      <c r="A5064" s="114" t="n">
        <v>6464640.01</v>
      </c>
      <c r="B5064" s="114" t="n">
        <v>6465920</v>
      </c>
      <c r="C5064" s="114" t="n">
        <v>145061.540000014</v>
      </c>
    </row>
    <row r="5065" customFormat="false" ht="15" hidden="false" customHeight="true" outlineLevel="0" collapsed="false">
      <c r="A5065" s="115" t="n">
        <v>6465920.01</v>
      </c>
      <c r="B5065" s="115" t="n">
        <v>6467200</v>
      </c>
      <c r="C5065" s="115" t="n">
        <v>145090.200000014</v>
      </c>
    </row>
    <row r="5066" customFormat="false" ht="15" hidden="false" customHeight="true" outlineLevel="0" collapsed="false">
      <c r="A5066" s="114" t="n">
        <v>6467200.01</v>
      </c>
      <c r="B5066" s="114" t="n">
        <v>6468480</v>
      </c>
      <c r="C5066" s="114" t="n">
        <v>145118.860000014</v>
      </c>
    </row>
    <row r="5067" customFormat="false" ht="15" hidden="false" customHeight="true" outlineLevel="0" collapsed="false">
      <c r="A5067" s="115" t="n">
        <v>6468480.01</v>
      </c>
      <c r="B5067" s="115" t="n">
        <v>6469760</v>
      </c>
      <c r="C5067" s="115" t="n">
        <v>145147.520000014</v>
      </c>
    </row>
    <row r="5068" customFormat="false" ht="15" hidden="false" customHeight="true" outlineLevel="0" collapsed="false">
      <c r="A5068" s="114" t="n">
        <v>6469760.01</v>
      </c>
      <c r="B5068" s="114" t="n">
        <v>6471040</v>
      </c>
      <c r="C5068" s="114" t="n">
        <v>145176.180000014</v>
      </c>
    </row>
    <row r="5069" customFormat="false" ht="15" hidden="false" customHeight="true" outlineLevel="0" collapsed="false">
      <c r="A5069" s="115" t="n">
        <v>6471040.01</v>
      </c>
      <c r="B5069" s="115" t="n">
        <v>6472320</v>
      </c>
      <c r="C5069" s="115" t="n">
        <v>145204.840000014</v>
      </c>
    </row>
    <row r="5070" customFormat="false" ht="15" hidden="false" customHeight="true" outlineLevel="0" collapsed="false">
      <c r="A5070" s="114" t="n">
        <v>6472320.01</v>
      </c>
      <c r="B5070" s="114" t="n">
        <v>6473600</v>
      </c>
      <c r="C5070" s="114" t="n">
        <v>145233.500000014</v>
      </c>
    </row>
    <row r="5071" customFormat="false" ht="15" hidden="false" customHeight="true" outlineLevel="0" collapsed="false">
      <c r="A5071" s="115" t="n">
        <v>6473600.01</v>
      </c>
      <c r="B5071" s="115" t="n">
        <v>6474880</v>
      </c>
      <c r="C5071" s="115" t="n">
        <v>145262.160000014</v>
      </c>
    </row>
    <row r="5072" customFormat="false" ht="15" hidden="false" customHeight="true" outlineLevel="0" collapsed="false">
      <c r="A5072" s="114" t="n">
        <v>6474880.01</v>
      </c>
      <c r="B5072" s="114" t="n">
        <v>6476160</v>
      </c>
      <c r="C5072" s="114" t="n">
        <v>145290.820000014</v>
      </c>
    </row>
    <row r="5073" customFormat="false" ht="15" hidden="false" customHeight="true" outlineLevel="0" collapsed="false">
      <c r="A5073" s="115" t="n">
        <v>6476160.01</v>
      </c>
      <c r="B5073" s="115" t="n">
        <v>6477440</v>
      </c>
      <c r="C5073" s="115" t="n">
        <v>145319.480000014</v>
      </c>
    </row>
    <row r="5074" customFormat="false" ht="15" hidden="false" customHeight="true" outlineLevel="0" collapsed="false">
      <c r="A5074" s="114" t="n">
        <v>6477440.01</v>
      </c>
      <c r="B5074" s="114" t="n">
        <v>6478720</v>
      </c>
      <c r="C5074" s="114" t="n">
        <v>145348.140000014</v>
      </c>
    </row>
    <row r="5075" customFormat="false" ht="15" hidden="false" customHeight="true" outlineLevel="0" collapsed="false">
      <c r="A5075" s="115" t="n">
        <v>6478720.01</v>
      </c>
      <c r="B5075" s="115" t="n">
        <v>6480000</v>
      </c>
      <c r="C5075" s="115" t="n">
        <v>145376.800000014</v>
      </c>
    </row>
    <row r="5076" customFormat="false" ht="15" hidden="false" customHeight="true" outlineLevel="0" collapsed="false">
      <c r="A5076" s="114" t="n">
        <v>6480000.01</v>
      </c>
      <c r="B5076" s="114" t="n">
        <v>6481280</v>
      </c>
      <c r="C5076" s="114" t="n">
        <v>145405.460000014</v>
      </c>
    </row>
    <row r="5077" customFormat="false" ht="15" hidden="false" customHeight="true" outlineLevel="0" collapsed="false">
      <c r="A5077" s="115" t="n">
        <v>6481280.01</v>
      </c>
      <c r="B5077" s="115" t="n">
        <v>6482560</v>
      </c>
      <c r="C5077" s="115" t="n">
        <v>145434.120000014</v>
      </c>
    </row>
    <row r="5078" customFormat="false" ht="15" hidden="false" customHeight="true" outlineLevel="0" collapsed="false">
      <c r="A5078" s="114" t="n">
        <v>6482560.01</v>
      </c>
      <c r="B5078" s="114" t="n">
        <v>6483840</v>
      </c>
      <c r="C5078" s="114" t="n">
        <v>145462.780000014</v>
      </c>
    </row>
    <row r="5079" customFormat="false" ht="15" hidden="false" customHeight="true" outlineLevel="0" collapsed="false">
      <c r="A5079" s="115" t="n">
        <v>6483840.01</v>
      </c>
      <c r="B5079" s="115" t="n">
        <v>6485120</v>
      </c>
      <c r="C5079" s="115" t="n">
        <v>145491.440000014</v>
      </c>
    </row>
    <row r="5080" customFormat="false" ht="15" hidden="false" customHeight="true" outlineLevel="0" collapsed="false">
      <c r="A5080" s="114" t="n">
        <v>6485120.01</v>
      </c>
      <c r="B5080" s="114" t="n">
        <v>6486400</v>
      </c>
      <c r="C5080" s="114" t="n">
        <v>145520.100000014</v>
      </c>
    </row>
    <row r="5081" customFormat="false" ht="15" hidden="false" customHeight="true" outlineLevel="0" collapsed="false">
      <c r="A5081" s="115" t="n">
        <v>6486400.01</v>
      </c>
      <c r="B5081" s="115" t="n">
        <v>6487680</v>
      </c>
      <c r="C5081" s="115" t="n">
        <v>145548.760000014</v>
      </c>
    </row>
    <row r="5082" customFormat="false" ht="15" hidden="false" customHeight="true" outlineLevel="0" collapsed="false">
      <c r="A5082" s="114" t="n">
        <v>6487680.01</v>
      </c>
      <c r="B5082" s="114" t="n">
        <v>6488960</v>
      </c>
      <c r="C5082" s="114" t="n">
        <v>145577.420000014</v>
      </c>
    </row>
    <row r="5083" customFormat="false" ht="15" hidden="false" customHeight="true" outlineLevel="0" collapsed="false">
      <c r="A5083" s="115" t="n">
        <v>6488960.01</v>
      </c>
      <c r="B5083" s="115" t="n">
        <v>6490240</v>
      </c>
      <c r="C5083" s="115" t="n">
        <v>145606.080000014</v>
      </c>
    </row>
    <row r="5084" customFormat="false" ht="15" hidden="false" customHeight="true" outlineLevel="0" collapsed="false">
      <c r="A5084" s="114" t="n">
        <v>6490240.01</v>
      </c>
      <c r="B5084" s="114" t="n">
        <v>6491520</v>
      </c>
      <c r="C5084" s="114" t="n">
        <v>145634.740000014</v>
      </c>
    </row>
    <row r="5085" customFormat="false" ht="15" hidden="false" customHeight="true" outlineLevel="0" collapsed="false">
      <c r="A5085" s="115" t="n">
        <v>6491520.01</v>
      </c>
      <c r="B5085" s="115" t="n">
        <v>6492800</v>
      </c>
      <c r="C5085" s="115" t="n">
        <v>145663.400000014</v>
      </c>
    </row>
    <row r="5086" customFormat="false" ht="15" hidden="false" customHeight="true" outlineLevel="0" collapsed="false">
      <c r="A5086" s="114" t="n">
        <v>6492800.01</v>
      </c>
      <c r="B5086" s="114" t="n">
        <v>6494080</v>
      </c>
      <c r="C5086" s="114" t="n">
        <v>145692.060000014</v>
      </c>
    </row>
    <row r="5087" customFormat="false" ht="15" hidden="false" customHeight="true" outlineLevel="0" collapsed="false">
      <c r="A5087" s="115" t="n">
        <v>6494080.01</v>
      </c>
      <c r="B5087" s="115" t="n">
        <v>6495360</v>
      </c>
      <c r="C5087" s="115" t="n">
        <v>145720.720000014</v>
      </c>
    </row>
    <row r="5088" customFormat="false" ht="15" hidden="false" customHeight="true" outlineLevel="0" collapsed="false">
      <c r="A5088" s="114" t="n">
        <v>6495360.01</v>
      </c>
      <c r="B5088" s="114" t="n">
        <v>6496640</v>
      </c>
      <c r="C5088" s="114" t="n">
        <v>145749.380000014</v>
      </c>
    </row>
    <row r="5089" customFormat="false" ht="15" hidden="false" customHeight="true" outlineLevel="0" collapsed="false">
      <c r="A5089" s="115" t="n">
        <v>6496640.01</v>
      </c>
      <c r="B5089" s="115" t="n">
        <v>6497920</v>
      </c>
      <c r="C5089" s="115" t="n">
        <v>145778.040000014</v>
      </c>
    </row>
    <row r="5090" customFormat="false" ht="15" hidden="false" customHeight="true" outlineLevel="0" collapsed="false">
      <c r="A5090" s="114" t="n">
        <v>6497920.01</v>
      </c>
      <c r="B5090" s="114" t="n">
        <v>6499200</v>
      </c>
      <c r="C5090" s="114" t="n">
        <v>145806.700000014</v>
      </c>
    </row>
    <row r="5091" customFormat="false" ht="15" hidden="false" customHeight="true" outlineLevel="0" collapsed="false">
      <c r="A5091" s="115" t="n">
        <v>6499200.01</v>
      </c>
      <c r="B5091" s="115" t="n">
        <v>6500480</v>
      </c>
      <c r="C5091" s="115" t="n">
        <v>145835.360000014</v>
      </c>
    </row>
    <row r="5092" customFormat="false" ht="15" hidden="false" customHeight="true" outlineLevel="0" collapsed="false">
      <c r="A5092" s="114" t="n">
        <v>6500480.01</v>
      </c>
      <c r="B5092" s="114" t="n">
        <v>6501760</v>
      </c>
      <c r="C5092" s="114" t="n">
        <v>145864.020000014</v>
      </c>
    </row>
    <row r="5093" customFormat="false" ht="15" hidden="false" customHeight="true" outlineLevel="0" collapsed="false">
      <c r="A5093" s="115" t="n">
        <v>6501760.01</v>
      </c>
      <c r="B5093" s="115" t="n">
        <v>6503040</v>
      </c>
      <c r="C5093" s="115" t="n">
        <v>145892.680000014</v>
      </c>
    </row>
    <row r="5094" customFormat="false" ht="15" hidden="false" customHeight="true" outlineLevel="0" collapsed="false">
      <c r="A5094" s="114" t="n">
        <v>6503040.01</v>
      </c>
      <c r="B5094" s="114" t="n">
        <v>6504320</v>
      </c>
      <c r="C5094" s="114" t="n">
        <v>145921.340000014</v>
      </c>
    </row>
    <row r="5095" customFormat="false" ht="15" hidden="false" customHeight="true" outlineLevel="0" collapsed="false">
      <c r="A5095" s="115" t="n">
        <v>6504320.01</v>
      </c>
      <c r="B5095" s="115" t="n">
        <v>6505600</v>
      </c>
      <c r="C5095" s="115" t="n">
        <v>145950.000000014</v>
      </c>
    </row>
    <row r="5096" customFormat="false" ht="15" hidden="false" customHeight="true" outlineLevel="0" collapsed="false">
      <c r="A5096" s="114" t="n">
        <v>6505600.01</v>
      </c>
      <c r="B5096" s="114" t="n">
        <v>6506880</v>
      </c>
      <c r="C5096" s="114" t="n">
        <v>145978.660000014</v>
      </c>
    </row>
    <row r="5097" customFormat="false" ht="15" hidden="false" customHeight="true" outlineLevel="0" collapsed="false">
      <c r="A5097" s="115" t="n">
        <v>6506880.01</v>
      </c>
      <c r="B5097" s="115" t="n">
        <v>6508160</v>
      </c>
      <c r="C5097" s="115" t="n">
        <v>146007.320000014</v>
      </c>
    </row>
    <row r="5098" customFormat="false" ht="15" hidden="false" customHeight="true" outlineLevel="0" collapsed="false">
      <c r="A5098" s="114" t="n">
        <v>6508160.01</v>
      </c>
      <c r="B5098" s="114" t="n">
        <v>6509440</v>
      </c>
      <c r="C5098" s="114" t="n">
        <v>146035.980000014</v>
      </c>
    </row>
    <row r="5099" customFormat="false" ht="15" hidden="false" customHeight="true" outlineLevel="0" collapsed="false">
      <c r="A5099" s="115" t="n">
        <v>6509440.01</v>
      </c>
      <c r="B5099" s="115" t="n">
        <v>6510720</v>
      </c>
      <c r="C5099" s="115" t="n">
        <v>146064.640000014</v>
      </c>
    </row>
    <row r="5100" customFormat="false" ht="15" hidden="false" customHeight="true" outlineLevel="0" collapsed="false">
      <c r="A5100" s="114" t="n">
        <v>6510720.01</v>
      </c>
      <c r="B5100" s="114" t="n">
        <v>6512000</v>
      </c>
      <c r="C5100" s="114" t="n">
        <v>146093.300000014</v>
      </c>
    </row>
    <row r="5101" customFormat="false" ht="15" hidden="false" customHeight="true" outlineLevel="0" collapsed="false">
      <c r="A5101" s="115" t="n">
        <v>6512000.01</v>
      </c>
      <c r="B5101" s="115" t="n">
        <v>6513280</v>
      </c>
      <c r="C5101" s="115" t="n">
        <v>146121.960000014</v>
      </c>
    </row>
    <row r="5102" customFormat="false" ht="15" hidden="false" customHeight="true" outlineLevel="0" collapsed="false">
      <c r="A5102" s="114" t="n">
        <v>6513280.01</v>
      </c>
      <c r="B5102" s="114" t="n">
        <v>6514560</v>
      </c>
      <c r="C5102" s="114" t="n">
        <v>146150.620000014</v>
      </c>
    </row>
    <row r="5103" customFormat="false" ht="15" hidden="false" customHeight="true" outlineLevel="0" collapsed="false">
      <c r="A5103" s="115" t="n">
        <v>6514560.01</v>
      </c>
      <c r="B5103" s="115" t="n">
        <v>6515840</v>
      </c>
      <c r="C5103" s="115" t="n">
        <v>146179.280000014</v>
      </c>
    </row>
    <row r="5104" customFormat="false" ht="15" hidden="false" customHeight="true" outlineLevel="0" collapsed="false">
      <c r="A5104" s="114" t="n">
        <v>6515840.01</v>
      </c>
      <c r="B5104" s="114" t="n">
        <v>6517120</v>
      </c>
      <c r="C5104" s="114" t="n">
        <v>146207.940000014</v>
      </c>
    </row>
    <row r="5105" customFormat="false" ht="15" hidden="false" customHeight="true" outlineLevel="0" collapsed="false">
      <c r="A5105" s="115" t="n">
        <v>6517120.01</v>
      </c>
      <c r="B5105" s="115" t="n">
        <v>6518400</v>
      </c>
      <c r="C5105" s="115" t="n">
        <v>146236.600000014</v>
      </c>
    </row>
    <row r="5106" customFormat="false" ht="15" hidden="false" customHeight="true" outlineLevel="0" collapsed="false">
      <c r="A5106" s="114" t="n">
        <v>6518400.01</v>
      </c>
      <c r="B5106" s="114" t="n">
        <v>6519680</v>
      </c>
      <c r="C5106" s="114" t="n">
        <v>146265.260000014</v>
      </c>
    </row>
    <row r="5107" customFormat="false" ht="15" hidden="false" customHeight="true" outlineLevel="0" collapsed="false">
      <c r="A5107" s="115" t="n">
        <v>6519680.01</v>
      </c>
      <c r="B5107" s="115" t="n">
        <v>6520960</v>
      </c>
      <c r="C5107" s="115" t="n">
        <v>146293.920000014</v>
      </c>
    </row>
    <row r="5108" customFormat="false" ht="15" hidden="false" customHeight="true" outlineLevel="0" collapsed="false">
      <c r="A5108" s="114" t="n">
        <v>6520960.01</v>
      </c>
      <c r="B5108" s="114" t="n">
        <v>6522240</v>
      </c>
      <c r="C5108" s="114" t="n">
        <v>146322.580000014</v>
      </c>
    </row>
    <row r="5109" customFormat="false" ht="15" hidden="false" customHeight="true" outlineLevel="0" collapsed="false">
      <c r="A5109" s="115" t="n">
        <v>6522240.01</v>
      </c>
      <c r="B5109" s="115" t="n">
        <v>6523520</v>
      </c>
      <c r="C5109" s="115" t="n">
        <v>146351.240000014</v>
      </c>
    </row>
    <row r="5110" customFormat="false" ht="15" hidden="false" customHeight="true" outlineLevel="0" collapsed="false">
      <c r="A5110" s="114" t="n">
        <v>6523520.01</v>
      </c>
      <c r="B5110" s="114" t="n">
        <v>6524800</v>
      </c>
      <c r="C5110" s="114" t="n">
        <v>146379.900000014</v>
      </c>
    </row>
    <row r="5111" customFormat="false" ht="15" hidden="false" customHeight="true" outlineLevel="0" collapsed="false">
      <c r="A5111" s="115" t="n">
        <v>6524800.01</v>
      </c>
      <c r="B5111" s="115" t="n">
        <v>6526080</v>
      </c>
      <c r="C5111" s="115" t="n">
        <v>146408.560000014</v>
      </c>
    </row>
    <row r="5112" customFormat="false" ht="15" hidden="false" customHeight="true" outlineLevel="0" collapsed="false">
      <c r="A5112" s="114" t="n">
        <v>6526080.01</v>
      </c>
      <c r="B5112" s="114" t="n">
        <v>6527360</v>
      </c>
      <c r="C5112" s="114" t="n">
        <v>146437.220000014</v>
      </c>
    </row>
    <row r="5113" customFormat="false" ht="15" hidden="false" customHeight="true" outlineLevel="0" collapsed="false">
      <c r="A5113" s="115" t="n">
        <v>6527360.01</v>
      </c>
      <c r="B5113" s="115" t="n">
        <v>6528640</v>
      </c>
      <c r="C5113" s="115" t="n">
        <v>146465.880000014</v>
      </c>
    </row>
    <row r="5114" customFormat="false" ht="15" hidden="false" customHeight="true" outlineLevel="0" collapsed="false">
      <c r="A5114" s="114" t="n">
        <v>6528640.01</v>
      </c>
      <c r="B5114" s="114" t="n">
        <v>6529920</v>
      </c>
      <c r="C5114" s="114" t="n">
        <v>146494.540000014</v>
      </c>
    </row>
    <row r="5115" customFormat="false" ht="15" hidden="false" customHeight="true" outlineLevel="0" collapsed="false">
      <c r="A5115" s="115" t="n">
        <v>6529920.01</v>
      </c>
      <c r="B5115" s="115" t="n">
        <v>6531200</v>
      </c>
      <c r="C5115" s="115" t="n">
        <v>146523.200000014</v>
      </c>
    </row>
    <row r="5116" customFormat="false" ht="15" hidden="false" customHeight="true" outlineLevel="0" collapsed="false">
      <c r="A5116" s="114" t="n">
        <v>6531200.01</v>
      </c>
      <c r="B5116" s="114" t="n">
        <v>6532480</v>
      </c>
      <c r="C5116" s="114" t="n">
        <v>146551.860000014</v>
      </c>
    </row>
    <row r="5117" customFormat="false" ht="15" hidden="false" customHeight="true" outlineLevel="0" collapsed="false">
      <c r="A5117" s="115" t="n">
        <v>6532480.01</v>
      </c>
      <c r="B5117" s="115" t="n">
        <v>6533760</v>
      </c>
      <c r="C5117" s="115" t="n">
        <v>146580.520000014</v>
      </c>
    </row>
    <row r="5118" customFormat="false" ht="15" hidden="false" customHeight="true" outlineLevel="0" collapsed="false">
      <c r="A5118" s="114" t="n">
        <v>6533760.01</v>
      </c>
      <c r="B5118" s="114" t="n">
        <v>6535040</v>
      </c>
      <c r="C5118" s="114" t="n">
        <v>146609.180000014</v>
      </c>
    </row>
    <row r="5119" customFormat="false" ht="15" hidden="false" customHeight="true" outlineLevel="0" collapsed="false">
      <c r="A5119" s="115" t="n">
        <v>6535040.01</v>
      </c>
      <c r="B5119" s="115" t="n">
        <v>6536320</v>
      </c>
      <c r="C5119" s="115" t="n">
        <v>146637.840000014</v>
      </c>
    </row>
    <row r="5120" customFormat="false" ht="15" hidden="false" customHeight="true" outlineLevel="0" collapsed="false">
      <c r="A5120" s="114" t="n">
        <v>6536320.01</v>
      </c>
      <c r="B5120" s="114" t="n">
        <v>6537600</v>
      </c>
      <c r="C5120" s="114" t="n">
        <v>146666.500000014</v>
      </c>
    </row>
    <row r="5121" customFormat="false" ht="15" hidden="false" customHeight="true" outlineLevel="0" collapsed="false">
      <c r="A5121" s="115" t="n">
        <v>6537600.01</v>
      </c>
      <c r="B5121" s="115" t="n">
        <v>6538880</v>
      </c>
      <c r="C5121" s="115" t="n">
        <v>146695.160000014</v>
      </c>
    </row>
    <row r="5122" customFormat="false" ht="15" hidden="false" customHeight="true" outlineLevel="0" collapsed="false">
      <c r="A5122" s="114" t="n">
        <v>6538880.01</v>
      </c>
      <c r="B5122" s="114" t="n">
        <v>6540160</v>
      </c>
      <c r="C5122" s="114" t="n">
        <v>146723.820000014</v>
      </c>
    </row>
    <row r="5123" customFormat="false" ht="15" hidden="false" customHeight="true" outlineLevel="0" collapsed="false">
      <c r="A5123" s="115" t="n">
        <v>6540160.01</v>
      </c>
      <c r="B5123" s="115" t="n">
        <v>6541440</v>
      </c>
      <c r="C5123" s="115" t="n">
        <v>146752.480000014</v>
      </c>
    </row>
    <row r="5124" customFormat="false" ht="15" hidden="false" customHeight="true" outlineLevel="0" collapsed="false">
      <c r="A5124" s="114" t="n">
        <v>6541440.01</v>
      </c>
      <c r="B5124" s="114" t="n">
        <v>6542720</v>
      </c>
      <c r="C5124" s="114" t="n">
        <v>146781.140000014</v>
      </c>
    </row>
    <row r="5125" customFormat="false" ht="15" hidden="false" customHeight="true" outlineLevel="0" collapsed="false">
      <c r="A5125" s="115" t="n">
        <v>6542720.01</v>
      </c>
      <c r="B5125" s="115" t="n">
        <v>6544000</v>
      </c>
      <c r="C5125" s="115" t="n">
        <v>146809.800000014</v>
      </c>
    </row>
    <row r="5126" customFormat="false" ht="15" hidden="false" customHeight="true" outlineLevel="0" collapsed="false">
      <c r="A5126" s="114" t="n">
        <v>6544000.01</v>
      </c>
      <c r="B5126" s="114" t="n">
        <v>6545280</v>
      </c>
      <c r="C5126" s="114" t="n">
        <v>146838.460000014</v>
      </c>
    </row>
    <row r="5127" customFormat="false" ht="15" hidden="false" customHeight="true" outlineLevel="0" collapsed="false">
      <c r="A5127" s="115" t="n">
        <v>6545280.01</v>
      </c>
      <c r="B5127" s="115" t="n">
        <v>6546560</v>
      </c>
      <c r="C5127" s="115" t="n">
        <v>146867.120000014</v>
      </c>
    </row>
    <row r="5128" customFormat="false" ht="15" hidden="false" customHeight="true" outlineLevel="0" collapsed="false">
      <c r="A5128" s="114" t="n">
        <v>6546560.01</v>
      </c>
      <c r="B5128" s="114" t="n">
        <v>6547840</v>
      </c>
      <c r="C5128" s="114" t="n">
        <v>146895.780000014</v>
      </c>
    </row>
    <row r="5129" customFormat="false" ht="15" hidden="false" customHeight="true" outlineLevel="0" collapsed="false">
      <c r="A5129" s="115" t="n">
        <v>6547840.01</v>
      </c>
      <c r="B5129" s="115" t="n">
        <v>6549120</v>
      </c>
      <c r="C5129" s="115" t="n">
        <v>146924.440000014</v>
      </c>
    </row>
    <row r="5130" customFormat="false" ht="15" hidden="false" customHeight="true" outlineLevel="0" collapsed="false">
      <c r="A5130" s="114" t="n">
        <v>6549120.01</v>
      </c>
      <c r="B5130" s="114" t="n">
        <v>6550400</v>
      </c>
      <c r="C5130" s="114" t="n">
        <v>146953.100000014</v>
      </c>
    </row>
    <row r="5131" customFormat="false" ht="15" hidden="false" customHeight="true" outlineLevel="0" collapsed="false">
      <c r="A5131" s="115" t="n">
        <v>6550400.01</v>
      </c>
      <c r="B5131" s="115" t="n">
        <v>6551680</v>
      </c>
      <c r="C5131" s="115" t="n">
        <v>146981.760000014</v>
      </c>
    </row>
    <row r="5132" customFormat="false" ht="15" hidden="false" customHeight="true" outlineLevel="0" collapsed="false">
      <c r="A5132" s="114" t="n">
        <v>6551680.01</v>
      </c>
      <c r="B5132" s="114" t="n">
        <v>6552960</v>
      </c>
      <c r="C5132" s="114" t="n">
        <v>147010.420000014</v>
      </c>
    </row>
    <row r="5133" customFormat="false" ht="15" hidden="false" customHeight="true" outlineLevel="0" collapsed="false">
      <c r="A5133" s="115" t="n">
        <v>6552960.01</v>
      </c>
      <c r="B5133" s="115" t="n">
        <v>6554240</v>
      </c>
      <c r="C5133" s="115" t="n">
        <v>147039.080000014</v>
      </c>
    </row>
    <row r="5134" customFormat="false" ht="15" hidden="false" customHeight="true" outlineLevel="0" collapsed="false">
      <c r="A5134" s="114" t="n">
        <v>6554240.01</v>
      </c>
      <c r="B5134" s="114" t="n">
        <v>6555520</v>
      </c>
      <c r="C5134" s="114" t="n">
        <v>147067.740000014</v>
      </c>
    </row>
    <row r="5135" customFormat="false" ht="15" hidden="false" customHeight="true" outlineLevel="0" collapsed="false">
      <c r="A5135" s="115" t="n">
        <v>6555520.01</v>
      </c>
      <c r="B5135" s="115" t="n">
        <v>6556800</v>
      </c>
      <c r="C5135" s="115" t="n">
        <v>147096.400000014</v>
      </c>
    </row>
    <row r="5136" customFormat="false" ht="15" hidden="false" customHeight="true" outlineLevel="0" collapsed="false">
      <c r="A5136" s="114" t="n">
        <v>6556800.01</v>
      </c>
      <c r="B5136" s="114" t="n">
        <v>6558080</v>
      </c>
      <c r="C5136" s="114" t="n">
        <v>147125.060000014</v>
      </c>
    </row>
    <row r="5137" customFormat="false" ht="15" hidden="false" customHeight="true" outlineLevel="0" collapsed="false">
      <c r="A5137" s="115" t="n">
        <v>6558080.01</v>
      </c>
      <c r="B5137" s="115" t="n">
        <v>6559360</v>
      </c>
      <c r="C5137" s="115" t="n">
        <v>147153.720000014</v>
      </c>
    </row>
    <row r="5138" customFormat="false" ht="15" hidden="false" customHeight="true" outlineLevel="0" collapsed="false">
      <c r="A5138" s="114" t="n">
        <v>6559360.01</v>
      </c>
      <c r="B5138" s="114" t="n">
        <v>6560640</v>
      </c>
      <c r="C5138" s="114" t="n">
        <v>147182.380000014</v>
      </c>
    </row>
    <row r="5139" customFormat="false" ht="15" hidden="false" customHeight="true" outlineLevel="0" collapsed="false">
      <c r="A5139" s="115" t="n">
        <v>6560640.01</v>
      </c>
      <c r="B5139" s="115" t="n">
        <v>6561920</v>
      </c>
      <c r="C5139" s="115" t="n">
        <v>147211.040000014</v>
      </c>
    </row>
    <row r="5140" customFormat="false" ht="15" hidden="false" customHeight="true" outlineLevel="0" collapsed="false">
      <c r="A5140" s="114" t="n">
        <v>6561920.01</v>
      </c>
      <c r="B5140" s="114" t="n">
        <v>6563200</v>
      </c>
      <c r="C5140" s="114" t="n">
        <v>147239.700000014</v>
      </c>
    </row>
    <row r="5141" customFormat="false" ht="15" hidden="false" customHeight="true" outlineLevel="0" collapsed="false">
      <c r="A5141" s="115" t="n">
        <v>6563200.01</v>
      </c>
      <c r="B5141" s="115" t="n">
        <v>6564480</v>
      </c>
      <c r="C5141" s="115" t="n">
        <v>147268.360000014</v>
      </c>
    </row>
    <row r="5142" customFormat="false" ht="15" hidden="false" customHeight="true" outlineLevel="0" collapsed="false">
      <c r="A5142" s="114" t="n">
        <v>6564480.01</v>
      </c>
      <c r="B5142" s="114" t="n">
        <v>6565760</v>
      </c>
      <c r="C5142" s="114" t="n">
        <v>147297.020000014</v>
      </c>
    </row>
    <row r="5143" customFormat="false" ht="15" hidden="false" customHeight="true" outlineLevel="0" collapsed="false">
      <c r="A5143" s="115" t="n">
        <v>6565760.01</v>
      </c>
      <c r="B5143" s="115" t="n">
        <v>6567040</v>
      </c>
      <c r="C5143" s="115" t="n">
        <v>147325.680000014</v>
      </c>
    </row>
    <row r="5144" customFormat="false" ht="15" hidden="false" customHeight="true" outlineLevel="0" collapsed="false">
      <c r="A5144" s="114" t="n">
        <v>6567040.01</v>
      </c>
      <c r="B5144" s="114" t="n">
        <v>6568320</v>
      </c>
      <c r="C5144" s="114" t="n">
        <v>147354.340000014</v>
      </c>
    </row>
    <row r="5145" customFormat="false" ht="15" hidden="false" customHeight="true" outlineLevel="0" collapsed="false">
      <c r="A5145" s="115" t="n">
        <v>6568320.01</v>
      </c>
      <c r="B5145" s="115" t="n">
        <v>6569600</v>
      </c>
      <c r="C5145" s="115" t="n">
        <v>147383.000000014</v>
      </c>
    </row>
    <row r="5146" customFormat="false" ht="15" hidden="false" customHeight="true" outlineLevel="0" collapsed="false">
      <c r="A5146" s="114" t="n">
        <v>6569600.01</v>
      </c>
      <c r="B5146" s="114" t="n">
        <v>6570880</v>
      </c>
      <c r="C5146" s="114" t="n">
        <v>147411.660000014</v>
      </c>
    </row>
    <row r="5147" customFormat="false" ht="15" hidden="false" customHeight="true" outlineLevel="0" collapsed="false">
      <c r="A5147" s="115" t="n">
        <v>6570880.01</v>
      </c>
      <c r="B5147" s="115" t="n">
        <v>6572160</v>
      </c>
      <c r="C5147" s="115" t="n">
        <v>147440.320000014</v>
      </c>
    </row>
    <row r="5148" customFormat="false" ht="15" hidden="false" customHeight="true" outlineLevel="0" collapsed="false">
      <c r="A5148" s="114" t="n">
        <v>6572160.01</v>
      </c>
      <c r="B5148" s="114" t="n">
        <v>6573440</v>
      </c>
      <c r="C5148" s="114" t="n">
        <v>147468.980000014</v>
      </c>
    </row>
    <row r="5149" customFormat="false" ht="15" hidden="false" customHeight="true" outlineLevel="0" collapsed="false">
      <c r="A5149" s="115" t="n">
        <v>6573440.01</v>
      </c>
      <c r="B5149" s="115" t="n">
        <v>6574720</v>
      </c>
      <c r="C5149" s="115" t="n">
        <v>147497.640000014</v>
      </c>
    </row>
    <row r="5150" customFormat="false" ht="15" hidden="false" customHeight="true" outlineLevel="0" collapsed="false">
      <c r="A5150" s="114" t="n">
        <v>6574720.01</v>
      </c>
      <c r="B5150" s="114" t="n">
        <v>6576000</v>
      </c>
      <c r="C5150" s="114" t="n">
        <v>147526.300000014</v>
      </c>
    </row>
    <row r="5151" customFormat="false" ht="15" hidden="false" customHeight="true" outlineLevel="0" collapsed="false">
      <c r="A5151" s="115" t="n">
        <v>6576000.01</v>
      </c>
      <c r="B5151" s="115" t="n">
        <v>6577280</v>
      </c>
      <c r="C5151" s="115" t="n">
        <v>147554.960000014</v>
      </c>
    </row>
    <row r="5152" customFormat="false" ht="15" hidden="false" customHeight="true" outlineLevel="0" collapsed="false">
      <c r="A5152" s="114" t="n">
        <v>6577280.01</v>
      </c>
      <c r="B5152" s="114" t="n">
        <v>6578560</v>
      </c>
      <c r="C5152" s="114" t="n">
        <v>147583.620000014</v>
      </c>
    </row>
    <row r="5153" customFormat="false" ht="15" hidden="false" customHeight="true" outlineLevel="0" collapsed="false">
      <c r="A5153" s="115" t="n">
        <v>6578560.01</v>
      </c>
      <c r="B5153" s="115" t="n">
        <v>6579840</v>
      </c>
      <c r="C5153" s="115" t="n">
        <v>147612.280000014</v>
      </c>
    </row>
    <row r="5154" customFormat="false" ht="15" hidden="false" customHeight="true" outlineLevel="0" collapsed="false">
      <c r="A5154" s="114" t="n">
        <v>6579840.01</v>
      </c>
      <c r="B5154" s="114" t="n">
        <v>6581120</v>
      </c>
      <c r="C5154" s="114" t="n">
        <v>147640.940000014</v>
      </c>
    </row>
    <row r="5155" customFormat="false" ht="15" hidden="false" customHeight="true" outlineLevel="0" collapsed="false">
      <c r="A5155" s="115" t="n">
        <v>6581120.01</v>
      </c>
      <c r="B5155" s="115" t="n">
        <v>6582400</v>
      </c>
      <c r="C5155" s="115" t="n">
        <v>147669.600000014</v>
      </c>
    </row>
    <row r="5156" customFormat="false" ht="15" hidden="false" customHeight="true" outlineLevel="0" collapsed="false">
      <c r="A5156" s="114" t="n">
        <v>6582400.01</v>
      </c>
      <c r="B5156" s="114" t="n">
        <v>6583680</v>
      </c>
      <c r="C5156" s="114" t="n">
        <v>147698.260000014</v>
      </c>
    </row>
    <row r="5157" customFormat="false" ht="15" hidden="false" customHeight="true" outlineLevel="0" collapsed="false">
      <c r="A5157" s="115" t="n">
        <v>6583680.01</v>
      </c>
      <c r="B5157" s="115" t="n">
        <v>6584960</v>
      </c>
      <c r="C5157" s="115" t="n">
        <v>147726.920000014</v>
      </c>
    </row>
    <row r="5158" customFormat="false" ht="15" hidden="false" customHeight="true" outlineLevel="0" collapsed="false">
      <c r="A5158" s="114" t="n">
        <v>6584960.01</v>
      </c>
      <c r="B5158" s="114" t="n">
        <v>6586240</v>
      </c>
      <c r="C5158" s="114" t="n">
        <v>147755.580000014</v>
      </c>
    </row>
    <row r="5159" customFormat="false" ht="15" hidden="false" customHeight="true" outlineLevel="0" collapsed="false">
      <c r="A5159" s="115" t="n">
        <v>6586240.01</v>
      </c>
      <c r="B5159" s="115" t="n">
        <v>6587520</v>
      </c>
      <c r="C5159" s="115" t="n">
        <v>147784.240000014</v>
      </c>
    </row>
    <row r="5160" customFormat="false" ht="15" hidden="false" customHeight="true" outlineLevel="0" collapsed="false">
      <c r="A5160" s="114" t="n">
        <v>6587520.01</v>
      </c>
      <c r="B5160" s="114" t="n">
        <v>6588800</v>
      </c>
      <c r="C5160" s="114" t="n">
        <v>147812.900000014</v>
      </c>
    </row>
    <row r="5161" customFormat="false" ht="15" hidden="false" customHeight="true" outlineLevel="0" collapsed="false">
      <c r="A5161" s="115" t="n">
        <v>6588800.01</v>
      </c>
      <c r="B5161" s="115" t="n">
        <v>6590080</v>
      </c>
      <c r="C5161" s="115" t="n">
        <v>147841.560000014</v>
      </c>
    </row>
    <row r="5162" customFormat="false" ht="15" hidden="false" customHeight="true" outlineLevel="0" collapsed="false">
      <c r="A5162" s="114" t="n">
        <v>6590080.01</v>
      </c>
      <c r="B5162" s="114" t="n">
        <v>6591360</v>
      </c>
      <c r="C5162" s="114" t="n">
        <v>147870.220000014</v>
      </c>
    </row>
    <row r="5163" customFormat="false" ht="15" hidden="false" customHeight="true" outlineLevel="0" collapsed="false">
      <c r="A5163" s="115" t="n">
        <v>6591360.01</v>
      </c>
      <c r="B5163" s="115" t="n">
        <v>6592640</v>
      </c>
      <c r="C5163" s="115" t="n">
        <v>147898.880000014</v>
      </c>
    </row>
    <row r="5164" customFormat="false" ht="15" hidden="false" customHeight="true" outlineLevel="0" collapsed="false">
      <c r="A5164" s="114" t="n">
        <v>6592640.01</v>
      </c>
      <c r="B5164" s="114" t="n">
        <v>6593920</v>
      </c>
      <c r="C5164" s="114" t="n">
        <v>147927.540000014</v>
      </c>
    </row>
    <row r="5165" customFormat="false" ht="15" hidden="false" customHeight="true" outlineLevel="0" collapsed="false">
      <c r="A5165" s="115" t="n">
        <v>6593920.01</v>
      </c>
      <c r="B5165" s="115" t="n">
        <v>6595200</v>
      </c>
      <c r="C5165" s="115" t="n">
        <v>147956.200000014</v>
      </c>
    </row>
    <row r="5166" customFormat="false" ht="15" hidden="false" customHeight="true" outlineLevel="0" collapsed="false">
      <c r="A5166" s="114" t="n">
        <v>6595200.01</v>
      </c>
      <c r="B5166" s="114" t="n">
        <v>6596480</v>
      </c>
      <c r="C5166" s="114" t="n">
        <v>147984.860000014</v>
      </c>
    </row>
    <row r="5167" customFormat="false" ht="15" hidden="false" customHeight="true" outlineLevel="0" collapsed="false">
      <c r="A5167" s="115" t="n">
        <v>6596480.01</v>
      </c>
      <c r="B5167" s="115" t="n">
        <v>6597760</v>
      </c>
      <c r="C5167" s="115" t="n">
        <v>148013.520000014</v>
      </c>
    </row>
    <row r="5168" customFormat="false" ht="15" hidden="false" customHeight="true" outlineLevel="0" collapsed="false">
      <c r="A5168" s="114" t="n">
        <v>6597760.01</v>
      </c>
      <c r="B5168" s="114" t="n">
        <v>6599040</v>
      </c>
      <c r="C5168" s="114" t="n">
        <v>148042.180000014</v>
      </c>
    </row>
    <row r="5169" customFormat="false" ht="15" hidden="false" customHeight="true" outlineLevel="0" collapsed="false">
      <c r="A5169" s="115" t="n">
        <v>6599040.01</v>
      </c>
      <c r="B5169" s="115" t="n">
        <v>6600320</v>
      </c>
      <c r="C5169" s="115" t="n">
        <v>148070.840000014</v>
      </c>
    </row>
    <row r="5170" customFormat="false" ht="15" hidden="false" customHeight="true" outlineLevel="0" collapsed="false">
      <c r="A5170" s="114" t="n">
        <v>6600320.01</v>
      </c>
      <c r="B5170" s="114" t="n">
        <v>6601600</v>
      </c>
      <c r="C5170" s="114" t="n">
        <v>148099.500000014</v>
      </c>
    </row>
    <row r="5171" customFormat="false" ht="15" hidden="false" customHeight="true" outlineLevel="0" collapsed="false">
      <c r="A5171" s="115" t="n">
        <v>6601600.01</v>
      </c>
      <c r="B5171" s="115" t="n">
        <v>6602880</v>
      </c>
      <c r="C5171" s="115" t="n">
        <v>148128.160000014</v>
      </c>
    </row>
    <row r="5172" customFormat="false" ht="15" hidden="false" customHeight="true" outlineLevel="0" collapsed="false">
      <c r="A5172" s="114" t="n">
        <v>6602880.01</v>
      </c>
      <c r="B5172" s="114" t="n">
        <v>6604160</v>
      </c>
      <c r="C5172" s="114" t="n">
        <v>148156.820000014</v>
      </c>
    </row>
    <row r="5173" customFormat="false" ht="15" hidden="false" customHeight="true" outlineLevel="0" collapsed="false">
      <c r="A5173" s="115" t="n">
        <v>6604160.01</v>
      </c>
      <c r="B5173" s="115" t="n">
        <v>6605440</v>
      </c>
      <c r="C5173" s="115" t="n">
        <v>148185.480000014</v>
      </c>
    </row>
    <row r="5174" customFormat="false" ht="15" hidden="false" customHeight="true" outlineLevel="0" collapsed="false">
      <c r="A5174" s="114" t="n">
        <v>6605440.01</v>
      </c>
      <c r="B5174" s="114" t="n">
        <v>6606720</v>
      </c>
      <c r="C5174" s="114" t="n">
        <v>148214.140000014</v>
      </c>
    </row>
    <row r="5175" customFormat="false" ht="15" hidden="false" customHeight="true" outlineLevel="0" collapsed="false">
      <c r="A5175" s="115" t="n">
        <v>6606720.01</v>
      </c>
      <c r="B5175" s="115" t="n">
        <v>6608000</v>
      </c>
      <c r="C5175" s="115" t="n">
        <v>148242.800000014</v>
      </c>
    </row>
    <row r="5176" customFormat="false" ht="15" hidden="false" customHeight="true" outlineLevel="0" collapsed="false">
      <c r="A5176" s="114" t="n">
        <v>6608000.01</v>
      </c>
      <c r="B5176" s="114" t="n">
        <v>6609280</v>
      </c>
      <c r="C5176" s="114" t="n">
        <v>148271.460000014</v>
      </c>
    </row>
    <row r="5177" customFormat="false" ht="15" hidden="false" customHeight="true" outlineLevel="0" collapsed="false">
      <c r="A5177" s="115" t="n">
        <v>6609280.01</v>
      </c>
      <c r="B5177" s="115" t="n">
        <v>6610560</v>
      </c>
      <c r="C5177" s="115" t="n">
        <v>148300.120000014</v>
      </c>
    </row>
    <row r="5178" customFormat="false" ht="15" hidden="false" customHeight="true" outlineLevel="0" collapsed="false">
      <c r="A5178" s="114" t="n">
        <v>6610560.01</v>
      </c>
      <c r="B5178" s="114" t="n">
        <v>6611840</v>
      </c>
      <c r="C5178" s="114" t="n">
        <v>148328.780000014</v>
      </c>
    </row>
    <row r="5179" customFormat="false" ht="15" hidden="false" customHeight="true" outlineLevel="0" collapsed="false">
      <c r="A5179" s="115" t="n">
        <v>6611840.01</v>
      </c>
      <c r="B5179" s="115" t="n">
        <v>6613120</v>
      </c>
      <c r="C5179" s="115" t="n">
        <v>148357.440000014</v>
      </c>
    </row>
    <row r="5180" customFormat="false" ht="15" hidden="false" customHeight="true" outlineLevel="0" collapsed="false">
      <c r="A5180" s="114" t="n">
        <v>6613120.01</v>
      </c>
      <c r="B5180" s="114" t="n">
        <v>6614400</v>
      </c>
      <c r="C5180" s="114" t="n">
        <v>148386.100000014</v>
      </c>
    </row>
    <row r="5181" customFormat="false" ht="15" hidden="false" customHeight="true" outlineLevel="0" collapsed="false">
      <c r="A5181" s="115" t="n">
        <v>6614400.01</v>
      </c>
      <c r="B5181" s="115" t="n">
        <v>6615680</v>
      </c>
      <c r="C5181" s="115" t="n">
        <v>148414.760000014</v>
      </c>
    </row>
    <row r="5182" customFormat="false" ht="15" hidden="false" customHeight="true" outlineLevel="0" collapsed="false">
      <c r="A5182" s="114" t="n">
        <v>6615680.01</v>
      </c>
      <c r="B5182" s="114" t="n">
        <v>6616960</v>
      </c>
      <c r="C5182" s="114" t="n">
        <v>148443.420000014</v>
      </c>
    </row>
    <row r="5183" customFormat="false" ht="15" hidden="false" customHeight="true" outlineLevel="0" collapsed="false">
      <c r="A5183" s="115" t="n">
        <v>6616960.01</v>
      </c>
      <c r="B5183" s="115" t="n">
        <v>6618240</v>
      </c>
      <c r="C5183" s="115" t="n">
        <v>148472.080000014</v>
      </c>
    </row>
    <row r="5184" customFormat="false" ht="15" hidden="false" customHeight="true" outlineLevel="0" collapsed="false">
      <c r="A5184" s="114" t="n">
        <v>6618240.01</v>
      </c>
      <c r="B5184" s="114" t="n">
        <v>6619520</v>
      </c>
      <c r="C5184" s="114" t="n">
        <v>148500.740000014</v>
      </c>
    </row>
    <row r="5185" customFormat="false" ht="15" hidden="false" customHeight="true" outlineLevel="0" collapsed="false">
      <c r="A5185" s="115" t="n">
        <v>6619520.01</v>
      </c>
      <c r="B5185" s="115" t="n">
        <v>6620800</v>
      </c>
      <c r="C5185" s="115" t="n">
        <v>148529.400000014</v>
      </c>
    </row>
    <row r="5186" customFormat="false" ht="15" hidden="false" customHeight="true" outlineLevel="0" collapsed="false">
      <c r="A5186" s="114" t="n">
        <v>6620800.01</v>
      </c>
      <c r="B5186" s="114" t="n">
        <v>6622080</v>
      </c>
      <c r="C5186" s="114" t="n">
        <v>148558.060000014</v>
      </c>
    </row>
    <row r="5187" customFormat="false" ht="15" hidden="false" customHeight="true" outlineLevel="0" collapsed="false">
      <c r="A5187" s="115" t="n">
        <v>6622080.01</v>
      </c>
      <c r="B5187" s="115" t="n">
        <v>6623360</v>
      </c>
      <c r="C5187" s="115" t="n">
        <v>148586.720000014</v>
      </c>
    </row>
    <row r="5188" customFormat="false" ht="15" hidden="false" customHeight="true" outlineLevel="0" collapsed="false">
      <c r="A5188" s="114" t="n">
        <v>6623360.01</v>
      </c>
      <c r="B5188" s="114" t="n">
        <v>6624640</v>
      </c>
      <c r="C5188" s="114" t="n">
        <v>148615.380000014</v>
      </c>
    </row>
    <row r="5189" customFormat="false" ht="15" hidden="false" customHeight="true" outlineLevel="0" collapsed="false">
      <c r="A5189" s="115" t="n">
        <v>6624640.01</v>
      </c>
      <c r="B5189" s="115" t="n">
        <v>6625920</v>
      </c>
      <c r="C5189" s="115" t="n">
        <v>148644.040000014</v>
      </c>
    </row>
    <row r="5190" customFormat="false" ht="15" hidden="false" customHeight="true" outlineLevel="0" collapsed="false">
      <c r="A5190" s="114" t="n">
        <v>6625920.01</v>
      </c>
      <c r="B5190" s="114" t="n">
        <v>6627200</v>
      </c>
      <c r="C5190" s="114" t="n">
        <v>148672.700000014</v>
      </c>
    </row>
    <row r="5191" customFormat="false" ht="15" hidden="false" customHeight="true" outlineLevel="0" collapsed="false">
      <c r="A5191" s="115" t="n">
        <v>6627200.01</v>
      </c>
      <c r="B5191" s="115" t="n">
        <v>6628480</v>
      </c>
      <c r="C5191" s="115" t="n">
        <v>148701.360000014</v>
      </c>
    </row>
    <row r="5192" customFormat="false" ht="15" hidden="false" customHeight="true" outlineLevel="0" collapsed="false">
      <c r="A5192" s="114" t="n">
        <v>6628480.01</v>
      </c>
      <c r="B5192" s="114" t="n">
        <v>6629760</v>
      </c>
      <c r="C5192" s="114" t="n">
        <v>148730.020000014</v>
      </c>
    </row>
    <row r="5193" customFormat="false" ht="15" hidden="false" customHeight="true" outlineLevel="0" collapsed="false">
      <c r="A5193" s="115" t="n">
        <v>6629760.01</v>
      </c>
      <c r="B5193" s="115" t="n">
        <v>6631040</v>
      </c>
      <c r="C5193" s="115" t="n">
        <v>148758.680000014</v>
      </c>
    </row>
    <row r="5194" customFormat="false" ht="15" hidden="false" customHeight="true" outlineLevel="0" collapsed="false">
      <c r="A5194" s="114" t="n">
        <v>6631040.01</v>
      </c>
      <c r="B5194" s="114" t="n">
        <v>6632320</v>
      </c>
      <c r="C5194" s="114" t="n">
        <v>148787.340000014</v>
      </c>
    </row>
    <row r="5195" customFormat="false" ht="15" hidden="false" customHeight="true" outlineLevel="0" collapsed="false">
      <c r="A5195" s="115" t="n">
        <v>6632320.01</v>
      </c>
      <c r="B5195" s="115" t="n">
        <v>6633600</v>
      </c>
      <c r="C5195" s="115" t="n">
        <v>148816.000000014</v>
      </c>
    </row>
    <row r="5196" customFormat="false" ht="15" hidden="false" customHeight="true" outlineLevel="0" collapsed="false">
      <c r="A5196" s="114" t="n">
        <v>6633600.01</v>
      </c>
      <c r="B5196" s="114" t="n">
        <v>6634880</v>
      </c>
      <c r="C5196" s="114" t="n">
        <v>148844.660000014</v>
      </c>
    </row>
    <row r="5197" customFormat="false" ht="15" hidden="false" customHeight="true" outlineLevel="0" collapsed="false">
      <c r="A5197" s="115" t="n">
        <v>6634880.01</v>
      </c>
      <c r="B5197" s="115" t="n">
        <v>6636160</v>
      </c>
      <c r="C5197" s="115" t="n">
        <v>148873.320000014</v>
      </c>
    </row>
    <row r="5198" customFormat="false" ht="15" hidden="false" customHeight="true" outlineLevel="0" collapsed="false">
      <c r="A5198" s="114" t="n">
        <v>6636160.01</v>
      </c>
      <c r="B5198" s="114" t="n">
        <v>6637440</v>
      </c>
      <c r="C5198" s="114" t="n">
        <v>148901.980000014</v>
      </c>
    </row>
    <row r="5199" customFormat="false" ht="15" hidden="false" customHeight="true" outlineLevel="0" collapsed="false">
      <c r="A5199" s="115" t="n">
        <v>6637440.01</v>
      </c>
      <c r="B5199" s="115" t="n">
        <v>6638720</v>
      </c>
      <c r="C5199" s="115" t="n">
        <v>148930.640000014</v>
      </c>
    </row>
    <row r="5200" customFormat="false" ht="15" hidden="false" customHeight="true" outlineLevel="0" collapsed="false">
      <c r="A5200" s="114" t="n">
        <v>6638720.01</v>
      </c>
      <c r="B5200" s="114" t="n">
        <v>6640000</v>
      </c>
      <c r="C5200" s="114" t="n">
        <v>148959.300000014</v>
      </c>
    </row>
    <row r="5201" customFormat="false" ht="15" hidden="false" customHeight="true" outlineLevel="0" collapsed="false">
      <c r="A5201" s="115" t="n">
        <v>6640000.01</v>
      </c>
      <c r="B5201" s="115" t="n">
        <v>6641280</v>
      </c>
      <c r="C5201" s="115" t="n">
        <v>148987.960000014</v>
      </c>
    </row>
    <row r="5202" customFormat="false" ht="15" hidden="false" customHeight="true" outlineLevel="0" collapsed="false">
      <c r="A5202" s="114" t="n">
        <v>6641280.01</v>
      </c>
      <c r="B5202" s="114" t="n">
        <v>6642560</v>
      </c>
      <c r="C5202" s="114" t="n">
        <v>149016.620000014</v>
      </c>
    </row>
    <row r="5203" customFormat="false" ht="15" hidden="false" customHeight="true" outlineLevel="0" collapsed="false">
      <c r="A5203" s="115" t="n">
        <v>6642560.01</v>
      </c>
      <c r="B5203" s="115" t="n">
        <v>6643840</v>
      </c>
      <c r="C5203" s="115" t="n">
        <v>149045.280000014</v>
      </c>
    </row>
    <row r="5204" customFormat="false" ht="15" hidden="false" customHeight="true" outlineLevel="0" collapsed="false">
      <c r="A5204" s="114" t="n">
        <v>6643840.01</v>
      </c>
      <c r="B5204" s="114" t="n">
        <v>6645120</v>
      </c>
      <c r="C5204" s="114" t="n">
        <v>149073.940000014</v>
      </c>
    </row>
    <row r="5205" customFormat="false" ht="15" hidden="false" customHeight="true" outlineLevel="0" collapsed="false">
      <c r="A5205" s="115" t="n">
        <v>6645120.01</v>
      </c>
      <c r="B5205" s="115" t="n">
        <v>6646400</v>
      </c>
      <c r="C5205" s="115" t="n">
        <v>149102.600000014</v>
      </c>
    </row>
    <row r="5206" customFormat="false" ht="15" hidden="false" customHeight="true" outlineLevel="0" collapsed="false">
      <c r="A5206" s="114" t="n">
        <v>6646400.01</v>
      </c>
      <c r="B5206" s="114" t="n">
        <v>6647680</v>
      </c>
      <c r="C5206" s="114" t="n">
        <v>149131.260000014</v>
      </c>
    </row>
    <row r="5207" customFormat="false" ht="15" hidden="false" customHeight="true" outlineLevel="0" collapsed="false">
      <c r="A5207" s="115" t="n">
        <v>6647680.01</v>
      </c>
      <c r="B5207" s="115" t="n">
        <v>6648960</v>
      </c>
      <c r="C5207" s="115" t="n">
        <v>149159.920000014</v>
      </c>
    </row>
    <row r="5208" customFormat="false" ht="15" hidden="false" customHeight="true" outlineLevel="0" collapsed="false">
      <c r="A5208" s="114" t="n">
        <v>6648960.01</v>
      </c>
      <c r="B5208" s="114" t="n">
        <v>6650240</v>
      </c>
      <c r="C5208" s="114" t="n">
        <v>149188.580000014</v>
      </c>
    </row>
    <row r="5209" customFormat="false" ht="15" hidden="false" customHeight="true" outlineLevel="0" collapsed="false">
      <c r="A5209" s="115" t="n">
        <v>6650240.01</v>
      </c>
      <c r="B5209" s="115" t="n">
        <v>6651520</v>
      </c>
      <c r="C5209" s="115" t="n">
        <v>149217.240000014</v>
      </c>
    </row>
    <row r="5210" customFormat="false" ht="15" hidden="false" customHeight="true" outlineLevel="0" collapsed="false">
      <c r="A5210" s="114" t="n">
        <v>6651520.01</v>
      </c>
      <c r="B5210" s="114" t="n">
        <v>6652800</v>
      </c>
      <c r="C5210" s="114" t="n">
        <v>149245.900000014</v>
      </c>
    </row>
    <row r="5211" customFormat="false" ht="15" hidden="false" customHeight="true" outlineLevel="0" collapsed="false">
      <c r="A5211" s="115" t="n">
        <v>6652800.01</v>
      </c>
      <c r="B5211" s="115" t="n">
        <v>6654080</v>
      </c>
      <c r="C5211" s="115" t="n">
        <v>149274.560000014</v>
      </c>
    </row>
    <row r="5212" customFormat="false" ht="15" hidden="false" customHeight="true" outlineLevel="0" collapsed="false">
      <c r="A5212" s="114" t="n">
        <v>6654080.01</v>
      </c>
      <c r="B5212" s="114" t="n">
        <v>6655360</v>
      </c>
      <c r="C5212" s="114" t="n">
        <v>149303.220000014</v>
      </c>
    </row>
    <row r="5213" customFormat="false" ht="15" hidden="false" customHeight="true" outlineLevel="0" collapsed="false">
      <c r="A5213" s="115" t="n">
        <v>6655360.01</v>
      </c>
      <c r="B5213" s="115" t="n">
        <v>6656640</v>
      </c>
      <c r="C5213" s="115" t="n">
        <v>149331.880000014</v>
      </c>
    </row>
    <row r="5214" customFormat="false" ht="15" hidden="false" customHeight="true" outlineLevel="0" collapsed="false">
      <c r="A5214" s="114" t="n">
        <v>6656640.01</v>
      </c>
      <c r="B5214" s="114" t="n">
        <v>6657920</v>
      </c>
      <c r="C5214" s="114" t="n">
        <v>149360.540000014</v>
      </c>
    </row>
    <row r="5215" customFormat="false" ht="15" hidden="false" customHeight="true" outlineLevel="0" collapsed="false">
      <c r="A5215" s="115" t="n">
        <v>6657920.01</v>
      </c>
      <c r="B5215" s="115" t="n">
        <v>6659200</v>
      </c>
      <c r="C5215" s="115" t="n">
        <v>149389.200000014</v>
      </c>
    </row>
    <row r="5216" customFormat="false" ht="15" hidden="false" customHeight="true" outlineLevel="0" collapsed="false">
      <c r="A5216" s="114" t="n">
        <v>6659200.01</v>
      </c>
      <c r="B5216" s="114" t="n">
        <v>6660480</v>
      </c>
      <c r="C5216" s="114" t="n">
        <v>149417.860000014</v>
      </c>
    </row>
    <row r="5217" customFormat="false" ht="15" hidden="false" customHeight="true" outlineLevel="0" collapsed="false">
      <c r="A5217" s="115" t="n">
        <v>6660480.01</v>
      </c>
      <c r="B5217" s="115" t="n">
        <v>6661760</v>
      </c>
      <c r="C5217" s="115" t="n">
        <v>149446.520000014</v>
      </c>
    </row>
    <row r="5218" customFormat="false" ht="15" hidden="false" customHeight="true" outlineLevel="0" collapsed="false">
      <c r="A5218" s="114" t="n">
        <v>6661760.01</v>
      </c>
      <c r="B5218" s="114" t="n">
        <v>6663040</v>
      </c>
      <c r="C5218" s="114" t="n">
        <v>149475.180000014</v>
      </c>
    </row>
    <row r="5219" customFormat="false" ht="15" hidden="false" customHeight="true" outlineLevel="0" collapsed="false">
      <c r="A5219" s="115" t="n">
        <v>6663040.01</v>
      </c>
      <c r="B5219" s="115" t="n">
        <v>6664320</v>
      </c>
      <c r="C5219" s="115" t="n">
        <v>149503.840000014</v>
      </c>
    </row>
    <row r="5220" customFormat="false" ht="15" hidden="false" customHeight="true" outlineLevel="0" collapsed="false">
      <c r="A5220" s="114" t="n">
        <v>6664320.01</v>
      </c>
      <c r="B5220" s="114" t="n">
        <v>6665600</v>
      </c>
      <c r="C5220" s="114" t="n">
        <v>149532.500000014</v>
      </c>
    </row>
    <row r="5221" customFormat="false" ht="15" hidden="false" customHeight="true" outlineLevel="0" collapsed="false">
      <c r="A5221" s="115" t="n">
        <v>6665600.01</v>
      </c>
      <c r="B5221" s="115" t="n">
        <v>6666880</v>
      </c>
      <c r="C5221" s="115" t="n">
        <v>149561.160000014</v>
      </c>
    </row>
    <row r="5222" customFormat="false" ht="15" hidden="false" customHeight="true" outlineLevel="0" collapsed="false">
      <c r="A5222" s="114" t="n">
        <v>6666880.01</v>
      </c>
      <c r="B5222" s="114" t="n">
        <v>6668160</v>
      </c>
      <c r="C5222" s="114" t="n">
        <v>149589.820000014</v>
      </c>
    </row>
    <row r="5223" customFormat="false" ht="15" hidden="false" customHeight="true" outlineLevel="0" collapsed="false">
      <c r="A5223" s="115" t="n">
        <v>6668160.01</v>
      </c>
      <c r="B5223" s="115" t="n">
        <v>6669440</v>
      </c>
      <c r="C5223" s="115" t="n">
        <v>149618.480000014</v>
      </c>
    </row>
    <row r="5224" customFormat="false" ht="15" hidden="false" customHeight="true" outlineLevel="0" collapsed="false">
      <c r="A5224" s="114" t="n">
        <v>6669440.01</v>
      </c>
      <c r="B5224" s="114" t="n">
        <v>6670720</v>
      </c>
      <c r="C5224" s="114" t="n">
        <v>149647.140000014</v>
      </c>
    </row>
    <row r="5225" customFormat="false" ht="15" hidden="false" customHeight="true" outlineLevel="0" collapsed="false">
      <c r="A5225" s="115" t="n">
        <v>6670720.01</v>
      </c>
      <c r="B5225" s="115" t="n">
        <v>6672000</v>
      </c>
      <c r="C5225" s="115" t="n">
        <v>149675.800000014</v>
      </c>
    </row>
    <row r="5226" customFormat="false" ht="15" hidden="false" customHeight="true" outlineLevel="0" collapsed="false">
      <c r="A5226" s="114" t="n">
        <v>6672000.01</v>
      </c>
      <c r="B5226" s="114" t="n">
        <v>6673280</v>
      </c>
      <c r="C5226" s="114" t="n">
        <v>149704.460000014</v>
      </c>
    </row>
    <row r="5227" customFormat="false" ht="15" hidden="false" customHeight="true" outlineLevel="0" collapsed="false">
      <c r="A5227" s="115" t="n">
        <v>6673280.01</v>
      </c>
      <c r="B5227" s="115" t="n">
        <v>6674560</v>
      </c>
      <c r="C5227" s="115" t="n">
        <v>149733.120000014</v>
      </c>
    </row>
    <row r="5228" customFormat="false" ht="15" hidden="false" customHeight="true" outlineLevel="0" collapsed="false">
      <c r="A5228" s="114" t="n">
        <v>6674560.01</v>
      </c>
      <c r="B5228" s="114" t="n">
        <v>6675840</v>
      </c>
      <c r="C5228" s="114" t="n">
        <v>149761.780000014</v>
      </c>
    </row>
    <row r="5229" customFormat="false" ht="15" hidden="false" customHeight="true" outlineLevel="0" collapsed="false">
      <c r="A5229" s="115" t="n">
        <v>6675840.01</v>
      </c>
      <c r="B5229" s="115" t="n">
        <v>6677120</v>
      </c>
      <c r="C5229" s="115" t="n">
        <v>149790.440000014</v>
      </c>
    </row>
    <row r="5230" customFormat="false" ht="15" hidden="false" customHeight="true" outlineLevel="0" collapsed="false">
      <c r="A5230" s="114" t="n">
        <v>6677120.01</v>
      </c>
      <c r="B5230" s="114" t="n">
        <v>6678400</v>
      </c>
      <c r="C5230" s="114" t="n">
        <v>149819.100000014</v>
      </c>
    </row>
    <row r="5231" customFormat="false" ht="15" hidden="false" customHeight="true" outlineLevel="0" collapsed="false">
      <c r="A5231" s="115" t="n">
        <v>6678400.01</v>
      </c>
      <c r="B5231" s="115" t="n">
        <v>6679680</v>
      </c>
      <c r="C5231" s="115" t="n">
        <v>149847.760000014</v>
      </c>
    </row>
    <row r="5232" customFormat="false" ht="15" hidden="false" customHeight="true" outlineLevel="0" collapsed="false">
      <c r="A5232" s="114" t="n">
        <v>6679680.01</v>
      </c>
      <c r="B5232" s="114" t="n">
        <v>6680960</v>
      </c>
      <c r="C5232" s="114" t="n">
        <v>149876.420000014</v>
      </c>
    </row>
    <row r="5233" customFormat="false" ht="15" hidden="false" customHeight="true" outlineLevel="0" collapsed="false">
      <c r="A5233" s="115" t="n">
        <v>6680960.01</v>
      </c>
      <c r="B5233" s="115" t="n">
        <v>6682240</v>
      </c>
      <c r="C5233" s="115" t="n">
        <v>149905.080000014</v>
      </c>
    </row>
    <row r="5234" customFormat="false" ht="15" hidden="false" customHeight="true" outlineLevel="0" collapsed="false">
      <c r="A5234" s="114" t="n">
        <v>6682240.01</v>
      </c>
      <c r="B5234" s="114" t="n">
        <v>6683520</v>
      </c>
      <c r="C5234" s="114" t="n">
        <v>149933.740000014</v>
      </c>
    </row>
    <row r="5235" customFormat="false" ht="15" hidden="false" customHeight="true" outlineLevel="0" collapsed="false">
      <c r="A5235" s="115" t="n">
        <v>6683520.01</v>
      </c>
      <c r="B5235" s="115" t="n">
        <v>6684800</v>
      </c>
      <c r="C5235" s="115" t="n">
        <v>149962.400000014</v>
      </c>
    </row>
    <row r="5236" customFormat="false" ht="15" hidden="false" customHeight="true" outlineLevel="0" collapsed="false">
      <c r="A5236" s="114" t="n">
        <v>6684800.01</v>
      </c>
      <c r="B5236" s="114" t="n">
        <v>6686080</v>
      </c>
      <c r="C5236" s="114" t="n">
        <v>149991.060000014</v>
      </c>
    </row>
    <row r="5237" customFormat="false" ht="15" hidden="false" customHeight="true" outlineLevel="0" collapsed="false">
      <c r="A5237" s="115" t="n">
        <v>6686080.01</v>
      </c>
      <c r="B5237" s="115" t="n">
        <v>6687360</v>
      </c>
      <c r="C5237" s="115" t="n">
        <v>150019.720000014</v>
      </c>
    </row>
    <row r="5238" customFormat="false" ht="15" hidden="false" customHeight="true" outlineLevel="0" collapsed="false">
      <c r="A5238" s="114" t="n">
        <v>6687360.01</v>
      </c>
      <c r="B5238" s="114" t="n">
        <v>6688640</v>
      </c>
      <c r="C5238" s="114" t="n">
        <v>150048.380000014</v>
      </c>
    </row>
    <row r="5239" customFormat="false" ht="15" hidden="false" customHeight="true" outlineLevel="0" collapsed="false">
      <c r="A5239" s="115" t="n">
        <v>6688640.01</v>
      </c>
      <c r="B5239" s="115" t="n">
        <v>6689920</v>
      </c>
      <c r="C5239" s="115" t="n">
        <v>150077.040000014</v>
      </c>
    </row>
    <row r="5240" customFormat="false" ht="15" hidden="false" customHeight="true" outlineLevel="0" collapsed="false">
      <c r="A5240" s="114" t="n">
        <v>6689920.01</v>
      </c>
      <c r="B5240" s="114" t="n">
        <v>6691200</v>
      </c>
      <c r="C5240" s="114" t="n">
        <v>150105.700000014</v>
      </c>
    </row>
    <row r="5241" customFormat="false" ht="15" hidden="false" customHeight="true" outlineLevel="0" collapsed="false">
      <c r="A5241" s="115" t="n">
        <v>6691200.01</v>
      </c>
      <c r="B5241" s="115" t="n">
        <v>6692480</v>
      </c>
      <c r="C5241" s="115" t="n">
        <v>150134.360000014</v>
      </c>
    </row>
    <row r="5242" customFormat="false" ht="15" hidden="false" customHeight="true" outlineLevel="0" collapsed="false">
      <c r="A5242" s="114" t="n">
        <v>6692480.01</v>
      </c>
      <c r="B5242" s="114" t="n">
        <v>6693760</v>
      </c>
      <c r="C5242" s="114" t="n">
        <v>150163.020000014</v>
      </c>
    </row>
    <row r="5243" customFormat="false" ht="15" hidden="false" customHeight="true" outlineLevel="0" collapsed="false">
      <c r="A5243" s="115" t="n">
        <v>6693760.01</v>
      </c>
      <c r="B5243" s="115" t="n">
        <v>6695040</v>
      </c>
      <c r="C5243" s="115" t="n">
        <v>150191.680000014</v>
      </c>
    </row>
    <row r="5244" customFormat="false" ht="15" hidden="false" customHeight="true" outlineLevel="0" collapsed="false">
      <c r="A5244" s="114" t="n">
        <v>6695040.01</v>
      </c>
      <c r="B5244" s="114" t="n">
        <v>6696320</v>
      </c>
      <c r="C5244" s="114" t="n">
        <v>150220.340000014</v>
      </c>
    </row>
    <row r="5245" customFormat="false" ht="15" hidden="false" customHeight="true" outlineLevel="0" collapsed="false">
      <c r="A5245" s="115" t="n">
        <v>6696320.01</v>
      </c>
      <c r="B5245" s="115" t="n">
        <v>6697600</v>
      </c>
      <c r="C5245" s="115" t="n">
        <v>150249.000000014</v>
      </c>
    </row>
    <row r="5246" customFormat="false" ht="15" hidden="false" customHeight="true" outlineLevel="0" collapsed="false">
      <c r="A5246" s="114" t="n">
        <v>6697600.01</v>
      </c>
      <c r="B5246" s="114" t="n">
        <v>6698880</v>
      </c>
      <c r="C5246" s="114" t="n">
        <v>150277.660000014</v>
      </c>
    </row>
    <row r="5247" customFormat="false" ht="15" hidden="false" customHeight="true" outlineLevel="0" collapsed="false">
      <c r="A5247" s="115" t="n">
        <v>6698880.01</v>
      </c>
      <c r="B5247" s="115" t="n">
        <v>6700160</v>
      </c>
      <c r="C5247" s="115" t="n">
        <v>150306.320000014</v>
      </c>
    </row>
    <row r="5248" customFormat="false" ht="15" hidden="false" customHeight="true" outlineLevel="0" collapsed="false">
      <c r="A5248" s="114" t="n">
        <v>6700160.01</v>
      </c>
      <c r="B5248" s="114" t="n">
        <v>6701440</v>
      </c>
      <c r="C5248" s="114" t="n">
        <v>150334.980000014</v>
      </c>
    </row>
    <row r="5249" customFormat="false" ht="15" hidden="false" customHeight="true" outlineLevel="0" collapsed="false">
      <c r="A5249" s="115" t="n">
        <v>6701440.01</v>
      </c>
      <c r="B5249" s="115" t="n">
        <v>6702720</v>
      </c>
      <c r="C5249" s="115" t="n">
        <v>150363.640000014</v>
      </c>
    </row>
    <row r="5250" customFormat="false" ht="15" hidden="false" customHeight="true" outlineLevel="0" collapsed="false">
      <c r="A5250" s="114" t="n">
        <v>6702720.01</v>
      </c>
      <c r="B5250" s="114" t="n">
        <v>6704000</v>
      </c>
      <c r="C5250" s="114" t="n">
        <v>150392.300000014</v>
      </c>
    </row>
    <row r="5251" customFormat="false" ht="15" hidden="false" customHeight="true" outlineLevel="0" collapsed="false">
      <c r="A5251" s="115" t="n">
        <v>6704000.01</v>
      </c>
      <c r="B5251" s="115" t="n">
        <v>6705280</v>
      </c>
      <c r="C5251" s="115" t="n">
        <v>150420.960000014</v>
      </c>
    </row>
    <row r="5252" customFormat="false" ht="15" hidden="false" customHeight="true" outlineLevel="0" collapsed="false">
      <c r="A5252" s="114" t="n">
        <v>6705280.01</v>
      </c>
      <c r="B5252" s="114" t="n">
        <v>6706560</v>
      </c>
      <c r="C5252" s="114" t="n">
        <v>150449.620000014</v>
      </c>
    </row>
    <row r="5253" customFormat="false" ht="15" hidden="false" customHeight="true" outlineLevel="0" collapsed="false">
      <c r="A5253" s="115" t="n">
        <v>6706560.01</v>
      </c>
      <c r="B5253" s="115" t="n">
        <v>6707840</v>
      </c>
      <c r="C5253" s="115" t="n">
        <v>150478.280000014</v>
      </c>
    </row>
    <row r="5254" customFormat="false" ht="15" hidden="false" customHeight="true" outlineLevel="0" collapsed="false">
      <c r="A5254" s="114" t="n">
        <v>6707840.01</v>
      </c>
      <c r="B5254" s="114" t="n">
        <v>6709120</v>
      </c>
      <c r="C5254" s="114" t="n">
        <v>150506.940000014</v>
      </c>
    </row>
    <row r="5255" customFormat="false" ht="15" hidden="false" customHeight="true" outlineLevel="0" collapsed="false">
      <c r="A5255" s="115" t="n">
        <v>6709120.01</v>
      </c>
      <c r="B5255" s="115" t="n">
        <v>6710400</v>
      </c>
      <c r="C5255" s="115" t="n">
        <v>150535.600000014</v>
      </c>
    </row>
    <row r="5256" customFormat="false" ht="15" hidden="false" customHeight="true" outlineLevel="0" collapsed="false">
      <c r="A5256" s="114" t="n">
        <v>6710400.01</v>
      </c>
      <c r="B5256" s="114" t="n">
        <v>6711680</v>
      </c>
      <c r="C5256" s="114" t="n">
        <v>150564.260000014</v>
      </c>
    </row>
    <row r="5257" customFormat="false" ht="15" hidden="false" customHeight="true" outlineLevel="0" collapsed="false">
      <c r="A5257" s="115" t="n">
        <v>6711680.01</v>
      </c>
      <c r="B5257" s="115" t="n">
        <v>6712960</v>
      </c>
      <c r="C5257" s="115" t="n">
        <v>150592.920000014</v>
      </c>
    </row>
    <row r="5258" customFormat="false" ht="15" hidden="false" customHeight="true" outlineLevel="0" collapsed="false">
      <c r="A5258" s="114" t="n">
        <v>6712960.01</v>
      </c>
      <c r="B5258" s="114" t="n">
        <v>6714240</v>
      </c>
      <c r="C5258" s="114" t="n">
        <v>150621.580000014</v>
      </c>
    </row>
    <row r="5259" customFormat="false" ht="15" hidden="false" customHeight="true" outlineLevel="0" collapsed="false">
      <c r="A5259" s="115" t="n">
        <v>6714240.01</v>
      </c>
      <c r="B5259" s="115" t="n">
        <v>6715520</v>
      </c>
      <c r="C5259" s="115" t="n">
        <v>150650.240000014</v>
      </c>
    </row>
    <row r="5260" customFormat="false" ht="15" hidden="false" customHeight="true" outlineLevel="0" collapsed="false">
      <c r="A5260" s="114" t="n">
        <v>6715520.01</v>
      </c>
      <c r="B5260" s="114" t="n">
        <v>6716800</v>
      </c>
      <c r="C5260" s="114" t="n">
        <v>150678.900000014</v>
      </c>
    </row>
    <row r="5261" customFormat="false" ht="15" hidden="false" customHeight="true" outlineLevel="0" collapsed="false">
      <c r="A5261" s="115" t="n">
        <v>6716800.01</v>
      </c>
      <c r="B5261" s="115" t="n">
        <v>6718080</v>
      </c>
      <c r="C5261" s="115" t="n">
        <v>150707.560000014</v>
      </c>
    </row>
    <row r="5262" customFormat="false" ht="15" hidden="false" customHeight="true" outlineLevel="0" collapsed="false">
      <c r="A5262" s="114" t="n">
        <v>6718080.01</v>
      </c>
      <c r="B5262" s="114" t="n">
        <v>6719360</v>
      </c>
      <c r="C5262" s="114" t="n">
        <v>150736.220000014</v>
      </c>
    </row>
    <row r="5263" customFormat="false" ht="15" hidden="false" customHeight="true" outlineLevel="0" collapsed="false">
      <c r="A5263" s="115" t="n">
        <v>6719360.01</v>
      </c>
      <c r="B5263" s="115" t="n">
        <v>6720640</v>
      </c>
      <c r="C5263" s="115" t="n">
        <v>150764.880000014</v>
      </c>
    </row>
    <row r="5264" customFormat="false" ht="15" hidden="false" customHeight="true" outlineLevel="0" collapsed="false">
      <c r="A5264" s="114" t="n">
        <v>6720640.01</v>
      </c>
      <c r="B5264" s="114" t="n">
        <v>6721920</v>
      </c>
      <c r="C5264" s="114" t="n">
        <v>150793.540000014</v>
      </c>
    </row>
    <row r="5265" customFormat="false" ht="15" hidden="false" customHeight="true" outlineLevel="0" collapsed="false">
      <c r="A5265" s="115" t="n">
        <v>6721920.01</v>
      </c>
      <c r="B5265" s="115" t="n">
        <v>6723200</v>
      </c>
      <c r="C5265" s="115" t="n">
        <v>150822.200000014</v>
      </c>
    </row>
    <row r="5266" customFormat="false" ht="15" hidden="false" customHeight="true" outlineLevel="0" collapsed="false">
      <c r="A5266" s="114" t="n">
        <v>6723200.01</v>
      </c>
      <c r="B5266" s="114" t="n">
        <v>6724480</v>
      </c>
      <c r="C5266" s="114" t="n">
        <v>150850.860000014</v>
      </c>
    </row>
    <row r="5267" customFormat="false" ht="15" hidden="false" customHeight="true" outlineLevel="0" collapsed="false">
      <c r="A5267" s="115" t="n">
        <v>6724480.01</v>
      </c>
      <c r="B5267" s="115" t="n">
        <v>6725760</v>
      </c>
      <c r="C5267" s="115" t="n">
        <v>150879.520000014</v>
      </c>
    </row>
    <row r="5268" customFormat="false" ht="15" hidden="false" customHeight="true" outlineLevel="0" collapsed="false">
      <c r="A5268" s="114" t="n">
        <v>6725760.01</v>
      </c>
      <c r="B5268" s="114" t="n">
        <v>6727040</v>
      </c>
      <c r="C5268" s="114" t="n">
        <v>150908.180000014</v>
      </c>
    </row>
    <row r="5269" customFormat="false" ht="15" hidden="false" customHeight="true" outlineLevel="0" collapsed="false">
      <c r="A5269" s="115" t="n">
        <v>6727040.01</v>
      </c>
      <c r="B5269" s="115" t="n">
        <v>6728320</v>
      </c>
      <c r="C5269" s="115" t="n">
        <v>150936.840000014</v>
      </c>
    </row>
    <row r="5270" customFormat="false" ht="15" hidden="false" customHeight="true" outlineLevel="0" collapsed="false">
      <c r="A5270" s="114" t="n">
        <v>6728320.01</v>
      </c>
      <c r="B5270" s="114" t="n">
        <v>6729600</v>
      </c>
      <c r="C5270" s="114" t="n">
        <v>150965.500000014</v>
      </c>
    </row>
    <row r="5271" customFormat="false" ht="15" hidden="false" customHeight="true" outlineLevel="0" collapsed="false">
      <c r="A5271" s="115" t="n">
        <v>6729600.01</v>
      </c>
      <c r="B5271" s="115" t="n">
        <v>6730880</v>
      </c>
      <c r="C5271" s="115" t="n">
        <v>150994.160000014</v>
      </c>
    </row>
    <row r="5272" customFormat="false" ht="15" hidden="false" customHeight="true" outlineLevel="0" collapsed="false">
      <c r="A5272" s="114" t="n">
        <v>6730880.01</v>
      </c>
      <c r="B5272" s="114" t="n">
        <v>6732160</v>
      </c>
      <c r="C5272" s="114" t="n">
        <v>151022.820000014</v>
      </c>
    </row>
    <row r="5273" customFormat="false" ht="15" hidden="false" customHeight="true" outlineLevel="0" collapsed="false">
      <c r="A5273" s="115" t="n">
        <v>6732160.01</v>
      </c>
      <c r="B5273" s="115" t="n">
        <v>6733440</v>
      </c>
      <c r="C5273" s="115" t="n">
        <v>151051.480000014</v>
      </c>
    </row>
    <row r="5274" customFormat="false" ht="15" hidden="false" customHeight="true" outlineLevel="0" collapsed="false">
      <c r="A5274" s="114" t="n">
        <v>6733440.01</v>
      </c>
      <c r="B5274" s="114" t="n">
        <v>6734720</v>
      </c>
      <c r="C5274" s="114" t="n">
        <v>151080.140000014</v>
      </c>
    </row>
    <row r="5275" customFormat="false" ht="15" hidden="false" customHeight="true" outlineLevel="0" collapsed="false">
      <c r="A5275" s="115" t="n">
        <v>6734720.01</v>
      </c>
      <c r="B5275" s="115" t="n">
        <v>6736000</v>
      </c>
      <c r="C5275" s="115" t="n">
        <v>151108.800000014</v>
      </c>
    </row>
    <row r="5276" customFormat="false" ht="15" hidden="false" customHeight="true" outlineLevel="0" collapsed="false">
      <c r="A5276" s="114" t="n">
        <v>6736000.01</v>
      </c>
      <c r="B5276" s="114" t="n">
        <v>6737280</v>
      </c>
      <c r="C5276" s="114" t="n">
        <v>151137.460000014</v>
      </c>
    </row>
    <row r="5277" customFormat="false" ht="15" hidden="false" customHeight="true" outlineLevel="0" collapsed="false">
      <c r="A5277" s="115" t="n">
        <v>6737280.01</v>
      </c>
      <c r="B5277" s="115" t="n">
        <v>6738560</v>
      </c>
      <c r="C5277" s="115" t="n">
        <v>151166.120000014</v>
      </c>
    </row>
    <row r="5278" customFormat="false" ht="15" hidden="false" customHeight="true" outlineLevel="0" collapsed="false">
      <c r="A5278" s="114" t="n">
        <v>6738560.01</v>
      </c>
      <c r="B5278" s="114" t="n">
        <v>6739840</v>
      </c>
      <c r="C5278" s="114" t="n">
        <v>151194.780000014</v>
      </c>
    </row>
    <row r="5279" customFormat="false" ht="15" hidden="false" customHeight="true" outlineLevel="0" collapsed="false">
      <c r="A5279" s="115" t="n">
        <v>6739840.01</v>
      </c>
      <c r="B5279" s="115" t="n">
        <v>6741120</v>
      </c>
      <c r="C5279" s="115" t="n">
        <v>151223.440000014</v>
      </c>
    </row>
    <row r="5280" customFormat="false" ht="15" hidden="false" customHeight="true" outlineLevel="0" collapsed="false">
      <c r="A5280" s="114" t="n">
        <v>6741120.01</v>
      </c>
      <c r="B5280" s="114" t="n">
        <v>6742400</v>
      </c>
      <c r="C5280" s="114" t="n">
        <v>151252.100000014</v>
      </c>
    </row>
    <row r="5281" customFormat="false" ht="15" hidden="false" customHeight="true" outlineLevel="0" collapsed="false">
      <c r="A5281" s="115" t="n">
        <v>6742400.01</v>
      </c>
      <c r="B5281" s="115" t="n">
        <v>6743680</v>
      </c>
      <c r="C5281" s="115" t="n">
        <v>151280.760000014</v>
      </c>
    </row>
    <row r="5282" customFormat="false" ht="15" hidden="false" customHeight="true" outlineLevel="0" collapsed="false">
      <c r="A5282" s="114" t="n">
        <v>6743680.01</v>
      </c>
      <c r="B5282" s="114" t="n">
        <v>6744960</v>
      </c>
      <c r="C5282" s="114" t="n">
        <v>151309.420000014</v>
      </c>
    </row>
    <row r="5283" customFormat="false" ht="15" hidden="false" customHeight="true" outlineLevel="0" collapsed="false">
      <c r="A5283" s="115" t="n">
        <v>6744960.01</v>
      </c>
      <c r="B5283" s="115" t="n">
        <v>6746240</v>
      </c>
      <c r="C5283" s="115" t="n">
        <v>151338.080000014</v>
      </c>
    </row>
    <row r="5284" customFormat="false" ht="15" hidden="false" customHeight="true" outlineLevel="0" collapsed="false">
      <c r="A5284" s="114" t="n">
        <v>6746240.01</v>
      </c>
      <c r="B5284" s="114" t="n">
        <v>6747520</v>
      </c>
      <c r="C5284" s="114" t="n">
        <v>151366.740000014</v>
      </c>
    </row>
    <row r="5285" customFormat="false" ht="15" hidden="false" customHeight="true" outlineLevel="0" collapsed="false">
      <c r="A5285" s="115" t="n">
        <v>6747520.01</v>
      </c>
      <c r="B5285" s="115" t="n">
        <v>6748800</v>
      </c>
      <c r="C5285" s="115" t="n">
        <v>151395.400000014</v>
      </c>
    </row>
    <row r="5286" customFormat="false" ht="15" hidden="false" customHeight="true" outlineLevel="0" collapsed="false">
      <c r="A5286" s="114" t="n">
        <v>6748800.01</v>
      </c>
      <c r="B5286" s="114" t="n">
        <v>6750080</v>
      </c>
      <c r="C5286" s="114" t="n">
        <v>151424.060000014</v>
      </c>
    </row>
    <row r="5287" customFormat="false" ht="15" hidden="false" customHeight="true" outlineLevel="0" collapsed="false">
      <c r="A5287" s="115" t="n">
        <v>6750080.01</v>
      </c>
      <c r="B5287" s="115" t="n">
        <v>6751360</v>
      </c>
      <c r="C5287" s="115" t="n">
        <v>151452.720000014</v>
      </c>
    </row>
    <row r="5288" customFormat="false" ht="15" hidden="false" customHeight="true" outlineLevel="0" collapsed="false">
      <c r="A5288" s="114" t="n">
        <v>6751360.01</v>
      </c>
      <c r="B5288" s="114" t="n">
        <v>6752640</v>
      </c>
      <c r="C5288" s="114" t="n">
        <v>151481.380000014</v>
      </c>
    </row>
    <row r="5289" customFormat="false" ht="15" hidden="false" customHeight="true" outlineLevel="0" collapsed="false">
      <c r="A5289" s="115" t="n">
        <v>6752640.01</v>
      </c>
      <c r="B5289" s="115" t="n">
        <v>6753920</v>
      </c>
      <c r="C5289" s="115" t="n">
        <v>151510.040000014</v>
      </c>
    </row>
    <row r="5290" customFormat="false" ht="15" hidden="false" customHeight="true" outlineLevel="0" collapsed="false">
      <c r="A5290" s="114" t="n">
        <v>6753920.01</v>
      </c>
      <c r="B5290" s="114" t="n">
        <v>6755200</v>
      </c>
      <c r="C5290" s="114" t="n">
        <v>151538.700000014</v>
      </c>
    </row>
    <row r="5291" customFormat="false" ht="15" hidden="false" customHeight="true" outlineLevel="0" collapsed="false">
      <c r="A5291" s="115" t="n">
        <v>6755200.01</v>
      </c>
      <c r="B5291" s="115" t="n">
        <v>6756480</v>
      </c>
      <c r="C5291" s="115" t="n">
        <v>151567.360000014</v>
      </c>
    </row>
    <row r="5292" customFormat="false" ht="15" hidden="false" customHeight="true" outlineLevel="0" collapsed="false">
      <c r="A5292" s="114" t="n">
        <v>6756480.01</v>
      </c>
      <c r="B5292" s="114" t="n">
        <v>6757760</v>
      </c>
      <c r="C5292" s="114" t="n">
        <v>151596.020000014</v>
      </c>
    </row>
    <row r="5293" customFormat="false" ht="15" hidden="false" customHeight="true" outlineLevel="0" collapsed="false">
      <c r="A5293" s="115" t="n">
        <v>6757760.01</v>
      </c>
      <c r="B5293" s="115" t="n">
        <v>6759040</v>
      </c>
      <c r="C5293" s="115" t="n">
        <v>151624.680000014</v>
      </c>
    </row>
    <row r="5294" customFormat="false" ht="15" hidden="false" customHeight="true" outlineLevel="0" collapsed="false">
      <c r="A5294" s="114" t="n">
        <v>6759040.01</v>
      </c>
      <c r="B5294" s="114" t="n">
        <v>6760320</v>
      </c>
      <c r="C5294" s="114" t="n">
        <v>151653.340000014</v>
      </c>
    </row>
    <row r="5295" customFormat="false" ht="15" hidden="false" customHeight="true" outlineLevel="0" collapsed="false">
      <c r="A5295" s="115" t="n">
        <v>6760320.01</v>
      </c>
      <c r="B5295" s="115" t="n">
        <v>6761600</v>
      </c>
      <c r="C5295" s="115" t="n">
        <v>151682.000000014</v>
      </c>
    </row>
    <row r="5296" customFormat="false" ht="15" hidden="false" customHeight="true" outlineLevel="0" collapsed="false">
      <c r="A5296" s="114" t="n">
        <v>6761600.01</v>
      </c>
      <c r="B5296" s="114" t="n">
        <v>6762880</v>
      </c>
      <c r="C5296" s="114" t="n">
        <v>151710.660000014</v>
      </c>
    </row>
    <row r="5297" customFormat="false" ht="15" hidden="false" customHeight="true" outlineLevel="0" collapsed="false">
      <c r="A5297" s="115" t="n">
        <v>6762880.01</v>
      </c>
      <c r="B5297" s="115" t="n">
        <v>6764160</v>
      </c>
      <c r="C5297" s="115" t="n">
        <v>151739.320000014</v>
      </c>
    </row>
    <row r="5298" customFormat="false" ht="15" hidden="false" customHeight="true" outlineLevel="0" collapsed="false">
      <c r="A5298" s="114" t="n">
        <v>6764160.01</v>
      </c>
      <c r="B5298" s="114" t="n">
        <v>6765440</v>
      </c>
      <c r="C5298" s="114" t="n">
        <v>151767.980000014</v>
      </c>
    </row>
    <row r="5299" customFormat="false" ht="15" hidden="false" customHeight="true" outlineLevel="0" collapsed="false">
      <c r="A5299" s="115" t="n">
        <v>6765440.01</v>
      </c>
      <c r="B5299" s="115" t="n">
        <v>6766720</v>
      </c>
      <c r="C5299" s="115" t="n">
        <v>151796.640000014</v>
      </c>
    </row>
    <row r="5300" customFormat="false" ht="15" hidden="false" customHeight="true" outlineLevel="0" collapsed="false">
      <c r="A5300" s="114" t="n">
        <v>6766720.01</v>
      </c>
      <c r="B5300" s="114" t="n">
        <v>6768000</v>
      </c>
      <c r="C5300" s="114" t="n">
        <v>151825.300000014</v>
      </c>
    </row>
    <row r="5301" customFormat="false" ht="15" hidden="false" customHeight="true" outlineLevel="0" collapsed="false">
      <c r="A5301" s="115" t="n">
        <v>6768000.01</v>
      </c>
      <c r="B5301" s="115" t="n">
        <v>6769280</v>
      </c>
      <c r="C5301" s="115" t="n">
        <v>151853.960000014</v>
      </c>
    </row>
    <row r="5302" customFormat="false" ht="15" hidden="false" customHeight="true" outlineLevel="0" collapsed="false">
      <c r="A5302" s="114" t="n">
        <v>6769280.01</v>
      </c>
      <c r="B5302" s="114" t="n">
        <v>6770560</v>
      </c>
      <c r="C5302" s="114" t="n">
        <v>151882.620000014</v>
      </c>
    </row>
    <row r="5303" customFormat="false" ht="15" hidden="false" customHeight="true" outlineLevel="0" collapsed="false">
      <c r="A5303" s="115" t="n">
        <v>6770560.01</v>
      </c>
      <c r="B5303" s="115" t="n">
        <v>6771840</v>
      </c>
      <c r="C5303" s="115" t="n">
        <v>151911.280000014</v>
      </c>
    </row>
    <row r="5304" customFormat="false" ht="15" hidden="false" customHeight="true" outlineLevel="0" collapsed="false">
      <c r="A5304" s="114" t="n">
        <v>6771840.01</v>
      </c>
      <c r="B5304" s="114" t="n">
        <v>6773120</v>
      </c>
      <c r="C5304" s="114" t="n">
        <v>151939.940000014</v>
      </c>
    </row>
    <row r="5305" customFormat="false" ht="15" hidden="false" customHeight="true" outlineLevel="0" collapsed="false">
      <c r="A5305" s="115" t="n">
        <v>6773120.01</v>
      </c>
      <c r="B5305" s="115" t="n">
        <v>6774400</v>
      </c>
      <c r="C5305" s="115" t="n">
        <v>151968.600000014</v>
      </c>
    </row>
    <row r="5306" customFormat="false" ht="15" hidden="false" customHeight="true" outlineLevel="0" collapsed="false">
      <c r="A5306" s="114" t="n">
        <v>6774400.01</v>
      </c>
      <c r="B5306" s="114" t="n">
        <v>6775680</v>
      </c>
      <c r="C5306" s="114" t="n">
        <v>151997.260000014</v>
      </c>
    </row>
    <row r="5307" customFormat="false" ht="15" hidden="false" customHeight="true" outlineLevel="0" collapsed="false">
      <c r="A5307" s="115" t="n">
        <v>6775680.01</v>
      </c>
      <c r="B5307" s="115" t="n">
        <v>6776960</v>
      </c>
      <c r="C5307" s="115" t="n">
        <v>152025.920000014</v>
      </c>
    </row>
    <row r="5308" customFormat="false" ht="15" hidden="false" customHeight="true" outlineLevel="0" collapsed="false">
      <c r="A5308" s="114" t="n">
        <v>6776960.01</v>
      </c>
      <c r="B5308" s="114" t="n">
        <v>6778240</v>
      </c>
      <c r="C5308" s="114" t="n">
        <v>152054.580000014</v>
      </c>
    </row>
    <row r="5309" customFormat="false" ht="15" hidden="false" customHeight="true" outlineLevel="0" collapsed="false">
      <c r="A5309" s="115" t="n">
        <v>6778240.01</v>
      </c>
      <c r="B5309" s="115" t="n">
        <v>6779520</v>
      </c>
      <c r="C5309" s="115" t="n">
        <v>152083.240000014</v>
      </c>
    </row>
    <row r="5310" customFormat="false" ht="15" hidden="false" customHeight="true" outlineLevel="0" collapsed="false">
      <c r="A5310" s="114" t="n">
        <v>6779520.01</v>
      </c>
      <c r="B5310" s="114" t="n">
        <v>6780800</v>
      </c>
      <c r="C5310" s="114" t="n">
        <v>152111.900000014</v>
      </c>
    </row>
    <row r="5311" customFormat="false" ht="15" hidden="false" customHeight="true" outlineLevel="0" collapsed="false">
      <c r="A5311" s="115" t="n">
        <v>6780800.01</v>
      </c>
      <c r="B5311" s="115" t="n">
        <v>6782080</v>
      </c>
      <c r="C5311" s="115" t="n">
        <v>152140.560000014</v>
      </c>
    </row>
    <row r="5312" customFormat="false" ht="15" hidden="false" customHeight="true" outlineLevel="0" collapsed="false">
      <c r="A5312" s="114" t="n">
        <v>6782080.01</v>
      </c>
      <c r="B5312" s="114" t="n">
        <v>6783360</v>
      </c>
      <c r="C5312" s="114" t="n">
        <v>152169.220000014</v>
      </c>
    </row>
    <row r="5313" customFormat="false" ht="15" hidden="false" customHeight="true" outlineLevel="0" collapsed="false">
      <c r="A5313" s="115" t="n">
        <v>6783360.01</v>
      </c>
      <c r="B5313" s="115" t="n">
        <v>6784640</v>
      </c>
      <c r="C5313" s="115" t="n">
        <v>152197.880000014</v>
      </c>
    </row>
    <row r="5314" customFormat="false" ht="15" hidden="false" customHeight="true" outlineLevel="0" collapsed="false">
      <c r="A5314" s="114" t="n">
        <v>6784640.01</v>
      </c>
      <c r="B5314" s="114" t="n">
        <v>6785920</v>
      </c>
      <c r="C5314" s="114" t="n">
        <v>152226.540000014</v>
      </c>
    </row>
    <row r="5315" customFormat="false" ht="15" hidden="false" customHeight="true" outlineLevel="0" collapsed="false">
      <c r="A5315" s="115" t="n">
        <v>6785920.01</v>
      </c>
      <c r="B5315" s="115" t="n">
        <v>6787200</v>
      </c>
      <c r="C5315" s="115" t="n">
        <v>152255.200000014</v>
      </c>
    </row>
    <row r="5316" customFormat="false" ht="15" hidden="false" customHeight="true" outlineLevel="0" collapsed="false">
      <c r="A5316" s="114" t="n">
        <v>6787200.01</v>
      </c>
      <c r="B5316" s="114" t="n">
        <v>6788480</v>
      </c>
      <c r="C5316" s="114" t="n">
        <v>152283.860000014</v>
      </c>
    </row>
    <row r="5317" customFormat="false" ht="15" hidden="false" customHeight="true" outlineLevel="0" collapsed="false">
      <c r="A5317" s="115" t="n">
        <v>6788480.01</v>
      </c>
      <c r="B5317" s="115" t="n">
        <v>6789760</v>
      </c>
      <c r="C5317" s="115" t="n">
        <v>152312.520000014</v>
      </c>
    </row>
    <row r="5318" customFormat="false" ht="15" hidden="false" customHeight="true" outlineLevel="0" collapsed="false">
      <c r="A5318" s="114" t="n">
        <v>6789760.01</v>
      </c>
      <c r="B5318" s="114" t="n">
        <v>6791040</v>
      </c>
      <c r="C5318" s="114" t="n">
        <v>152341.180000014</v>
      </c>
    </row>
    <row r="5319" customFormat="false" ht="15" hidden="false" customHeight="true" outlineLevel="0" collapsed="false">
      <c r="A5319" s="115" t="n">
        <v>6791040.01</v>
      </c>
      <c r="B5319" s="115" t="n">
        <v>6792320</v>
      </c>
      <c r="C5319" s="115" t="n">
        <v>152369.840000014</v>
      </c>
    </row>
    <row r="5320" customFormat="false" ht="15" hidden="false" customHeight="true" outlineLevel="0" collapsed="false">
      <c r="A5320" s="114" t="n">
        <v>6792320.01</v>
      </c>
      <c r="B5320" s="114" t="n">
        <v>6793600</v>
      </c>
      <c r="C5320" s="114" t="n">
        <v>152398.500000014</v>
      </c>
    </row>
    <row r="5321" customFormat="false" ht="15" hidden="false" customHeight="true" outlineLevel="0" collapsed="false">
      <c r="A5321" s="115" t="n">
        <v>6793600.01</v>
      </c>
      <c r="B5321" s="115" t="n">
        <v>6794880</v>
      </c>
      <c r="C5321" s="115" t="n">
        <v>152427.160000014</v>
      </c>
    </row>
    <row r="5322" customFormat="false" ht="15" hidden="false" customHeight="true" outlineLevel="0" collapsed="false">
      <c r="A5322" s="114" t="n">
        <v>6794880.01</v>
      </c>
      <c r="B5322" s="114" t="n">
        <v>6796160</v>
      </c>
      <c r="C5322" s="114" t="n">
        <v>152455.820000014</v>
      </c>
    </row>
    <row r="5323" customFormat="false" ht="15" hidden="false" customHeight="true" outlineLevel="0" collapsed="false">
      <c r="A5323" s="115" t="n">
        <v>6796160.01</v>
      </c>
      <c r="B5323" s="115" t="n">
        <v>6797440</v>
      </c>
      <c r="C5323" s="115" t="n">
        <v>152484.480000014</v>
      </c>
    </row>
    <row r="5324" customFormat="false" ht="15" hidden="false" customHeight="true" outlineLevel="0" collapsed="false">
      <c r="A5324" s="114" t="n">
        <v>6797440.01</v>
      </c>
      <c r="B5324" s="114" t="n">
        <v>6798720</v>
      </c>
      <c r="C5324" s="114" t="n">
        <v>152513.140000014</v>
      </c>
    </row>
    <row r="5325" customFormat="false" ht="15" hidden="false" customHeight="true" outlineLevel="0" collapsed="false">
      <c r="A5325" s="115" t="n">
        <v>6798720.01</v>
      </c>
      <c r="B5325" s="115" t="n">
        <v>6800000</v>
      </c>
      <c r="C5325" s="115" t="n">
        <v>152541.800000014</v>
      </c>
    </row>
    <row r="5326" customFormat="false" ht="15" hidden="false" customHeight="true" outlineLevel="0" collapsed="false">
      <c r="A5326" s="114" t="n">
        <v>6800000.01</v>
      </c>
      <c r="B5326" s="114" t="n">
        <v>6801280</v>
      </c>
      <c r="C5326" s="114" t="n">
        <v>152570.460000014</v>
      </c>
    </row>
    <row r="5327" customFormat="false" ht="15" hidden="false" customHeight="true" outlineLevel="0" collapsed="false">
      <c r="A5327" s="115" t="n">
        <v>6801280.01</v>
      </c>
      <c r="B5327" s="115" t="n">
        <v>6802560</v>
      </c>
      <c r="C5327" s="115" t="n">
        <v>152599.120000014</v>
      </c>
    </row>
    <row r="5328" customFormat="false" ht="15" hidden="false" customHeight="true" outlineLevel="0" collapsed="false">
      <c r="A5328" s="114" t="n">
        <v>6802560.01</v>
      </c>
      <c r="B5328" s="114" t="n">
        <v>6803840</v>
      </c>
      <c r="C5328" s="114" t="n">
        <v>152627.780000014</v>
      </c>
    </row>
    <row r="5329" customFormat="false" ht="15" hidden="false" customHeight="true" outlineLevel="0" collapsed="false">
      <c r="A5329" s="115" t="n">
        <v>6803840.01</v>
      </c>
      <c r="B5329" s="115" t="n">
        <v>6805120</v>
      </c>
      <c r="C5329" s="115" t="n">
        <v>152656.440000014</v>
      </c>
    </row>
    <row r="5330" customFormat="false" ht="15" hidden="false" customHeight="true" outlineLevel="0" collapsed="false">
      <c r="A5330" s="114" t="n">
        <v>6805120.01</v>
      </c>
      <c r="B5330" s="114" t="n">
        <v>6806400</v>
      </c>
      <c r="C5330" s="114" t="n">
        <v>152685.100000014</v>
      </c>
    </row>
    <row r="5331" customFormat="false" ht="15" hidden="false" customHeight="true" outlineLevel="0" collapsed="false">
      <c r="A5331" s="115" t="n">
        <v>6806400.01</v>
      </c>
      <c r="B5331" s="115" t="n">
        <v>6807680</v>
      </c>
      <c r="C5331" s="115" t="n">
        <v>152713.760000014</v>
      </c>
    </row>
    <row r="5332" customFormat="false" ht="15" hidden="false" customHeight="true" outlineLevel="0" collapsed="false">
      <c r="A5332" s="114" t="n">
        <v>6807680.01</v>
      </c>
      <c r="B5332" s="114" t="n">
        <v>6808960</v>
      </c>
      <c r="C5332" s="114" t="n">
        <v>152742.420000014</v>
      </c>
    </row>
    <row r="5333" customFormat="false" ht="15" hidden="false" customHeight="true" outlineLevel="0" collapsed="false">
      <c r="A5333" s="115" t="n">
        <v>6808960.01</v>
      </c>
      <c r="B5333" s="115" t="n">
        <v>6810240</v>
      </c>
      <c r="C5333" s="115" t="n">
        <v>152771.080000015</v>
      </c>
    </row>
    <row r="5334" customFormat="false" ht="15" hidden="false" customHeight="true" outlineLevel="0" collapsed="false">
      <c r="A5334" s="114" t="n">
        <v>6810240.01</v>
      </c>
      <c r="B5334" s="114" t="n">
        <v>6811520</v>
      </c>
      <c r="C5334" s="114" t="n">
        <v>152799.740000015</v>
      </c>
    </row>
    <row r="5335" customFormat="false" ht="15" hidden="false" customHeight="true" outlineLevel="0" collapsed="false">
      <c r="A5335" s="115" t="n">
        <v>6811520.01</v>
      </c>
      <c r="B5335" s="115" t="n">
        <v>6812800</v>
      </c>
      <c r="C5335" s="115" t="n">
        <v>152828.400000015</v>
      </c>
    </row>
    <row r="5336" customFormat="false" ht="15" hidden="false" customHeight="true" outlineLevel="0" collapsed="false">
      <c r="A5336" s="114" t="n">
        <v>6812800.01</v>
      </c>
      <c r="B5336" s="114" t="n">
        <v>6814080</v>
      </c>
      <c r="C5336" s="114" t="n">
        <v>152857.060000015</v>
      </c>
    </row>
    <row r="5337" customFormat="false" ht="15" hidden="false" customHeight="true" outlineLevel="0" collapsed="false">
      <c r="A5337" s="115" t="n">
        <v>6814080.01</v>
      </c>
      <c r="B5337" s="115" t="n">
        <v>6815360</v>
      </c>
      <c r="C5337" s="115" t="n">
        <v>152885.720000015</v>
      </c>
    </row>
    <row r="5338" customFormat="false" ht="15" hidden="false" customHeight="true" outlineLevel="0" collapsed="false">
      <c r="A5338" s="114" t="n">
        <v>6815360.01</v>
      </c>
      <c r="B5338" s="114" t="n">
        <v>6816640</v>
      </c>
      <c r="C5338" s="114" t="n">
        <v>152914.380000015</v>
      </c>
    </row>
    <row r="5339" customFormat="false" ht="15" hidden="false" customHeight="true" outlineLevel="0" collapsed="false">
      <c r="A5339" s="115" t="n">
        <v>6816640.01</v>
      </c>
      <c r="B5339" s="115" t="n">
        <v>6817920</v>
      </c>
      <c r="C5339" s="115" t="n">
        <v>152943.040000015</v>
      </c>
    </row>
    <row r="5340" customFormat="false" ht="15" hidden="false" customHeight="true" outlineLevel="0" collapsed="false">
      <c r="A5340" s="114" t="n">
        <v>6817920.01</v>
      </c>
      <c r="B5340" s="114" t="n">
        <v>6819200</v>
      </c>
      <c r="C5340" s="114" t="n">
        <v>152971.700000015</v>
      </c>
    </row>
    <row r="5341" customFormat="false" ht="15" hidden="false" customHeight="true" outlineLevel="0" collapsed="false">
      <c r="A5341" s="115" t="n">
        <v>6819200.01</v>
      </c>
      <c r="B5341" s="115" t="n">
        <v>6820480</v>
      </c>
      <c r="C5341" s="115" t="n">
        <v>153000.360000015</v>
      </c>
    </row>
    <row r="5342" customFormat="false" ht="15" hidden="false" customHeight="true" outlineLevel="0" collapsed="false">
      <c r="A5342" s="114" t="n">
        <v>6820480.01</v>
      </c>
      <c r="B5342" s="114" t="n">
        <v>6821760</v>
      </c>
      <c r="C5342" s="114" t="n">
        <v>153029.020000015</v>
      </c>
    </row>
    <row r="5343" customFormat="false" ht="15" hidden="false" customHeight="true" outlineLevel="0" collapsed="false">
      <c r="A5343" s="115" t="n">
        <v>6821760.01</v>
      </c>
      <c r="B5343" s="115" t="n">
        <v>6823040</v>
      </c>
      <c r="C5343" s="115" t="n">
        <v>153057.680000015</v>
      </c>
    </row>
    <row r="5344" customFormat="false" ht="15" hidden="false" customHeight="true" outlineLevel="0" collapsed="false">
      <c r="A5344" s="114" t="n">
        <v>6823040.01</v>
      </c>
      <c r="B5344" s="114" t="n">
        <v>6824320</v>
      </c>
      <c r="C5344" s="114" t="n">
        <v>153086.340000015</v>
      </c>
    </row>
    <row r="5345" customFormat="false" ht="15" hidden="false" customHeight="true" outlineLevel="0" collapsed="false">
      <c r="A5345" s="115" t="n">
        <v>6824320.01</v>
      </c>
      <c r="B5345" s="115" t="n">
        <v>6825600</v>
      </c>
      <c r="C5345" s="115" t="n">
        <v>153115.000000015</v>
      </c>
    </row>
    <row r="5346" customFormat="false" ht="15" hidden="false" customHeight="true" outlineLevel="0" collapsed="false">
      <c r="A5346" s="114" t="n">
        <v>6825600.01</v>
      </c>
      <c r="B5346" s="114" t="n">
        <v>6826880</v>
      </c>
      <c r="C5346" s="114" t="n">
        <v>153143.660000015</v>
      </c>
    </row>
    <row r="5347" customFormat="false" ht="15" hidden="false" customHeight="true" outlineLevel="0" collapsed="false">
      <c r="A5347" s="115" t="n">
        <v>6826880.01</v>
      </c>
      <c r="B5347" s="115" t="n">
        <v>6828160</v>
      </c>
      <c r="C5347" s="115" t="n">
        <v>153172.320000015</v>
      </c>
    </row>
    <row r="5348" customFormat="false" ht="15" hidden="false" customHeight="true" outlineLevel="0" collapsed="false">
      <c r="A5348" s="114" t="n">
        <v>6828160.01</v>
      </c>
      <c r="B5348" s="114" t="n">
        <v>6829440</v>
      </c>
      <c r="C5348" s="114" t="n">
        <v>153200.980000015</v>
      </c>
    </row>
    <row r="5349" customFormat="false" ht="15" hidden="false" customHeight="true" outlineLevel="0" collapsed="false">
      <c r="A5349" s="115" t="n">
        <v>6829440.01</v>
      </c>
      <c r="B5349" s="115" t="n">
        <v>6830720</v>
      </c>
      <c r="C5349" s="115" t="n">
        <v>153229.640000015</v>
      </c>
    </row>
    <row r="5350" customFormat="false" ht="15" hidden="false" customHeight="true" outlineLevel="0" collapsed="false">
      <c r="A5350" s="114" t="n">
        <v>6830720.01</v>
      </c>
      <c r="B5350" s="114" t="n">
        <v>6832000</v>
      </c>
      <c r="C5350" s="114" t="n">
        <v>153258.300000015</v>
      </c>
    </row>
    <row r="5351" customFormat="false" ht="15" hidden="false" customHeight="true" outlineLevel="0" collapsed="false">
      <c r="A5351" s="115" t="n">
        <v>6832000.01</v>
      </c>
      <c r="B5351" s="115" t="n">
        <v>6833280</v>
      </c>
      <c r="C5351" s="115" t="n">
        <v>153286.960000015</v>
      </c>
    </row>
    <row r="5352" customFormat="false" ht="15" hidden="false" customHeight="true" outlineLevel="0" collapsed="false">
      <c r="A5352" s="114" t="n">
        <v>6833280.01</v>
      </c>
      <c r="B5352" s="114" t="n">
        <v>6834560</v>
      </c>
      <c r="C5352" s="114" t="n">
        <v>153315.620000015</v>
      </c>
    </row>
    <row r="5353" customFormat="false" ht="15" hidden="false" customHeight="true" outlineLevel="0" collapsed="false">
      <c r="A5353" s="115" t="n">
        <v>6834560.01</v>
      </c>
      <c r="B5353" s="115" t="n">
        <v>6835840</v>
      </c>
      <c r="C5353" s="115" t="n">
        <v>153344.280000015</v>
      </c>
    </row>
    <row r="5354" customFormat="false" ht="15" hidden="false" customHeight="true" outlineLevel="0" collapsed="false">
      <c r="A5354" s="114" t="n">
        <v>6835840.01</v>
      </c>
      <c r="B5354" s="114" t="n">
        <v>6837120</v>
      </c>
      <c r="C5354" s="114" t="n">
        <v>153372.940000015</v>
      </c>
    </row>
    <row r="5355" customFormat="false" ht="15" hidden="false" customHeight="true" outlineLevel="0" collapsed="false">
      <c r="A5355" s="115" t="n">
        <v>6837120.01</v>
      </c>
      <c r="B5355" s="115" t="n">
        <v>6838400</v>
      </c>
      <c r="C5355" s="115" t="n">
        <v>153401.600000015</v>
      </c>
    </row>
    <row r="5356" customFormat="false" ht="15" hidden="false" customHeight="true" outlineLevel="0" collapsed="false">
      <c r="A5356" s="114" t="n">
        <v>6838400.01</v>
      </c>
      <c r="B5356" s="114" t="n">
        <v>6839680</v>
      </c>
      <c r="C5356" s="114" t="n">
        <v>153430.260000015</v>
      </c>
    </row>
    <row r="5357" customFormat="false" ht="15" hidden="false" customHeight="true" outlineLevel="0" collapsed="false">
      <c r="A5357" s="115" t="n">
        <v>6839680.01</v>
      </c>
      <c r="B5357" s="115" t="n">
        <v>6840960</v>
      </c>
      <c r="C5357" s="115" t="n">
        <v>153458.920000015</v>
      </c>
    </row>
    <row r="5358" customFormat="false" ht="15" hidden="false" customHeight="true" outlineLevel="0" collapsed="false">
      <c r="A5358" s="114" t="n">
        <v>6840960.01</v>
      </c>
      <c r="B5358" s="114" t="n">
        <v>6842240</v>
      </c>
      <c r="C5358" s="114" t="n">
        <v>153487.580000015</v>
      </c>
    </row>
    <row r="5359" customFormat="false" ht="15" hidden="false" customHeight="true" outlineLevel="0" collapsed="false">
      <c r="A5359" s="115" t="n">
        <v>6842240.01</v>
      </c>
      <c r="B5359" s="115" t="n">
        <v>6843520</v>
      </c>
      <c r="C5359" s="115" t="n">
        <v>153516.240000015</v>
      </c>
    </row>
    <row r="5360" customFormat="false" ht="15" hidden="false" customHeight="true" outlineLevel="0" collapsed="false">
      <c r="A5360" s="114" t="n">
        <v>6843520.01</v>
      </c>
      <c r="B5360" s="114" t="n">
        <v>6844800</v>
      </c>
      <c r="C5360" s="114" t="n">
        <v>153544.900000015</v>
      </c>
    </row>
    <row r="5361" customFormat="false" ht="15" hidden="false" customHeight="true" outlineLevel="0" collapsed="false">
      <c r="A5361" s="115" t="n">
        <v>6844800.01</v>
      </c>
      <c r="B5361" s="115" t="n">
        <v>6846080</v>
      </c>
      <c r="C5361" s="115" t="n">
        <v>153573.560000015</v>
      </c>
    </row>
    <row r="5362" customFormat="false" ht="15" hidden="false" customHeight="true" outlineLevel="0" collapsed="false">
      <c r="A5362" s="114" t="n">
        <v>6846080.01</v>
      </c>
      <c r="B5362" s="114" t="n">
        <v>6847360</v>
      </c>
      <c r="C5362" s="114" t="n">
        <v>153602.220000015</v>
      </c>
    </row>
    <row r="5363" customFormat="false" ht="15" hidden="false" customHeight="true" outlineLevel="0" collapsed="false">
      <c r="A5363" s="115" t="n">
        <v>6847360.01</v>
      </c>
      <c r="B5363" s="115" t="n">
        <v>6848640</v>
      </c>
      <c r="C5363" s="115" t="n">
        <v>153630.880000015</v>
      </c>
    </row>
    <row r="5364" customFormat="false" ht="15" hidden="false" customHeight="true" outlineLevel="0" collapsed="false">
      <c r="A5364" s="114" t="n">
        <v>6848640.01</v>
      </c>
      <c r="B5364" s="114" t="n">
        <v>6849920</v>
      </c>
      <c r="C5364" s="114" t="n">
        <v>153659.540000015</v>
      </c>
    </row>
    <row r="5365" customFormat="false" ht="15" hidden="false" customHeight="true" outlineLevel="0" collapsed="false">
      <c r="A5365" s="115" t="n">
        <v>6849920.01</v>
      </c>
      <c r="B5365" s="115" t="n">
        <v>6851200</v>
      </c>
      <c r="C5365" s="115" t="n">
        <v>153688.200000015</v>
      </c>
    </row>
    <row r="5366" customFormat="false" ht="15" hidden="false" customHeight="true" outlineLevel="0" collapsed="false">
      <c r="A5366" s="114" t="n">
        <v>6851200.01</v>
      </c>
      <c r="B5366" s="114" t="n">
        <v>6852480</v>
      </c>
      <c r="C5366" s="114" t="n">
        <v>153716.860000015</v>
      </c>
    </row>
    <row r="5367" customFormat="false" ht="15" hidden="false" customHeight="true" outlineLevel="0" collapsed="false">
      <c r="A5367" s="115" t="n">
        <v>6852480.01</v>
      </c>
      <c r="B5367" s="115" t="n">
        <v>6853760</v>
      </c>
      <c r="C5367" s="115" t="n">
        <v>153745.520000015</v>
      </c>
    </row>
    <row r="5368" customFormat="false" ht="15" hidden="false" customHeight="true" outlineLevel="0" collapsed="false">
      <c r="A5368" s="114" t="n">
        <v>6853760.01</v>
      </c>
      <c r="B5368" s="114" t="n">
        <v>6855040</v>
      </c>
      <c r="C5368" s="114" t="n">
        <v>153774.180000015</v>
      </c>
    </row>
    <row r="5369" customFormat="false" ht="15" hidden="false" customHeight="true" outlineLevel="0" collapsed="false">
      <c r="A5369" s="115" t="n">
        <v>6855040.01</v>
      </c>
      <c r="B5369" s="115" t="n">
        <v>6856320</v>
      </c>
      <c r="C5369" s="115" t="n">
        <v>153802.840000015</v>
      </c>
    </row>
    <row r="5370" customFormat="false" ht="15" hidden="false" customHeight="true" outlineLevel="0" collapsed="false">
      <c r="A5370" s="114" t="n">
        <v>6856320.01</v>
      </c>
      <c r="B5370" s="114" t="n">
        <v>6857600</v>
      </c>
      <c r="C5370" s="114" t="n">
        <v>153831.500000015</v>
      </c>
    </row>
    <row r="5371" customFormat="false" ht="15" hidden="false" customHeight="true" outlineLevel="0" collapsed="false">
      <c r="A5371" s="115" t="n">
        <v>6857600.01</v>
      </c>
      <c r="B5371" s="115" t="n">
        <v>6858880</v>
      </c>
      <c r="C5371" s="115" t="n">
        <v>153860.160000015</v>
      </c>
    </row>
    <row r="5372" customFormat="false" ht="15" hidden="false" customHeight="true" outlineLevel="0" collapsed="false">
      <c r="A5372" s="114" t="n">
        <v>6858880.01</v>
      </c>
      <c r="B5372" s="114" t="n">
        <v>6860160</v>
      </c>
      <c r="C5372" s="114" t="n">
        <v>153888.820000015</v>
      </c>
    </row>
    <row r="5373" customFormat="false" ht="15" hidden="false" customHeight="true" outlineLevel="0" collapsed="false">
      <c r="A5373" s="115" t="n">
        <v>6860160.01</v>
      </c>
      <c r="B5373" s="115" t="n">
        <v>6861440</v>
      </c>
      <c r="C5373" s="115" t="n">
        <v>153917.480000015</v>
      </c>
    </row>
    <row r="5374" customFormat="false" ht="15" hidden="false" customHeight="true" outlineLevel="0" collapsed="false">
      <c r="A5374" s="114" t="n">
        <v>6861440.01</v>
      </c>
      <c r="B5374" s="114" t="n">
        <v>6862720</v>
      </c>
      <c r="C5374" s="114" t="n">
        <v>153946.140000015</v>
      </c>
    </row>
    <row r="5375" customFormat="false" ht="15" hidden="false" customHeight="true" outlineLevel="0" collapsed="false">
      <c r="A5375" s="115" t="n">
        <v>6862720.01</v>
      </c>
      <c r="B5375" s="115" t="n">
        <v>6864000</v>
      </c>
      <c r="C5375" s="115" t="n">
        <v>153974.800000015</v>
      </c>
    </row>
    <row r="5376" customFormat="false" ht="15" hidden="false" customHeight="true" outlineLevel="0" collapsed="false">
      <c r="A5376" s="114" t="n">
        <v>6864000.01</v>
      </c>
      <c r="B5376" s="114" t="n">
        <v>6865280</v>
      </c>
      <c r="C5376" s="114" t="n">
        <v>154003.460000015</v>
      </c>
    </row>
    <row r="5377" customFormat="false" ht="15" hidden="false" customHeight="true" outlineLevel="0" collapsed="false">
      <c r="A5377" s="115" t="n">
        <v>6865280.01</v>
      </c>
      <c r="B5377" s="115" t="n">
        <v>6866560</v>
      </c>
      <c r="C5377" s="115" t="n">
        <v>154032.120000015</v>
      </c>
    </row>
    <row r="5378" customFormat="false" ht="15" hidden="false" customHeight="true" outlineLevel="0" collapsed="false">
      <c r="A5378" s="114" t="n">
        <v>6866560.01</v>
      </c>
      <c r="B5378" s="114" t="n">
        <v>6867840</v>
      </c>
      <c r="C5378" s="114" t="n">
        <v>154060.780000015</v>
      </c>
    </row>
    <row r="5379" customFormat="false" ht="15" hidden="false" customHeight="true" outlineLevel="0" collapsed="false">
      <c r="A5379" s="115" t="n">
        <v>6867840.01</v>
      </c>
      <c r="B5379" s="115" t="n">
        <v>6869120</v>
      </c>
      <c r="C5379" s="115" t="n">
        <v>154089.440000015</v>
      </c>
    </row>
    <row r="5380" customFormat="false" ht="15" hidden="false" customHeight="true" outlineLevel="0" collapsed="false">
      <c r="A5380" s="114" t="n">
        <v>6869120.01</v>
      </c>
      <c r="B5380" s="114" t="n">
        <v>6870400</v>
      </c>
      <c r="C5380" s="114" t="n">
        <v>154118.100000015</v>
      </c>
    </row>
    <row r="5381" customFormat="false" ht="15" hidden="false" customHeight="true" outlineLevel="0" collapsed="false">
      <c r="A5381" s="115" t="n">
        <v>6870400.01</v>
      </c>
      <c r="B5381" s="115" t="n">
        <v>6871680</v>
      </c>
      <c r="C5381" s="115" t="n">
        <v>154146.760000015</v>
      </c>
    </row>
    <row r="5382" customFormat="false" ht="15" hidden="false" customHeight="true" outlineLevel="0" collapsed="false">
      <c r="A5382" s="114" t="n">
        <v>6871680.01</v>
      </c>
      <c r="B5382" s="114" t="n">
        <v>6872960</v>
      </c>
      <c r="C5382" s="114" t="n">
        <v>154175.420000015</v>
      </c>
    </row>
    <row r="5383" customFormat="false" ht="15" hidden="false" customHeight="true" outlineLevel="0" collapsed="false">
      <c r="A5383" s="115" t="n">
        <v>6872960.01</v>
      </c>
      <c r="B5383" s="115" t="n">
        <v>6874240</v>
      </c>
      <c r="C5383" s="115" t="n">
        <v>154204.080000015</v>
      </c>
    </row>
    <row r="5384" customFormat="false" ht="15" hidden="false" customHeight="true" outlineLevel="0" collapsed="false">
      <c r="A5384" s="114" t="n">
        <v>6874240.01</v>
      </c>
      <c r="B5384" s="114" t="n">
        <v>6875520</v>
      </c>
      <c r="C5384" s="114" t="n">
        <v>154232.740000015</v>
      </c>
    </row>
    <row r="5385" customFormat="false" ht="15" hidden="false" customHeight="true" outlineLevel="0" collapsed="false">
      <c r="A5385" s="115" t="n">
        <v>6875520.01</v>
      </c>
      <c r="B5385" s="115" t="n">
        <v>6876800</v>
      </c>
      <c r="C5385" s="115" t="n">
        <v>154261.400000015</v>
      </c>
    </row>
    <row r="5386" customFormat="false" ht="15" hidden="false" customHeight="true" outlineLevel="0" collapsed="false">
      <c r="A5386" s="114" t="n">
        <v>6876800.01</v>
      </c>
      <c r="B5386" s="114" t="n">
        <v>6878080</v>
      </c>
      <c r="C5386" s="114" t="n">
        <v>154290.060000015</v>
      </c>
    </row>
    <row r="5387" customFormat="false" ht="15" hidden="false" customHeight="true" outlineLevel="0" collapsed="false">
      <c r="A5387" s="115" t="n">
        <v>6878080.01</v>
      </c>
      <c r="B5387" s="115" t="n">
        <v>6879360</v>
      </c>
      <c r="C5387" s="115" t="n">
        <v>154318.720000015</v>
      </c>
    </row>
    <row r="5388" customFormat="false" ht="15" hidden="false" customHeight="true" outlineLevel="0" collapsed="false">
      <c r="A5388" s="114" t="n">
        <v>6879360.01</v>
      </c>
      <c r="B5388" s="114" t="n">
        <v>6880640</v>
      </c>
      <c r="C5388" s="114" t="n">
        <v>154347.380000015</v>
      </c>
    </row>
    <row r="5389" customFormat="false" ht="15" hidden="false" customHeight="true" outlineLevel="0" collapsed="false">
      <c r="A5389" s="115" t="n">
        <v>6880640.01</v>
      </c>
      <c r="B5389" s="115" t="n">
        <v>6881920</v>
      </c>
      <c r="C5389" s="115" t="n">
        <v>154376.040000015</v>
      </c>
    </row>
    <row r="5390" customFormat="false" ht="15" hidden="false" customHeight="true" outlineLevel="0" collapsed="false">
      <c r="A5390" s="114" t="n">
        <v>6881920.01</v>
      </c>
      <c r="B5390" s="114" t="n">
        <v>6883200</v>
      </c>
      <c r="C5390" s="114" t="n">
        <v>154404.700000015</v>
      </c>
    </row>
    <row r="5391" customFormat="false" ht="15" hidden="false" customHeight="true" outlineLevel="0" collapsed="false">
      <c r="A5391" s="115" t="n">
        <v>6883200.01</v>
      </c>
      <c r="B5391" s="115" t="n">
        <v>6884480</v>
      </c>
      <c r="C5391" s="115" t="n">
        <v>154433.360000015</v>
      </c>
    </row>
    <row r="5392" customFormat="false" ht="15" hidden="false" customHeight="true" outlineLevel="0" collapsed="false">
      <c r="A5392" s="114" t="n">
        <v>6884480.01</v>
      </c>
      <c r="B5392" s="114" t="n">
        <v>6885760</v>
      </c>
      <c r="C5392" s="114" t="n">
        <v>154462.020000015</v>
      </c>
    </row>
    <row r="5393" customFormat="false" ht="15" hidden="false" customHeight="true" outlineLevel="0" collapsed="false">
      <c r="A5393" s="115" t="n">
        <v>6885760.01</v>
      </c>
      <c r="B5393" s="115" t="n">
        <v>6887040</v>
      </c>
      <c r="C5393" s="115" t="n">
        <v>154490.680000015</v>
      </c>
    </row>
    <row r="5394" customFormat="false" ht="15" hidden="false" customHeight="true" outlineLevel="0" collapsed="false">
      <c r="A5394" s="114" t="n">
        <v>6887040.01</v>
      </c>
      <c r="B5394" s="114" t="n">
        <v>6888320</v>
      </c>
      <c r="C5394" s="114" t="n">
        <v>154519.340000015</v>
      </c>
    </row>
    <row r="5395" customFormat="false" ht="15" hidden="false" customHeight="true" outlineLevel="0" collapsed="false">
      <c r="A5395" s="115" t="n">
        <v>6888320.01</v>
      </c>
      <c r="B5395" s="115" t="n">
        <v>6889600</v>
      </c>
      <c r="C5395" s="115" t="n">
        <v>154548.000000015</v>
      </c>
    </row>
    <row r="5396" customFormat="false" ht="15" hidden="false" customHeight="true" outlineLevel="0" collapsed="false">
      <c r="A5396" s="114" t="n">
        <v>6889600.01</v>
      </c>
      <c r="B5396" s="114" t="n">
        <v>6890880</v>
      </c>
      <c r="C5396" s="114" t="n">
        <v>154576.660000015</v>
      </c>
    </row>
    <row r="5397" customFormat="false" ht="15" hidden="false" customHeight="true" outlineLevel="0" collapsed="false">
      <c r="A5397" s="115" t="n">
        <v>6890880.01</v>
      </c>
      <c r="B5397" s="115" t="n">
        <v>6892160</v>
      </c>
      <c r="C5397" s="115" t="n">
        <v>154605.320000015</v>
      </c>
    </row>
    <row r="5398" customFormat="false" ht="15" hidden="false" customHeight="true" outlineLevel="0" collapsed="false">
      <c r="A5398" s="114" t="n">
        <v>6892160.01</v>
      </c>
      <c r="B5398" s="114" t="n">
        <v>6893440</v>
      </c>
      <c r="C5398" s="114" t="n">
        <v>154633.980000015</v>
      </c>
    </row>
    <row r="5399" customFormat="false" ht="15" hidden="false" customHeight="true" outlineLevel="0" collapsed="false">
      <c r="A5399" s="115" t="n">
        <v>6893440.01</v>
      </c>
      <c r="B5399" s="115" t="n">
        <v>6894720</v>
      </c>
      <c r="C5399" s="115" t="n">
        <v>154662.640000015</v>
      </c>
    </row>
    <row r="5400" customFormat="false" ht="15" hidden="false" customHeight="true" outlineLevel="0" collapsed="false">
      <c r="A5400" s="114" t="n">
        <v>6894720.01</v>
      </c>
      <c r="B5400" s="114" t="n">
        <v>6896000</v>
      </c>
      <c r="C5400" s="114" t="n">
        <v>154691.300000015</v>
      </c>
    </row>
    <row r="5401" customFormat="false" ht="15" hidden="false" customHeight="true" outlineLevel="0" collapsed="false">
      <c r="A5401" s="115" t="n">
        <v>6896000.01</v>
      </c>
      <c r="B5401" s="115" t="n">
        <v>6897280</v>
      </c>
      <c r="C5401" s="115" t="n">
        <v>154719.960000015</v>
      </c>
    </row>
    <row r="5402" customFormat="false" ht="15" hidden="false" customHeight="true" outlineLevel="0" collapsed="false">
      <c r="A5402" s="114" t="n">
        <v>6897280.01</v>
      </c>
      <c r="B5402" s="114" t="n">
        <v>6898560</v>
      </c>
      <c r="C5402" s="114" t="n">
        <v>154748.620000015</v>
      </c>
    </row>
    <row r="5403" customFormat="false" ht="15" hidden="false" customHeight="true" outlineLevel="0" collapsed="false">
      <c r="A5403" s="115" t="n">
        <v>6898560.01</v>
      </c>
      <c r="B5403" s="115" t="n">
        <v>6899840</v>
      </c>
      <c r="C5403" s="115" t="n">
        <v>154777.280000015</v>
      </c>
    </row>
    <row r="5404" customFormat="false" ht="15" hidden="false" customHeight="true" outlineLevel="0" collapsed="false">
      <c r="A5404" s="114" t="n">
        <v>6899840.01</v>
      </c>
      <c r="B5404" s="114" t="n">
        <v>6901120</v>
      </c>
      <c r="C5404" s="114" t="n">
        <v>154805.940000015</v>
      </c>
    </row>
    <row r="5405" customFormat="false" ht="15" hidden="false" customHeight="true" outlineLevel="0" collapsed="false">
      <c r="A5405" s="115" t="n">
        <v>6901120.01</v>
      </c>
      <c r="B5405" s="115" t="n">
        <v>6902400</v>
      </c>
      <c r="C5405" s="115" t="n">
        <v>154834.600000015</v>
      </c>
    </row>
    <row r="5406" customFormat="false" ht="15" hidden="false" customHeight="true" outlineLevel="0" collapsed="false">
      <c r="A5406" s="114" t="n">
        <v>6902400.01</v>
      </c>
      <c r="B5406" s="114" t="n">
        <v>6903680</v>
      </c>
      <c r="C5406" s="114" t="n">
        <v>154863.260000015</v>
      </c>
    </row>
    <row r="5407" customFormat="false" ht="15" hidden="false" customHeight="true" outlineLevel="0" collapsed="false">
      <c r="A5407" s="115" t="n">
        <v>6903680.01</v>
      </c>
      <c r="B5407" s="115" t="n">
        <v>6904960</v>
      </c>
      <c r="C5407" s="115" t="n">
        <v>154891.920000015</v>
      </c>
    </row>
    <row r="5408" customFormat="false" ht="15" hidden="false" customHeight="true" outlineLevel="0" collapsed="false">
      <c r="A5408" s="114" t="n">
        <v>6904960.01</v>
      </c>
      <c r="B5408" s="114" t="n">
        <v>6906240</v>
      </c>
      <c r="C5408" s="114" t="n">
        <v>154920.580000015</v>
      </c>
    </row>
    <row r="5409" customFormat="false" ht="15" hidden="false" customHeight="true" outlineLevel="0" collapsed="false">
      <c r="A5409" s="115" t="n">
        <v>6906240.01</v>
      </c>
      <c r="B5409" s="115" t="n">
        <v>6907520</v>
      </c>
      <c r="C5409" s="115" t="n">
        <v>154949.240000015</v>
      </c>
    </row>
    <row r="5410" customFormat="false" ht="15" hidden="false" customHeight="true" outlineLevel="0" collapsed="false">
      <c r="A5410" s="114" t="n">
        <v>6907520.01</v>
      </c>
      <c r="B5410" s="114" t="n">
        <v>6908800</v>
      </c>
      <c r="C5410" s="114" t="n">
        <v>154977.900000015</v>
      </c>
    </row>
    <row r="5411" customFormat="false" ht="15" hidden="false" customHeight="true" outlineLevel="0" collapsed="false">
      <c r="A5411" s="115" t="n">
        <v>6908800.01</v>
      </c>
      <c r="B5411" s="115" t="n">
        <v>6910080</v>
      </c>
      <c r="C5411" s="115" t="n">
        <v>155006.560000015</v>
      </c>
    </row>
    <row r="5412" customFormat="false" ht="15" hidden="false" customHeight="true" outlineLevel="0" collapsed="false">
      <c r="A5412" s="114" t="n">
        <v>6910080.01</v>
      </c>
      <c r="B5412" s="114" t="n">
        <v>6911360</v>
      </c>
      <c r="C5412" s="114" t="n">
        <v>155035.220000015</v>
      </c>
    </row>
    <row r="5413" customFormat="false" ht="15" hidden="false" customHeight="true" outlineLevel="0" collapsed="false">
      <c r="A5413" s="115" t="n">
        <v>6911360.01</v>
      </c>
      <c r="B5413" s="115" t="n">
        <v>6912640</v>
      </c>
      <c r="C5413" s="115" t="n">
        <v>155063.880000015</v>
      </c>
    </row>
    <row r="5414" customFormat="false" ht="15" hidden="false" customHeight="true" outlineLevel="0" collapsed="false">
      <c r="A5414" s="114" t="n">
        <v>6912640.01</v>
      </c>
      <c r="B5414" s="114" t="n">
        <v>6913920</v>
      </c>
      <c r="C5414" s="114" t="n">
        <v>155092.540000015</v>
      </c>
    </row>
    <row r="5415" customFormat="false" ht="15" hidden="false" customHeight="true" outlineLevel="0" collapsed="false">
      <c r="A5415" s="115" t="n">
        <v>6913920.01</v>
      </c>
      <c r="B5415" s="115" t="n">
        <v>6915200</v>
      </c>
      <c r="C5415" s="115" t="n">
        <v>155121.200000015</v>
      </c>
    </row>
    <row r="5416" customFormat="false" ht="15" hidden="false" customHeight="true" outlineLevel="0" collapsed="false">
      <c r="A5416" s="114" t="n">
        <v>6915200.01</v>
      </c>
      <c r="B5416" s="114" t="n">
        <v>6916480</v>
      </c>
      <c r="C5416" s="114" t="n">
        <v>155149.860000015</v>
      </c>
    </row>
    <row r="5417" customFormat="false" ht="15" hidden="false" customHeight="true" outlineLevel="0" collapsed="false">
      <c r="A5417" s="115" t="n">
        <v>6916480.01</v>
      </c>
      <c r="B5417" s="115" t="n">
        <v>6917760</v>
      </c>
      <c r="C5417" s="115" t="n">
        <v>155178.520000015</v>
      </c>
    </row>
    <row r="5418" customFormat="false" ht="15" hidden="false" customHeight="true" outlineLevel="0" collapsed="false">
      <c r="A5418" s="114" t="n">
        <v>6917760.01</v>
      </c>
      <c r="B5418" s="114" t="n">
        <v>6919040</v>
      </c>
      <c r="C5418" s="114" t="n">
        <v>155207.180000015</v>
      </c>
    </row>
    <row r="5419" customFormat="false" ht="15" hidden="false" customHeight="true" outlineLevel="0" collapsed="false">
      <c r="A5419" s="115" t="n">
        <v>6919040.01</v>
      </c>
      <c r="B5419" s="115" t="n">
        <v>6920320</v>
      </c>
      <c r="C5419" s="115" t="n">
        <v>155235.840000015</v>
      </c>
    </row>
    <row r="5420" customFormat="false" ht="15" hidden="false" customHeight="true" outlineLevel="0" collapsed="false">
      <c r="A5420" s="114" t="n">
        <v>6920320.01</v>
      </c>
      <c r="B5420" s="114" t="n">
        <v>6921600</v>
      </c>
      <c r="C5420" s="114" t="n">
        <v>155264.500000015</v>
      </c>
    </row>
    <row r="5421" customFormat="false" ht="15" hidden="false" customHeight="true" outlineLevel="0" collapsed="false">
      <c r="A5421" s="115" t="n">
        <v>6921600.01</v>
      </c>
      <c r="B5421" s="115" t="n">
        <v>6922880</v>
      </c>
      <c r="C5421" s="115" t="n">
        <v>155293.160000015</v>
      </c>
    </row>
    <row r="5422" customFormat="false" ht="15" hidden="false" customHeight="true" outlineLevel="0" collapsed="false">
      <c r="A5422" s="114" t="n">
        <v>6922880.01</v>
      </c>
      <c r="B5422" s="114" t="n">
        <v>6924160</v>
      </c>
      <c r="C5422" s="114" t="n">
        <v>155321.820000015</v>
      </c>
    </row>
    <row r="5423" customFormat="false" ht="15" hidden="false" customHeight="true" outlineLevel="0" collapsed="false">
      <c r="A5423" s="115" t="n">
        <v>6924160.01</v>
      </c>
      <c r="B5423" s="115" t="n">
        <v>6925440</v>
      </c>
      <c r="C5423" s="115" t="n">
        <v>155350.480000015</v>
      </c>
    </row>
    <row r="5424" customFormat="false" ht="15" hidden="false" customHeight="true" outlineLevel="0" collapsed="false">
      <c r="A5424" s="114" t="n">
        <v>6925440.01</v>
      </c>
      <c r="B5424" s="114" t="n">
        <v>6926720</v>
      </c>
      <c r="C5424" s="114" t="n">
        <v>155379.140000015</v>
      </c>
    </row>
    <row r="5425" customFormat="false" ht="15" hidden="false" customHeight="true" outlineLevel="0" collapsed="false">
      <c r="A5425" s="115" t="n">
        <v>6926720.01</v>
      </c>
      <c r="B5425" s="115" t="n">
        <v>6928000</v>
      </c>
      <c r="C5425" s="115" t="n">
        <v>155407.800000015</v>
      </c>
    </row>
    <row r="5426" customFormat="false" ht="15" hidden="false" customHeight="true" outlineLevel="0" collapsed="false">
      <c r="A5426" s="114" t="n">
        <v>6928000.01</v>
      </c>
      <c r="B5426" s="114" t="n">
        <v>6929280</v>
      </c>
      <c r="C5426" s="114" t="n">
        <v>155436.460000015</v>
      </c>
    </row>
    <row r="5427" customFormat="false" ht="15" hidden="false" customHeight="true" outlineLevel="0" collapsed="false">
      <c r="A5427" s="115" t="n">
        <v>6929280.01</v>
      </c>
      <c r="B5427" s="115" t="n">
        <v>6930560</v>
      </c>
      <c r="C5427" s="115" t="n">
        <v>155465.120000015</v>
      </c>
    </row>
    <row r="5428" customFormat="false" ht="15" hidden="false" customHeight="true" outlineLevel="0" collapsed="false">
      <c r="A5428" s="114" t="n">
        <v>6930560.01</v>
      </c>
      <c r="B5428" s="114" t="n">
        <v>6931840</v>
      </c>
      <c r="C5428" s="114" t="n">
        <v>155493.780000015</v>
      </c>
    </row>
    <row r="5429" customFormat="false" ht="15" hidden="false" customHeight="true" outlineLevel="0" collapsed="false">
      <c r="A5429" s="115" t="n">
        <v>6931840.01</v>
      </c>
      <c r="B5429" s="115" t="n">
        <v>6933120</v>
      </c>
      <c r="C5429" s="115" t="n">
        <v>155522.440000015</v>
      </c>
    </row>
    <row r="5430" customFormat="false" ht="15" hidden="false" customHeight="true" outlineLevel="0" collapsed="false">
      <c r="A5430" s="114" t="n">
        <v>6933120.01</v>
      </c>
      <c r="B5430" s="114" t="n">
        <v>6934400</v>
      </c>
      <c r="C5430" s="114" t="n">
        <v>155551.100000015</v>
      </c>
    </row>
    <row r="5431" customFormat="false" ht="15" hidden="false" customHeight="true" outlineLevel="0" collapsed="false">
      <c r="A5431" s="115" t="n">
        <v>6934400.01</v>
      </c>
      <c r="B5431" s="115" t="n">
        <v>6935680</v>
      </c>
      <c r="C5431" s="115" t="n">
        <v>155579.760000015</v>
      </c>
    </row>
    <row r="5432" customFormat="false" ht="15" hidden="false" customHeight="true" outlineLevel="0" collapsed="false">
      <c r="A5432" s="114" t="n">
        <v>6935680.01</v>
      </c>
      <c r="B5432" s="114" t="n">
        <v>6936960</v>
      </c>
      <c r="C5432" s="114" t="n">
        <v>155608.420000015</v>
      </c>
    </row>
    <row r="5433" customFormat="false" ht="15" hidden="false" customHeight="true" outlineLevel="0" collapsed="false">
      <c r="A5433" s="115" t="n">
        <v>6936960.01</v>
      </c>
      <c r="B5433" s="115" t="n">
        <v>6938240</v>
      </c>
      <c r="C5433" s="115" t="n">
        <v>155637.080000015</v>
      </c>
    </row>
    <row r="5434" customFormat="false" ht="15" hidden="false" customHeight="true" outlineLevel="0" collapsed="false">
      <c r="A5434" s="114" t="n">
        <v>6938240.01</v>
      </c>
      <c r="B5434" s="114" t="n">
        <v>6939520</v>
      </c>
      <c r="C5434" s="114" t="n">
        <v>155665.740000015</v>
      </c>
    </row>
    <row r="5435" customFormat="false" ht="15" hidden="false" customHeight="true" outlineLevel="0" collapsed="false">
      <c r="A5435" s="115" t="n">
        <v>6939520.01</v>
      </c>
      <c r="B5435" s="115" t="n">
        <v>6940800</v>
      </c>
      <c r="C5435" s="115" t="n">
        <v>155694.400000015</v>
      </c>
    </row>
    <row r="5436" customFormat="false" ht="15" hidden="false" customHeight="true" outlineLevel="0" collapsed="false">
      <c r="A5436" s="114" t="n">
        <v>6940800.01</v>
      </c>
      <c r="B5436" s="114" t="n">
        <v>6942080</v>
      </c>
      <c r="C5436" s="114" t="n">
        <v>155723.060000015</v>
      </c>
    </row>
    <row r="5437" customFormat="false" ht="15" hidden="false" customHeight="true" outlineLevel="0" collapsed="false">
      <c r="A5437" s="115" t="n">
        <v>6942080.01</v>
      </c>
      <c r="B5437" s="115" t="n">
        <v>6943360</v>
      </c>
      <c r="C5437" s="115" t="n">
        <v>155751.720000015</v>
      </c>
    </row>
    <row r="5438" customFormat="false" ht="15" hidden="false" customHeight="true" outlineLevel="0" collapsed="false">
      <c r="A5438" s="114" t="n">
        <v>6943360.01</v>
      </c>
      <c r="B5438" s="114" t="n">
        <v>6944640</v>
      </c>
      <c r="C5438" s="114" t="n">
        <v>155780.380000015</v>
      </c>
    </row>
    <row r="5439" customFormat="false" ht="15" hidden="false" customHeight="true" outlineLevel="0" collapsed="false">
      <c r="A5439" s="115" t="n">
        <v>6944640.01</v>
      </c>
      <c r="B5439" s="115" t="n">
        <v>6945920</v>
      </c>
      <c r="C5439" s="115" t="n">
        <v>155809.040000015</v>
      </c>
    </row>
    <row r="5440" customFormat="false" ht="15" hidden="false" customHeight="true" outlineLevel="0" collapsed="false">
      <c r="A5440" s="114" t="n">
        <v>6945920.01</v>
      </c>
      <c r="B5440" s="114" t="n">
        <v>6947200</v>
      </c>
      <c r="C5440" s="114" t="n">
        <v>155837.700000015</v>
      </c>
    </row>
    <row r="5441" customFormat="false" ht="15" hidden="false" customHeight="true" outlineLevel="0" collapsed="false">
      <c r="A5441" s="115" t="n">
        <v>6947200.01</v>
      </c>
      <c r="B5441" s="115" t="n">
        <v>6948480</v>
      </c>
      <c r="C5441" s="115" t="n">
        <v>155866.360000015</v>
      </c>
    </row>
    <row r="5442" customFormat="false" ht="15" hidden="false" customHeight="true" outlineLevel="0" collapsed="false">
      <c r="A5442" s="114" t="n">
        <v>6948480.01</v>
      </c>
      <c r="B5442" s="114" t="n">
        <v>6949760</v>
      </c>
      <c r="C5442" s="114" t="n">
        <v>155895.020000015</v>
      </c>
    </row>
    <row r="5443" customFormat="false" ht="15" hidden="false" customHeight="true" outlineLevel="0" collapsed="false">
      <c r="A5443" s="115" t="n">
        <v>6949760.01</v>
      </c>
      <c r="B5443" s="115" t="n">
        <v>6951040</v>
      </c>
      <c r="C5443" s="115" t="n">
        <v>155923.680000015</v>
      </c>
    </row>
    <row r="5444" customFormat="false" ht="15" hidden="false" customHeight="true" outlineLevel="0" collapsed="false">
      <c r="A5444" s="114" t="n">
        <v>6951040.01</v>
      </c>
      <c r="B5444" s="114" t="n">
        <v>6952320</v>
      </c>
      <c r="C5444" s="114" t="n">
        <v>155952.340000015</v>
      </c>
    </row>
    <row r="5445" customFormat="false" ht="15" hidden="false" customHeight="true" outlineLevel="0" collapsed="false">
      <c r="A5445" s="115" t="n">
        <v>6952320.01</v>
      </c>
      <c r="B5445" s="115" t="n">
        <v>6953600</v>
      </c>
      <c r="C5445" s="115" t="n">
        <v>155981.000000015</v>
      </c>
    </row>
    <row r="5446" customFormat="false" ht="15" hidden="false" customHeight="true" outlineLevel="0" collapsed="false">
      <c r="A5446" s="114" t="n">
        <v>6953600.01</v>
      </c>
      <c r="B5446" s="114" t="n">
        <v>6954880</v>
      </c>
      <c r="C5446" s="114" t="n">
        <v>156009.660000015</v>
      </c>
    </row>
    <row r="5447" customFormat="false" ht="15" hidden="false" customHeight="true" outlineLevel="0" collapsed="false">
      <c r="A5447" s="115" t="n">
        <v>6954880.01</v>
      </c>
      <c r="B5447" s="115" t="n">
        <v>6956160</v>
      </c>
      <c r="C5447" s="115" t="n">
        <v>156038.320000015</v>
      </c>
    </row>
    <row r="5448" customFormat="false" ht="15" hidden="false" customHeight="true" outlineLevel="0" collapsed="false">
      <c r="A5448" s="114" t="n">
        <v>6956160.01</v>
      </c>
      <c r="B5448" s="114" t="n">
        <v>6957440</v>
      </c>
      <c r="C5448" s="114" t="n">
        <v>156066.980000015</v>
      </c>
    </row>
    <row r="5449" customFormat="false" ht="15" hidden="false" customHeight="true" outlineLevel="0" collapsed="false">
      <c r="A5449" s="115" t="n">
        <v>6957440.01</v>
      </c>
      <c r="B5449" s="115" t="n">
        <v>6958720</v>
      </c>
      <c r="C5449" s="115" t="n">
        <v>156095.640000015</v>
      </c>
    </row>
    <row r="5450" customFormat="false" ht="15" hidden="false" customHeight="true" outlineLevel="0" collapsed="false">
      <c r="A5450" s="114" t="n">
        <v>6958720.01</v>
      </c>
      <c r="B5450" s="114" t="n">
        <v>6960000</v>
      </c>
      <c r="C5450" s="114" t="n">
        <v>156124.300000015</v>
      </c>
    </row>
    <row r="5451" customFormat="false" ht="15" hidden="false" customHeight="true" outlineLevel="0" collapsed="false">
      <c r="A5451" s="115" t="n">
        <v>6960000.01</v>
      </c>
      <c r="B5451" s="115" t="n">
        <v>6961280</v>
      </c>
      <c r="C5451" s="115" t="n">
        <v>156152.960000015</v>
      </c>
    </row>
    <row r="5452" customFormat="false" ht="15" hidden="false" customHeight="true" outlineLevel="0" collapsed="false">
      <c r="A5452" s="114" t="n">
        <v>6961280.01</v>
      </c>
      <c r="B5452" s="114" t="n">
        <v>6962560</v>
      </c>
      <c r="C5452" s="114" t="n">
        <v>156181.620000015</v>
      </c>
    </row>
    <row r="5453" customFormat="false" ht="15" hidden="false" customHeight="true" outlineLevel="0" collapsed="false">
      <c r="A5453" s="115" t="n">
        <v>6962560.01</v>
      </c>
      <c r="B5453" s="115" t="n">
        <v>6963840</v>
      </c>
      <c r="C5453" s="115" t="n">
        <v>156210.280000015</v>
      </c>
    </row>
    <row r="5454" customFormat="false" ht="15" hidden="false" customHeight="true" outlineLevel="0" collapsed="false">
      <c r="A5454" s="114" t="n">
        <v>6963840.01</v>
      </c>
      <c r="B5454" s="114" t="n">
        <v>6965120</v>
      </c>
      <c r="C5454" s="114" t="n">
        <v>156238.940000015</v>
      </c>
    </row>
    <row r="5455" customFormat="false" ht="15" hidden="false" customHeight="true" outlineLevel="0" collapsed="false">
      <c r="A5455" s="115" t="n">
        <v>6965120.01</v>
      </c>
      <c r="B5455" s="115" t="n">
        <v>6966400</v>
      </c>
      <c r="C5455" s="115" t="n">
        <v>156267.600000015</v>
      </c>
    </row>
    <row r="5456" customFormat="false" ht="15" hidden="false" customHeight="true" outlineLevel="0" collapsed="false">
      <c r="A5456" s="114" t="n">
        <v>6966400.01</v>
      </c>
      <c r="B5456" s="114" t="n">
        <v>6967680</v>
      </c>
      <c r="C5456" s="114" t="n">
        <v>156296.260000015</v>
      </c>
    </row>
    <row r="5457" customFormat="false" ht="15" hidden="false" customHeight="true" outlineLevel="0" collapsed="false">
      <c r="A5457" s="115" t="n">
        <v>6967680.01</v>
      </c>
      <c r="B5457" s="115" t="n">
        <v>6968960</v>
      </c>
      <c r="C5457" s="115" t="n">
        <v>156324.920000015</v>
      </c>
    </row>
    <row r="5458" customFormat="false" ht="15" hidden="false" customHeight="true" outlineLevel="0" collapsed="false">
      <c r="A5458" s="114" t="n">
        <v>6968960.01</v>
      </c>
      <c r="B5458" s="114" t="n">
        <v>6970240</v>
      </c>
      <c r="C5458" s="114" t="n">
        <v>156353.580000015</v>
      </c>
    </row>
    <row r="5459" customFormat="false" ht="15" hidden="false" customHeight="true" outlineLevel="0" collapsed="false">
      <c r="A5459" s="115" t="n">
        <v>6970240.01</v>
      </c>
      <c r="B5459" s="115" t="n">
        <v>6971520</v>
      </c>
      <c r="C5459" s="115" t="n">
        <v>156382.240000015</v>
      </c>
    </row>
    <row r="5460" customFormat="false" ht="15" hidden="false" customHeight="true" outlineLevel="0" collapsed="false">
      <c r="A5460" s="114" t="n">
        <v>6971520.01</v>
      </c>
      <c r="B5460" s="114" t="n">
        <v>6972800</v>
      </c>
      <c r="C5460" s="114" t="n">
        <v>156410.900000015</v>
      </c>
    </row>
    <row r="5461" customFormat="false" ht="15" hidden="false" customHeight="true" outlineLevel="0" collapsed="false">
      <c r="A5461" s="115" t="n">
        <v>6972800.01</v>
      </c>
      <c r="B5461" s="115" t="n">
        <v>6974080</v>
      </c>
      <c r="C5461" s="115" t="n">
        <v>156439.560000015</v>
      </c>
    </row>
    <row r="5462" customFormat="false" ht="15" hidden="false" customHeight="true" outlineLevel="0" collapsed="false">
      <c r="A5462" s="114" t="n">
        <v>6974080.01</v>
      </c>
      <c r="B5462" s="114" t="n">
        <v>6975360</v>
      </c>
      <c r="C5462" s="114" t="n">
        <v>156468.220000015</v>
      </c>
    </row>
    <row r="5463" customFormat="false" ht="15" hidden="false" customHeight="true" outlineLevel="0" collapsed="false">
      <c r="A5463" s="115" t="n">
        <v>6975360.01</v>
      </c>
      <c r="B5463" s="115" t="n">
        <v>6976640</v>
      </c>
      <c r="C5463" s="115" t="n">
        <v>156496.880000015</v>
      </c>
    </row>
    <row r="5464" customFormat="false" ht="15" hidden="false" customHeight="true" outlineLevel="0" collapsed="false">
      <c r="A5464" s="114" t="n">
        <v>6976640.01</v>
      </c>
      <c r="B5464" s="114" t="n">
        <v>6977920</v>
      </c>
      <c r="C5464" s="114" t="n">
        <v>156525.540000015</v>
      </c>
    </row>
    <row r="5465" customFormat="false" ht="15" hidden="false" customHeight="true" outlineLevel="0" collapsed="false">
      <c r="A5465" s="115" t="n">
        <v>6977920.01</v>
      </c>
      <c r="B5465" s="115" t="n">
        <v>6979200</v>
      </c>
      <c r="C5465" s="115" t="n">
        <v>156554.200000015</v>
      </c>
    </row>
    <row r="5466" customFormat="false" ht="15" hidden="false" customHeight="true" outlineLevel="0" collapsed="false">
      <c r="A5466" s="114" t="n">
        <v>6979200.01</v>
      </c>
      <c r="B5466" s="114" t="n">
        <v>6980480</v>
      </c>
      <c r="C5466" s="114" t="n">
        <v>156582.860000015</v>
      </c>
    </row>
    <row r="5467" customFormat="false" ht="15" hidden="false" customHeight="true" outlineLevel="0" collapsed="false">
      <c r="A5467" s="115" t="n">
        <v>6980480.01</v>
      </c>
      <c r="B5467" s="115" t="n">
        <v>6981760</v>
      </c>
      <c r="C5467" s="115" t="n">
        <v>156611.520000015</v>
      </c>
    </row>
    <row r="5468" customFormat="false" ht="15" hidden="false" customHeight="true" outlineLevel="0" collapsed="false">
      <c r="A5468" s="114" t="n">
        <v>6981760.01</v>
      </c>
      <c r="B5468" s="114" t="n">
        <v>6983040</v>
      </c>
      <c r="C5468" s="114" t="n">
        <v>156640.180000015</v>
      </c>
    </row>
    <row r="5469" customFormat="false" ht="15" hidden="false" customHeight="true" outlineLevel="0" collapsed="false">
      <c r="A5469" s="115" t="n">
        <v>6983040.01</v>
      </c>
      <c r="B5469" s="115" t="n">
        <v>6984320</v>
      </c>
      <c r="C5469" s="115" t="n">
        <v>156668.840000015</v>
      </c>
    </row>
    <row r="5470" customFormat="false" ht="15" hidden="false" customHeight="true" outlineLevel="0" collapsed="false">
      <c r="A5470" s="114" t="n">
        <v>6984320.01</v>
      </c>
      <c r="B5470" s="114" t="n">
        <v>6985600</v>
      </c>
      <c r="C5470" s="114" t="n">
        <v>156697.500000015</v>
      </c>
    </row>
    <row r="5471" customFormat="false" ht="15" hidden="false" customHeight="true" outlineLevel="0" collapsed="false">
      <c r="A5471" s="115" t="n">
        <v>6985600.01</v>
      </c>
      <c r="B5471" s="115" t="n">
        <v>6986880</v>
      </c>
      <c r="C5471" s="115" t="n">
        <v>156726.160000015</v>
      </c>
    </row>
    <row r="5472" customFormat="false" ht="15" hidden="false" customHeight="true" outlineLevel="0" collapsed="false">
      <c r="A5472" s="114" t="n">
        <v>6986880.01</v>
      </c>
      <c r="B5472" s="114" t="n">
        <v>6988160</v>
      </c>
      <c r="C5472" s="114" t="n">
        <v>156754.820000015</v>
      </c>
    </row>
    <row r="5473" customFormat="false" ht="15" hidden="false" customHeight="true" outlineLevel="0" collapsed="false">
      <c r="A5473" s="115" t="n">
        <v>6988160.01</v>
      </c>
      <c r="B5473" s="115" t="n">
        <v>6989440</v>
      </c>
      <c r="C5473" s="115" t="n">
        <v>156783.480000015</v>
      </c>
    </row>
    <row r="5474" customFormat="false" ht="15" hidden="false" customHeight="true" outlineLevel="0" collapsed="false">
      <c r="A5474" s="114" t="n">
        <v>6989440.01</v>
      </c>
      <c r="B5474" s="114" t="n">
        <v>6990720</v>
      </c>
      <c r="C5474" s="114" t="n">
        <v>156812.140000015</v>
      </c>
    </row>
    <row r="5475" customFormat="false" ht="15" hidden="false" customHeight="true" outlineLevel="0" collapsed="false">
      <c r="A5475" s="115" t="n">
        <v>6990720.01</v>
      </c>
      <c r="B5475" s="115" t="n">
        <v>6992000</v>
      </c>
      <c r="C5475" s="115" t="n">
        <v>156840.800000015</v>
      </c>
    </row>
    <row r="5476" customFormat="false" ht="15" hidden="false" customHeight="true" outlineLevel="0" collapsed="false">
      <c r="A5476" s="114" t="n">
        <v>6992000.01</v>
      </c>
      <c r="B5476" s="114" t="n">
        <v>6993280</v>
      </c>
      <c r="C5476" s="114" t="n">
        <v>156869.460000015</v>
      </c>
    </row>
    <row r="5477" customFormat="false" ht="15" hidden="false" customHeight="true" outlineLevel="0" collapsed="false">
      <c r="A5477" s="115" t="n">
        <v>6993280.01</v>
      </c>
      <c r="B5477" s="115" t="n">
        <v>6994560</v>
      </c>
      <c r="C5477" s="115" t="n">
        <v>156898.120000015</v>
      </c>
    </row>
    <row r="5478" customFormat="false" ht="15" hidden="false" customHeight="true" outlineLevel="0" collapsed="false">
      <c r="A5478" s="114" t="n">
        <v>6994560.01</v>
      </c>
      <c r="B5478" s="114" t="n">
        <v>6995840</v>
      </c>
      <c r="C5478" s="114" t="n">
        <v>156926.780000015</v>
      </c>
    </row>
    <row r="5479" customFormat="false" ht="15" hidden="false" customHeight="true" outlineLevel="0" collapsed="false">
      <c r="A5479" s="115" t="n">
        <v>6995840.01</v>
      </c>
      <c r="B5479" s="115" t="n">
        <v>6997120</v>
      </c>
      <c r="C5479" s="115" t="n">
        <v>156955.440000015</v>
      </c>
    </row>
    <row r="5480" customFormat="false" ht="15" hidden="false" customHeight="true" outlineLevel="0" collapsed="false">
      <c r="A5480" s="114" t="n">
        <v>6997120.01</v>
      </c>
      <c r="B5480" s="114" t="n">
        <v>6998400</v>
      </c>
      <c r="C5480" s="114" t="n">
        <v>156984.100000015</v>
      </c>
    </row>
    <row r="5481" customFormat="false" ht="15" hidden="false" customHeight="true" outlineLevel="0" collapsed="false">
      <c r="A5481" s="115" t="n">
        <v>6998400.01</v>
      </c>
      <c r="B5481" s="115" t="n">
        <v>6999680</v>
      </c>
      <c r="C5481" s="115" t="n">
        <v>157012.760000015</v>
      </c>
    </row>
    <row r="5482" customFormat="false" ht="15" hidden="false" customHeight="true" outlineLevel="0" collapsed="false">
      <c r="A5482" s="114" t="n">
        <v>6999680.01</v>
      </c>
      <c r="B5482" s="114" t="n">
        <v>7000960</v>
      </c>
      <c r="C5482" s="114" t="n">
        <v>157041.420000015</v>
      </c>
    </row>
    <row r="5483" customFormat="false" ht="15" hidden="false" customHeight="true" outlineLevel="0" collapsed="false">
      <c r="A5483" s="115" t="n">
        <v>7000960.01</v>
      </c>
      <c r="B5483" s="115" t="n">
        <v>7002240</v>
      </c>
      <c r="C5483" s="115" t="n">
        <v>157070.080000015</v>
      </c>
    </row>
    <row r="5484" customFormat="false" ht="15" hidden="false" customHeight="true" outlineLevel="0" collapsed="false">
      <c r="A5484" s="114" t="n">
        <v>7002240.01</v>
      </c>
      <c r="B5484" s="114" t="n">
        <v>7003520</v>
      </c>
      <c r="C5484" s="114" t="n">
        <v>157098.740000015</v>
      </c>
    </row>
    <row r="5485" customFormat="false" ht="15" hidden="false" customHeight="true" outlineLevel="0" collapsed="false">
      <c r="A5485" s="115" t="n">
        <v>7003520.01</v>
      </c>
      <c r="B5485" s="115" t="n">
        <v>7004800</v>
      </c>
      <c r="C5485" s="115" t="n">
        <v>157127.400000015</v>
      </c>
    </row>
    <row r="5486" customFormat="false" ht="15" hidden="false" customHeight="true" outlineLevel="0" collapsed="false">
      <c r="A5486" s="114" t="n">
        <v>7004800.01</v>
      </c>
      <c r="B5486" s="114" t="n">
        <v>7006080</v>
      </c>
      <c r="C5486" s="114" t="n">
        <v>157156.060000015</v>
      </c>
    </row>
    <row r="5487" customFormat="false" ht="15" hidden="false" customHeight="true" outlineLevel="0" collapsed="false">
      <c r="A5487" s="115" t="n">
        <v>7006080.01</v>
      </c>
      <c r="B5487" s="115" t="n">
        <v>7007360</v>
      </c>
      <c r="C5487" s="115" t="n">
        <v>157184.720000015</v>
      </c>
    </row>
    <row r="5488" customFormat="false" ht="15" hidden="false" customHeight="true" outlineLevel="0" collapsed="false">
      <c r="A5488" s="114" t="n">
        <v>7007360.01</v>
      </c>
      <c r="B5488" s="114" t="n">
        <v>7008640</v>
      </c>
      <c r="C5488" s="114" t="n">
        <v>157213.380000015</v>
      </c>
    </row>
    <row r="5489" customFormat="false" ht="15" hidden="false" customHeight="true" outlineLevel="0" collapsed="false">
      <c r="A5489" s="115" t="n">
        <v>7008640.01</v>
      </c>
      <c r="B5489" s="115" t="n">
        <v>7009920</v>
      </c>
      <c r="C5489" s="115" t="n">
        <v>157242.040000015</v>
      </c>
    </row>
    <row r="5490" customFormat="false" ht="15" hidden="false" customHeight="true" outlineLevel="0" collapsed="false">
      <c r="A5490" s="114" t="n">
        <v>7009920.01</v>
      </c>
      <c r="B5490" s="114" t="n">
        <v>7011200</v>
      </c>
      <c r="C5490" s="114" t="n">
        <v>157270.700000015</v>
      </c>
    </row>
    <row r="5491" customFormat="false" ht="15" hidden="false" customHeight="true" outlineLevel="0" collapsed="false">
      <c r="A5491" s="115" t="n">
        <v>7011200.01</v>
      </c>
      <c r="B5491" s="115" t="n">
        <v>7012480</v>
      </c>
      <c r="C5491" s="115" t="n">
        <v>157299.360000015</v>
      </c>
    </row>
    <row r="5492" customFormat="false" ht="15" hidden="false" customHeight="true" outlineLevel="0" collapsed="false">
      <c r="A5492" s="114" t="n">
        <v>7012480.01</v>
      </c>
      <c r="B5492" s="114" t="n">
        <v>7013760</v>
      </c>
      <c r="C5492" s="114" t="n">
        <v>157328.020000015</v>
      </c>
    </row>
    <row r="5493" customFormat="false" ht="15" hidden="false" customHeight="true" outlineLevel="0" collapsed="false">
      <c r="A5493" s="115" t="n">
        <v>7013760.01</v>
      </c>
      <c r="B5493" s="115" t="n">
        <v>7015040</v>
      </c>
      <c r="C5493" s="115" t="n">
        <v>157356.680000015</v>
      </c>
    </row>
    <row r="5494" customFormat="false" ht="15" hidden="false" customHeight="true" outlineLevel="0" collapsed="false">
      <c r="A5494" s="114" t="n">
        <v>7015040.01</v>
      </c>
      <c r="B5494" s="114" t="n">
        <v>7016320</v>
      </c>
      <c r="C5494" s="114" t="n">
        <v>157385.340000015</v>
      </c>
    </row>
    <row r="5495" customFormat="false" ht="15" hidden="false" customHeight="true" outlineLevel="0" collapsed="false">
      <c r="A5495" s="115" t="n">
        <v>7016320.01</v>
      </c>
      <c r="B5495" s="115" t="n">
        <v>7017600</v>
      </c>
      <c r="C5495" s="115" t="n">
        <v>157414.000000015</v>
      </c>
    </row>
    <row r="5496" customFormat="false" ht="15" hidden="false" customHeight="true" outlineLevel="0" collapsed="false">
      <c r="A5496" s="114" t="n">
        <v>7017600.01</v>
      </c>
      <c r="B5496" s="114" t="n">
        <v>7018880</v>
      </c>
      <c r="C5496" s="114" t="n">
        <v>157442.660000015</v>
      </c>
    </row>
    <row r="5497" customFormat="false" ht="15" hidden="false" customHeight="true" outlineLevel="0" collapsed="false">
      <c r="A5497" s="115" t="n">
        <v>7018880.01</v>
      </c>
      <c r="B5497" s="115" t="n">
        <v>7020160</v>
      </c>
      <c r="C5497" s="115" t="n">
        <v>157471.320000015</v>
      </c>
    </row>
    <row r="5498" customFormat="false" ht="15" hidden="false" customHeight="true" outlineLevel="0" collapsed="false">
      <c r="A5498" s="114" t="n">
        <v>7020160.01</v>
      </c>
      <c r="B5498" s="114" t="n">
        <v>7021440</v>
      </c>
      <c r="C5498" s="114" t="n">
        <v>157499.980000015</v>
      </c>
    </row>
    <row r="5499" customFormat="false" ht="15" hidden="false" customHeight="true" outlineLevel="0" collapsed="false">
      <c r="A5499" s="115" t="n">
        <v>7021440.01</v>
      </c>
      <c r="B5499" s="115" t="n">
        <v>7022720</v>
      </c>
      <c r="C5499" s="115" t="n">
        <v>157528.640000015</v>
      </c>
    </row>
    <row r="5500" customFormat="false" ht="15" hidden="false" customHeight="true" outlineLevel="0" collapsed="false">
      <c r="A5500" s="114" t="n">
        <v>7022720.01</v>
      </c>
      <c r="B5500" s="114" t="n">
        <v>7024000</v>
      </c>
      <c r="C5500" s="114" t="n">
        <v>157557.300000015</v>
      </c>
    </row>
    <row r="5501" customFormat="false" ht="15" hidden="false" customHeight="true" outlineLevel="0" collapsed="false">
      <c r="A5501" s="115" t="n">
        <v>7024000.01</v>
      </c>
      <c r="B5501" s="115" t="n">
        <v>7025280</v>
      </c>
      <c r="C5501" s="115" t="n">
        <v>157585.960000015</v>
      </c>
    </row>
    <row r="5502" customFormat="false" ht="15" hidden="false" customHeight="true" outlineLevel="0" collapsed="false">
      <c r="A5502" s="114" t="n">
        <v>7025280.01</v>
      </c>
      <c r="B5502" s="114" t="n">
        <v>7026560</v>
      </c>
      <c r="C5502" s="114" t="n">
        <v>157614.620000015</v>
      </c>
    </row>
    <row r="5503" customFormat="false" ht="15" hidden="false" customHeight="true" outlineLevel="0" collapsed="false">
      <c r="A5503" s="115" t="n">
        <v>7026560.01</v>
      </c>
      <c r="B5503" s="115" t="n">
        <v>7027840</v>
      </c>
      <c r="C5503" s="115" t="n">
        <v>157643.280000015</v>
      </c>
    </row>
    <row r="5504" customFormat="false" ht="15" hidden="false" customHeight="true" outlineLevel="0" collapsed="false">
      <c r="A5504" s="114" t="n">
        <v>7027840.01</v>
      </c>
      <c r="B5504" s="114" t="n">
        <v>7029120</v>
      </c>
      <c r="C5504" s="114" t="n">
        <v>157671.940000015</v>
      </c>
    </row>
    <row r="5505" customFormat="false" ht="15" hidden="false" customHeight="true" outlineLevel="0" collapsed="false">
      <c r="A5505" s="115" t="n">
        <v>7029120.01</v>
      </c>
      <c r="B5505" s="115" t="n">
        <v>7030400</v>
      </c>
      <c r="C5505" s="115" t="n">
        <v>157700.600000015</v>
      </c>
    </row>
    <row r="5506" customFormat="false" ht="15" hidden="false" customHeight="true" outlineLevel="0" collapsed="false">
      <c r="A5506" s="114" t="n">
        <v>7030400.01</v>
      </c>
      <c r="B5506" s="114" t="n">
        <v>7031680</v>
      </c>
      <c r="C5506" s="114" t="n">
        <v>157729.260000015</v>
      </c>
    </row>
    <row r="5507" customFormat="false" ht="15" hidden="false" customHeight="true" outlineLevel="0" collapsed="false">
      <c r="A5507" s="115" t="n">
        <v>7031680.01</v>
      </c>
      <c r="B5507" s="115" t="n">
        <v>7032960</v>
      </c>
      <c r="C5507" s="115" t="n">
        <v>157757.920000015</v>
      </c>
    </row>
    <row r="5508" customFormat="false" ht="15" hidden="false" customHeight="true" outlineLevel="0" collapsed="false">
      <c r="A5508" s="114" t="n">
        <v>7032960.01</v>
      </c>
      <c r="B5508" s="114" t="n">
        <v>7034240</v>
      </c>
      <c r="C5508" s="114" t="n">
        <v>157786.580000015</v>
      </c>
    </row>
    <row r="5509" customFormat="false" ht="15" hidden="false" customHeight="true" outlineLevel="0" collapsed="false">
      <c r="A5509" s="115" t="n">
        <v>7034240.01</v>
      </c>
      <c r="B5509" s="115" t="n">
        <v>7035520</v>
      </c>
      <c r="C5509" s="115" t="n">
        <v>157815.240000015</v>
      </c>
    </row>
    <row r="5510" customFormat="false" ht="15" hidden="false" customHeight="true" outlineLevel="0" collapsed="false">
      <c r="A5510" s="114" t="n">
        <v>7035520.01</v>
      </c>
      <c r="B5510" s="114" t="n">
        <v>7036800</v>
      </c>
      <c r="C5510" s="114" t="n">
        <v>157843.900000015</v>
      </c>
    </row>
    <row r="5511" customFormat="false" ht="15" hidden="false" customHeight="true" outlineLevel="0" collapsed="false">
      <c r="A5511" s="115" t="n">
        <v>7036800.01</v>
      </c>
      <c r="B5511" s="115" t="n">
        <v>7038080</v>
      </c>
      <c r="C5511" s="115" t="n">
        <v>157872.560000015</v>
      </c>
    </row>
    <row r="5512" customFormat="false" ht="15" hidden="false" customHeight="true" outlineLevel="0" collapsed="false">
      <c r="A5512" s="114" t="n">
        <v>7038080.01</v>
      </c>
      <c r="B5512" s="114" t="n">
        <v>7039360</v>
      </c>
      <c r="C5512" s="114" t="n">
        <v>157901.220000015</v>
      </c>
    </row>
    <row r="5513" customFormat="false" ht="15" hidden="false" customHeight="true" outlineLevel="0" collapsed="false">
      <c r="A5513" s="115" t="n">
        <v>7039360.01</v>
      </c>
      <c r="B5513" s="115" t="n">
        <v>7040640</v>
      </c>
      <c r="C5513" s="115" t="n">
        <v>157929.880000015</v>
      </c>
    </row>
    <row r="5514" customFormat="false" ht="15" hidden="false" customHeight="true" outlineLevel="0" collapsed="false">
      <c r="A5514" s="114" t="n">
        <v>7040640.01</v>
      </c>
      <c r="B5514" s="114" t="n">
        <v>7041920</v>
      </c>
      <c r="C5514" s="114" t="n">
        <v>157958.540000015</v>
      </c>
    </row>
    <row r="5515" customFormat="false" ht="15" hidden="false" customHeight="true" outlineLevel="0" collapsed="false">
      <c r="A5515" s="115" t="n">
        <v>7041920.01</v>
      </c>
      <c r="B5515" s="115" t="n">
        <v>7043200</v>
      </c>
      <c r="C5515" s="115" t="n">
        <v>157987.200000015</v>
      </c>
    </row>
    <row r="5516" customFormat="false" ht="15" hidden="false" customHeight="true" outlineLevel="0" collapsed="false">
      <c r="A5516" s="114" t="n">
        <v>7043200.01</v>
      </c>
      <c r="B5516" s="114" t="n">
        <v>7044480</v>
      </c>
      <c r="C5516" s="114" t="n">
        <v>158015.860000015</v>
      </c>
    </row>
    <row r="5517" customFormat="false" ht="15" hidden="false" customHeight="true" outlineLevel="0" collapsed="false">
      <c r="A5517" s="115" t="n">
        <v>7044480.01</v>
      </c>
      <c r="B5517" s="115" t="n">
        <v>7045760</v>
      </c>
      <c r="C5517" s="115" t="n">
        <v>158044.520000015</v>
      </c>
    </row>
    <row r="5518" customFormat="false" ht="15" hidden="false" customHeight="true" outlineLevel="0" collapsed="false">
      <c r="A5518" s="114" t="n">
        <v>7045760.01</v>
      </c>
      <c r="B5518" s="114" t="n">
        <v>7047040</v>
      </c>
      <c r="C5518" s="114" t="n">
        <v>158073.180000015</v>
      </c>
    </row>
    <row r="5519" customFormat="false" ht="15" hidden="false" customHeight="true" outlineLevel="0" collapsed="false">
      <c r="A5519" s="115" t="n">
        <v>7047040.01</v>
      </c>
      <c r="B5519" s="115" t="n">
        <v>7048320</v>
      </c>
      <c r="C5519" s="115" t="n">
        <v>158101.840000015</v>
      </c>
    </row>
    <row r="5520" customFormat="false" ht="15" hidden="false" customHeight="true" outlineLevel="0" collapsed="false">
      <c r="A5520" s="114" t="n">
        <v>7048320.01</v>
      </c>
      <c r="B5520" s="114" t="n">
        <v>7049600</v>
      </c>
      <c r="C5520" s="114" t="n">
        <v>158130.500000015</v>
      </c>
    </row>
    <row r="5521" customFormat="false" ht="15" hidden="false" customHeight="true" outlineLevel="0" collapsed="false">
      <c r="A5521" s="115" t="n">
        <v>7049600.01</v>
      </c>
      <c r="B5521" s="115" t="n">
        <v>7050880</v>
      </c>
      <c r="C5521" s="115" t="n">
        <v>158159.160000015</v>
      </c>
    </row>
    <row r="5522" customFormat="false" ht="15" hidden="false" customHeight="true" outlineLevel="0" collapsed="false">
      <c r="A5522" s="114" t="n">
        <v>7050880.01</v>
      </c>
      <c r="B5522" s="114" t="n">
        <v>7052160</v>
      </c>
      <c r="C5522" s="114" t="n">
        <v>158187.820000015</v>
      </c>
    </row>
    <row r="5523" customFormat="false" ht="15" hidden="false" customHeight="true" outlineLevel="0" collapsed="false">
      <c r="A5523" s="115" t="n">
        <v>7052160.01</v>
      </c>
      <c r="B5523" s="115" t="n">
        <v>7053440</v>
      </c>
      <c r="C5523" s="115" t="n">
        <v>158216.480000015</v>
      </c>
    </row>
    <row r="5524" customFormat="false" ht="15" hidden="false" customHeight="true" outlineLevel="0" collapsed="false">
      <c r="A5524" s="114" t="n">
        <v>7053440.01</v>
      </c>
      <c r="B5524" s="114" t="n">
        <v>7054720</v>
      </c>
      <c r="C5524" s="114" t="n">
        <v>158245.140000015</v>
      </c>
    </row>
    <row r="5525" customFormat="false" ht="15" hidden="false" customHeight="true" outlineLevel="0" collapsed="false">
      <c r="A5525" s="115" t="n">
        <v>7054720.01</v>
      </c>
      <c r="B5525" s="115" t="n">
        <v>7056000</v>
      </c>
      <c r="C5525" s="115" t="n">
        <v>158273.800000015</v>
      </c>
    </row>
    <row r="5526" customFormat="false" ht="15" hidden="false" customHeight="true" outlineLevel="0" collapsed="false">
      <c r="A5526" s="114" t="n">
        <v>7056000.01</v>
      </c>
      <c r="B5526" s="114" t="n">
        <v>7057280</v>
      </c>
      <c r="C5526" s="114" t="n">
        <v>158302.460000015</v>
      </c>
    </row>
    <row r="5527" customFormat="false" ht="15" hidden="false" customHeight="true" outlineLevel="0" collapsed="false">
      <c r="A5527" s="115" t="n">
        <v>7057280.01</v>
      </c>
      <c r="B5527" s="115" t="n">
        <v>7058560</v>
      </c>
      <c r="C5527" s="115" t="n">
        <v>158331.120000015</v>
      </c>
    </row>
    <row r="5528" customFormat="false" ht="15" hidden="false" customHeight="true" outlineLevel="0" collapsed="false">
      <c r="A5528" s="114" t="n">
        <v>7058560.01</v>
      </c>
      <c r="B5528" s="114" t="n">
        <v>7059840</v>
      </c>
      <c r="C5528" s="114" t="n">
        <v>158359.780000015</v>
      </c>
    </row>
    <row r="5529" customFormat="false" ht="15" hidden="false" customHeight="true" outlineLevel="0" collapsed="false">
      <c r="A5529" s="115" t="n">
        <v>7059840.01</v>
      </c>
      <c r="B5529" s="115" t="n">
        <v>7061120</v>
      </c>
      <c r="C5529" s="115" t="n">
        <v>158388.440000015</v>
      </c>
    </row>
    <row r="5530" customFormat="false" ht="15" hidden="false" customHeight="true" outlineLevel="0" collapsed="false">
      <c r="A5530" s="114" t="n">
        <v>7061120.01</v>
      </c>
      <c r="B5530" s="114" t="n">
        <v>7062400</v>
      </c>
      <c r="C5530" s="114" t="n">
        <v>158417.100000015</v>
      </c>
    </row>
    <row r="5531" customFormat="false" ht="15" hidden="false" customHeight="true" outlineLevel="0" collapsed="false">
      <c r="A5531" s="115" t="n">
        <v>7062400.01</v>
      </c>
      <c r="B5531" s="115" t="n">
        <v>7063680</v>
      </c>
      <c r="C5531" s="115" t="n">
        <v>158445.760000015</v>
      </c>
    </row>
    <row r="5532" customFormat="false" ht="15" hidden="false" customHeight="true" outlineLevel="0" collapsed="false">
      <c r="A5532" s="114" t="n">
        <v>7063680.01</v>
      </c>
      <c r="B5532" s="114" t="n">
        <v>7064960</v>
      </c>
      <c r="C5532" s="114" t="n">
        <v>158474.420000015</v>
      </c>
    </row>
    <row r="5533" customFormat="false" ht="15" hidden="false" customHeight="true" outlineLevel="0" collapsed="false">
      <c r="A5533" s="115" t="n">
        <v>7064960.01</v>
      </c>
      <c r="B5533" s="115" t="n">
        <v>7066240</v>
      </c>
      <c r="C5533" s="115" t="n">
        <v>158503.080000015</v>
      </c>
    </row>
    <row r="5534" customFormat="false" ht="15" hidden="false" customHeight="true" outlineLevel="0" collapsed="false">
      <c r="A5534" s="114" t="n">
        <v>7066240.01</v>
      </c>
      <c r="B5534" s="114" t="n">
        <v>7067520</v>
      </c>
      <c r="C5534" s="114" t="n">
        <v>158531.740000015</v>
      </c>
    </row>
    <row r="5535" customFormat="false" ht="15" hidden="false" customHeight="true" outlineLevel="0" collapsed="false">
      <c r="A5535" s="115" t="n">
        <v>7067520.01</v>
      </c>
      <c r="B5535" s="115" t="n">
        <v>7068800</v>
      </c>
      <c r="C5535" s="115" t="n">
        <v>158560.400000015</v>
      </c>
    </row>
    <row r="5536" customFormat="false" ht="15" hidden="false" customHeight="true" outlineLevel="0" collapsed="false">
      <c r="A5536" s="114" t="n">
        <v>7068800.01</v>
      </c>
      <c r="B5536" s="114" t="n">
        <v>7070080</v>
      </c>
      <c r="C5536" s="114" t="n">
        <v>158589.060000015</v>
      </c>
    </row>
    <row r="5537" customFormat="false" ht="15" hidden="false" customHeight="true" outlineLevel="0" collapsed="false">
      <c r="A5537" s="115" t="n">
        <v>7070080.01</v>
      </c>
      <c r="B5537" s="115" t="n">
        <v>7071360</v>
      </c>
      <c r="C5537" s="115" t="n">
        <v>158617.720000015</v>
      </c>
    </row>
    <row r="5538" customFormat="false" ht="15" hidden="false" customHeight="true" outlineLevel="0" collapsed="false">
      <c r="A5538" s="114" t="n">
        <v>7071360.01</v>
      </c>
      <c r="B5538" s="114" t="n">
        <v>7072640</v>
      </c>
      <c r="C5538" s="114" t="n">
        <v>158646.380000015</v>
      </c>
    </row>
    <row r="5539" customFormat="false" ht="15" hidden="false" customHeight="true" outlineLevel="0" collapsed="false">
      <c r="A5539" s="115" t="n">
        <v>7072640.01</v>
      </c>
      <c r="B5539" s="115" t="n">
        <v>7073920</v>
      </c>
      <c r="C5539" s="115" t="n">
        <v>158675.040000015</v>
      </c>
    </row>
    <row r="5540" customFormat="false" ht="15" hidden="false" customHeight="true" outlineLevel="0" collapsed="false">
      <c r="A5540" s="114" t="n">
        <v>7073920.01</v>
      </c>
      <c r="B5540" s="114" t="n">
        <v>7075200</v>
      </c>
      <c r="C5540" s="114" t="n">
        <v>158703.700000015</v>
      </c>
    </row>
    <row r="5541" customFormat="false" ht="15" hidden="false" customHeight="true" outlineLevel="0" collapsed="false">
      <c r="A5541" s="115" t="n">
        <v>7075200.01</v>
      </c>
      <c r="B5541" s="115" t="n">
        <v>7076480</v>
      </c>
      <c r="C5541" s="115" t="n">
        <v>158732.360000015</v>
      </c>
    </row>
    <row r="5542" customFormat="false" ht="15" hidden="false" customHeight="true" outlineLevel="0" collapsed="false">
      <c r="A5542" s="114" t="n">
        <v>7076480.01</v>
      </c>
      <c r="B5542" s="114" t="n">
        <v>7077760</v>
      </c>
      <c r="C5542" s="114" t="n">
        <v>158761.020000015</v>
      </c>
    </row>
    <row r="5543" customFormat="false" ht="15" hidden="false" customHeight="true" outlineLevel="0" collapsed="false">
      <c r="A5543" s="115" t="n">
        <v>7077760.01</v>
      </c>
      <c r="B5543" s="115" t="n">
        <v>7079040</v>
      </c>
      <c r="C5543" s="115" t="n">
        <v>158789.680000015</v>
      </c>
    </row>
    <row r="5544" customFormat="false" ht="15" hidden="false" customHeight="true" outlineLevel="0" collapsed="false">
      <c r="A5544" s="114" t="n">
        <v>7079040.01</v>
      </c>
      <c r="B5544" s="114" t="n">
        <v>7080320</v>
      </c>
      <c r="C5544" s="114" t="n">
        <v>158818.340000015</v>
      </c>
    </row>
    <row r="5545" customFormat="false" ht="15" hidden="false" customHeight="true" outlineLevel="0" collapsed="false">
      <c r="A5545" s="115" t="n">
        <v>7080320.01</v>
      </c>
      <c r="B5545" s="115" t="n">
        <v>7081600</v>
      </c>
      <c r="C5545" s="115" t="n">
        <v>158847.000000015</v>
      </c>
    </row>
    <row r="5546" customFormat="false" ht="15" hidden="false" customHeight="true" outlineLevel="0" collapsed="false">
      <c r="A5546" s="114" t="n">
        <v>7081600.01</v>
      </c>
      <c r="B5546" s="114" t="n">
        <v>7082880</v>
      </c>
      <c r="C5546" s="114" t="n">
        <v>158875.660000015</v>
      </c>
    </row>
    <row r="5547" customFormat="false" ht="15" hidden="false" customHeight="true" outlineLevel="0" collapsed="false">
      <c r="A5547" s="115" t="n">
        <v>7082880.01</v>
      </c>
      <c r="B5547" s="115" t="n">
        <v>7084160</v>
      </c>
      <c r="C5547" s="115" t="n">
        <v>158904.320000015</v>
      </c>
    </row>
    <row r="5548" customFormat="false" ht="15" hidden="false" customHeight="true" outlineLevel="0" collapsed="false">
      <c r="A5548" s="114" t="n">
        <v>7084160.01</v>
      </c>
      <c r="B5548" s="114" t="n">
        <v>7085440</v>
      </c>
      <c r="C5548" s="114" t="n">
        <v>158932.980000015</v>
      </c>
    </row>
    <row r="5549" customFormat="false" ht="15" hidden="false" customHeight="true" outlineLevel="0" collapsed="false">
      <c r="A5549" s="115" t="n">
        <v>7085440.01</v>
      </c>
      <c r="B5549" s="115" t="n">
        <v>7086720</v>
      </c>
      <c r="C5549" s="115" t="n">
        <v>158961.640000015</v>
      </c>
    </row>
    <row r="5550" customFormat="false" ht="15" hidden="false" customHeight="true" outlineLevel="0" collapsed="false">
      <c r="A5550" s="114" t="n">
        <v>7086720.01</v>
      </c>
      <c r="B5550" s="114" t="n">
        <v>7088000</v>
      </c>
      <c r="C5550" s="114" t="n">
        <v>158990.300000015</v>
      </c>
    </row>
    <row r="5551" customFormat="false" ht="15" hidden="false" customHeight="true" outlineLevel="0" collapsed="false">
      <c r="A5551" s="115" t="n">
        <v>7088000.01</v>
      </c>
      <c r="B5551" s="115" t="n">
        <v>7089280</v>
      </c>
      <c r="C5551" s="115" t="n">
        <v>159018.960000015</v>
      </c>
    </row>
    <row r="5552" customFormat="false" ht="15" hidden="false" customHeight="true" outlineLevel="0" collapsed="false">
      <c r="A5552" s="114" t="n">
        <v>7089280.01</v>
      </c>
      <c r="B5552" s="114" t="n">
        <v>7090560</v>
      </c>
      <c r="C5552" s="114" t="n">
        <v>159047.620000015</v>
      </c>
    </row>
    <row r="5553" customFormat="false" ht="15" hidden="false" customHeight="true" outlineLevel="0" collapsed="false">
      <c r="A5553" s="115" t="n">
        <v>7090560.01</v>
      </c>
      <c r="B5553" s="115" t="n">
        <v>7091840</v>
      </c>
      <c r="C5553" s="115" t="n">
        <v>159076.280000015</v>
      </c>
    </row>
    <row r="5554" customFormat="false" ht="15" hidden="false" customHeight="true" outlineLevel="0" collapsed="false">
      <c r="A5554" s="114" t="n">
        <v>7091840.01</v>
      </c>
      <c r="B5554" s="114" t="n">
        <v>7093120</v>
      </c>
      <c r="C5554" s="114" t="n">
        <v>159104.940000015</v>
      </c>
    </row>
    <row r="5555" customFormat="false" ht="15" hidden="false" customHeight="true" outlineLevel="0" collapsed="false">
      <c r="A5555" s="115" t="n">
        <v>7093120.01</v>
      </c>
      <c r="B5555" s="115" t="n">
        <v>7094400</v>
      </c>
      <c r="C5555" s="115" t="n">
        <v>159133.600000015</v>
      </c>
    </row>
    <row r="5556" customFormat="false" ht="15" hidden="false" customHeight="true" outlineLevel="0" collapsed="false">
      <c r="A5556" s="114" t="n">
        <v>7094400.01</v>
      </c>
      <c r="B5556" s="114" t="n">
        <v>7095680</v>
      </c>
      <c r="C5556" s="114" t="n">
        <v>159162.260000015</v>
      </c>
    </row>
    <row r="5557" customFormat="false" ht="15" hidden="false" customHeight="true" outlineLevel="0" collapsed="false">
      <c r="A5557" s="115" t="n">
        <v>7095680.01</v>
      </c>
      <c r="B5557" s="115" t="n">
        <v>7096960</v>
      </c>
      <c r="C5557" s="115" t="n">
        <v>159190.920000015</v>
      </c>
    </row>
    <row r="5558" customFormat="false" ht="15" hidden="false" customHeight="true" outlineLevel="0" collapsed="false">
      <c r="A5558" s="114" t="n">
        <v>7096960.01</v>
      </c>
      <c r="B5558" s="114" t="n">
        <v>7098240</v>
      </c>
      <c r="C5558" s="114" t="n">
        <v>159219.580000015</v>
      </c>
    </row>
    <row r="5559" customFormat="false" ht="15" hidden="false" customHeight="true" outlineLevel="0" collapsed="false">
      <c r="A5559" s="115" t="n">
        <v>7098240.01</v>
      </c>
      <c r="B5559" s="115" t="n">
        <v>7099520</v>
      </c>
      <c r="C5559" s="115" t="n">
        <v>159248.240000015</v>
      </c>
    </row>
    <row r="5560" customFormat="false" ht="15" hidden="false" customHeight="true" outlineLevel="0" collapsed="false">
      <c r="A5560" s="114" t="n">
        <v>7099520.01</v>
      </c>
      <c r="B5560" s="114" t="n">
        <v>7100800</v>
      </c>
      <c r="C5560" s="114" t="n">
        <v>159276.900000015</v>
      </c>
    </row>
    <row r="5561" customFormat="false" ht="15" hidden="false" customHeight="true" outlineLevel="0" collapsed="false">
      <c r="A5561" s="115" t="n">
        <v>7100800.01</v>
      </c>
      <c r="B5561" s="115" t="n">
        <v>7102080</v>
      </c>
      <c r="C5561" s="115" t="n">
        <v>159305.560000015</v>
      </c>
    </row>
    <row r="5562" customFormat="false" ht="15" hidden="false" customHeight="true" outlineLevel="0" collapsed="false">
      <c r="A5562" s="114" t="n">
        <v>7102080.01</v>
      </c>
      <c r="B5562" s="114" t="n">
        <v>7103360</v>
      </c>
      <c r="C5562" s="114" t="n">
        <v>159334.220000015</v>
      </c>
    </row>
    <row r="5563" customFormat="false" ht="15" hidden="false" customHeight="true" outlineLevel="0" collapsed="false">
      <c r="A5563" s="115" t="n">
        <v>7103360.01</v>
      </c>
      <c r="B5563" s="115" t="n">
        <v>7104640</v>
      </c>
      <c r="C5563" s="115" t="n">
        <v>159362.880000015</v>
      </c>
    </row>
    <row r="5564" customFormat="false" ht="15" hidden="false" customHeight="true" outlineLevel="0" collapsed="false">
      <c r="A5564" s="114" t="n">
        <v>7104640.01</v>
      </c>
      <c r="B5564" s="114" t="n">
        <v>7105920</v>
      </c>
      <c r="C5564" s="114" t="n">
        <v>159391.540000015</v>
      </c>
    </row>
    <row r="5565" customFormat="false" ht="15" hidden="false" customHeight="true" outlineLevel="0" collapsed="false">
      <c r="A5565" s="115" t="n">
        <v>7105920.01</v>
      </c>
      <c r="B5565" s="115" t="n">
        <v>7107200</v>
      </c>
      <c r="C5565" s="115" t="n">
        <v>159420.200000015</v>
      </c>
    </row>
    <row r="5566" customFormat="false" ht="15" hidden="false" customHeight="true" outlineLevel="0" collapsed="false">
      <c r="A5566" s="114" t="n">
        <v>7107200.01</v>
      </c>
      <c r="B5566" s="114" t="n">
        <v>7108480</v>
      </c>
      <c r="C5566" s="114" t="n">
        <v>159448.860000015</v>
      </c>
    </row>
    <row r="5567" customFormat="false" ht="15" hidden="false" customHeight="true" outlineLevel="0" collapsed="false">
      <c r="A5567" s="115" t="n">
        <v>7108480.01</v>
      </c>
      <c r="B5567" s="115" t="n">
        <v>7109760</v>
      </c>
      <c r="C5567" s="115" t="n">
        <v>159477.520000015</v>
      </c>
    </row>
    <row r="5568" customFormat="false" ht="15" hidden="false" customHeight="true" outlineLevel="0" collapsed="false">
      <c r="A5568" s="114" t="n">
        <v>7109760.01</v>
      </c>
      <c r="B5568" s="114" t="n">
        <v>7111040</v>
      </c>
      <c r="C5568" s="114" t="n">
        <v>159506.180000015</v>
      </c>
    </row>
    <row r="5569" customFormat="false" ht="15" hidden="false" customHeight="true" outlineLevel="0" collapsed="false">
      <c r="A5569" s="115" t="n">
        <v>7111040.01</v>
      </c>
      <c r="B5569" s="115" t="n">
        <v>7112320</v>
      </c>
      <c r="C5569" s="115" t="n">
        <v>159534.840000015</v>
      </c>
    </row>
    <row r="5570" customFormat="false" ht="15" hidden="false" customHeight="true" outlineLevel="0" collapsed="false">
      <c r="A5570" s="114" t="n">
        <v>7112320.01</v>
      </c>
      <c r="B5570" s="114" t="n">
        <v>7113600</v>
      </c>
      <c r="C5570" s="114" t="n">
        <v>159563.500000015</v>
      </c>
    </row>
    <row r="5571" customFormat="false" ht="15" hidden="false" customHeight="true" outlineLevel="0" collapsed="false">
      <c r="A5571" s="115" t="n">
        <v>7113600.01</v>
      </c>
      <c r="B5571" s="115" t="n">
        <v>7114880</v>
      </c>
      <c r="C5571" s="115" t="n">
        <v>159592.160000015</v>
      </c>
    </row>
    <row r="5572" customFormat="false" ht="15" hidden="false" customHeight="true" outlineLevel="0" collapsed="false">
      <c r="A5572" s="114" t="n">
        <v>7114880.01</v>
      </c>
      <c r="B5572" s="114" t="n">
        <v>7116160</v>
      </c>
      <c r="C5572" s="114" t="n">
        <v>159620.820000015</v>
      </c>
    </row>
    <row r="5573" customFormat="false" ht="15" hidden="false" customHeight="true" outlineLevel="0" collapsed="false">
      <c r="A5573" s="115" t="n">
        <v>7116160.01</v>
      </c>
      <c r="B5573" s="115" t="n">
        <v>7117440</v>
      </c>
      <c r="C5573" s="115" t="n">
        <v>159649.480000015</v>
      </c>
    </row>
    <row r="5574" customFormat="false" ht="15" hidden="false" customHeight="true" outlineLevel="0" collapsed="false">
      <c r="A5574" s="114" t="n">
        <v>7117440.01</v>
      </c>
      <c r="B5574" s="114" t="n">
        <v>7118720</v>
      </c>
      <c r="C5574" s="114" t="n">
        <v>159678.140000015</v>
      </c>
    </row>
    <row r="5575" customFormat="false" ht="15" hidden="false" customHeight="true" outlineLevel="0" collapsed="false">
      <c r="A5575" s="115" t="n">
        <v>7118720.01</v>
      </c>
      <c r="B5575" s="115" t="n">
        <v>7120000</v>
      </c>
      <c r="C5575" s="115" t="n">
        <v>159706.800000015</v>
      </c>
    </row>
    <row r="5576" customFormat="false" ht="15" hidden="false" customHeight="true" outlineLevel="0" collapsed="false">
      <c r="A5576" s="114" t="n">
        <v>7120000.01</v>
      </c>
      <c r="B5576" s="114" t="n">
        <v>7121280</v>
      </c>
      <c r="C5576" s="114" t="n">
        <v>159735.460000015</v>
      </c>
    </row>
    <row r="5577" customFormat="false" ht="15" hidden="false" customHeight="true" outlineLevel="0" collapsed="false">
      <c r="A5577" s="115" t="n">
        <v>7121280.01</v>
      </c>
      <c r="B5577" s="115" t="n">
        <v>7122560</v>
      </c>
      <c r="C5577" s="115" t="n">
        <v>159764.120000015</v>
      </c>
    </row>
    <row r="5578" customFormat="false" ht="15" hidden="false" customHeight="true" outlineLevel="0" collapsed="false">
      <c r="A5578" s="114" t="n">
        <v>7122560.01</v>
      </c>
      <c r="B5578" s="114" t="n">
        <v>7123840</v>
      </c>
      <c r="C5578" s="114" t="n">
        <v>159792.780000015</v>
      </c>
    </row>
    <row r="5579" customFormat="false" ht="15" hidden="false" customHeight="true" outlineLevel="0" collapsed="false">
      <c r="A5579" s="115" t="n">
        <v>7123840.01</v>
      </c>
      <c r="B5579" s="115" t="n">
        <v>7125120</v>
      </c>
      <c r="C5579" s="115" t="n">
        <v>159821.440000015</v>
      </c>
    </row>
    <row r="5580" customFormat="false" ht="15" hidden="false" customHeight="true" outlineLevel="0" collapsed="false">
      <c r="A5580" s="114" t="n">
        <v>7125120.01</v>
      </c>
      <c r="B5580" s="114" t="n">
        <v>7126400</v>
      </c>
      <c r="C5580" s="114" t="n">
        <v>159850.100000015</v>
      </c>
    </row>
    <row r="5581" customFormat="false" ht="15" hidden="false" customHeight="true" outlineLevel="0" collapsed="false">
      <c r="A5581" s="115" t="n">
        <v>7126400.01</v>
      </c>
      <c r="B5581" s="115" t="n">
        <v>7127680</v>
      </c>
      <c r="C5581" s="115" t="n">
        <v>159878.760000015</v>
      </c>
    </row>
    <row r="5582" customFormat="false" ht="15" hidden="false" customHeight="true" outlineLevel="0" collapsed="false">
      <c r="A5582" s="114" t="n">
        <v>7127680.01</v>
      </c>
      <c r="B5582" s="114" t="n">
        <v>7128960</v>
      </c>
      <c r="C5582" s="114" t="n">
        <v>159907.420000015</v>
      </c>
    </row>
    <row r="5583" customFormat="false" ht="15" hidden="false" customHeight="true" outlineLevel="0" collapsed="false">
      <c r="A5583" s="115" t="n">
        <v>7128960.01</v>
      </c>
      <c r="B5583" s="115" t="n">
        <v>7130240</v>
      </c>
      <c r="C5583" s="115" t="n">
        <v>159936.080000015</v>
      </c>
    </row>
    <row r="5584" customFormat="false" ht="15" hidden="false" customHeight="true" outlineLevel="0" collapsed="false">
      <c r="A5584" s="114" t="n">
        <v>7130240.01</v>
      </c>
      <c r="B5584" s="114" t="n">
        <v>7131520</v>
      </c>
      <c r="C5584" s="114" t="n">
        <v>159964.740000015</v>
      </c>
    </row>
    <row r="5585" customFormat="false" ht="15" hidden="false" customHeight="true" outlineLevel="0" collapsed="false">
      <c r="A5585" s="115" t="n">
        <v>7131520.01</v>
      </c>
      <c r="B5585" s="115" t="n">
        <v>7132800</v>
      </c>
      <c r="C5585" s="115" t="n">
        <v>159993.400000015</v>
      </c>
    </row>
    <row r="5586" customFormat="false" ht="15" hidden="false" customHeight="true" outlineLevel="0" collapsed="false">
      <c r="A5586" s="114" t="n">
        <v>7132800.01</v>
      </c>
      <c r="B5586" s="114" t="n">
        <v>7134080</v>
      </c>
      <c r="C5586" s="114" t="n">
        <v>160022.060000015</v>
      </c>
    </row>
    <row r="5587" customFormat="false" ht="15" hidden="false" customHeight="true" outlineLevel="0" collapsed="false">
      <c r="A5587" s="115" t="n">
        <v>7134080.01</v>
      </c>
      <c r="B5587" s="115" t="n">
        <v>7135360</v>
      </c>
      <c r="C5587" s="115" t="n">
        <v>160050.720000015</v>
      </c>
    </row>
    <row r="5588" customFormat="false" ht="15" hidden="false" customHeight="true" outlineLevel="0" collapsed="false">
      <c r="A5588" s="114" t="n">
        <v>7135360.01</v>
      </c>
      <c r="B5588" s="114" t="n">
        <v>7136640</v>
      </c>
      <c r="C5588" s="114" t="n">
        <v>160079.380000015</v>
      </c>
    </row>
    <row r="5589" customFormat="false" ht="15" hidden="false" customHeight="true" outlineLevel="0" collapsed="false">
      <c r="A5589" s="115" t="n">
        <v>7136640.01</v>
      </c>
      <c r="B5589" s="115" t="n">
        <v>7137920</v>
      </c>
      <c r="C5589" s="115" t="n">
        <v>160108.040000015</v>
      </c>
    </row>
    <row r="5590" customFormat="false" ht="15" hidden="false" customHeight="true" outlineLevel="0" collapsed="false">
      <c r="A5590" s="114" t="n">
        <v>7137920.01</v>
      </c>
      <c r="B5590" s="114" t="n">
        <v>7139200</v>
      </c>
      <c r="C5590" s="114" t="n">
        <v>160136.700000015</v>
      </c>
    </row>
    <row r="5591" customFormat="false" ht="15" hidden="false" customHeight="true" outlineLevel="0" collapsed="false">
      <c r="A5591" s="115" t="n">
        <v>7139200.01</v>
      </c>
      <c r="B5591" s="115" t="n">
        <v>7140480</v>
      </c>
      <c r="C5591" s="115" t="n">
        <v>160165.360000015</v>
      </c>
    </row>
    <row r="5592" customFormat="false" ht="15" hidden="false" customHeight="true" outlineLevel="0" collapsed="false">
      <c r="A5592" s="114" t="n">
        <v>7140480.01</v>
      </c>
      <c r="B5592" s="114" t="n">
        <v>7141760</v>
      </c>
      <c r="C5592" s="114" t="n">
        <v>160194.020000015</v>
      </c>
    </row>
    <row r="5593" customFormat="false" ht="15" hidden="false" customHeight="true" outlineLevel="0" collapsed="false">
      <c r="A5593" s="115" t="n">
        <v>7141760.01</v>
      </c>
      <c r="B5593" s="115" t="n">
        <v>7143040</v>
      </c>
      <c r="C5593" s="115" t="n">
        <v>160222.680000015</v>
      </c>
    </row>
    <row r="5594" customFormat="false" ht="15" hidden="false" customHeight="true" outlineLevel="0" collapsed="false">
      <c r="A5594" s="114" t="n">
        <v>7143040.01</v>
      </c>
      <c r="B5594" s="114" t="n">
        <v>7144320</v>
      </c>
      <c r="C5594" s="114" t="n">
        <v>160251.340000015</v>
      </c>
    </row>
    <row r="5595" customFormat="false" ht="15" hidden="false" customHeight="true" outlineLevel="0" collapsed="false">
      <c r="A5595" s="115" t="n">
        <v>7144320.01</v>
      </c>
      <c r="B5595" s="115" t="n">
        <v>7145600</v>
      </c>
      <c r="C5595" s="115" t="n">
        <v>160280.000000015</v>
      </c>
    </row>
    <row r="5596" customFormat="false" ht="15" hidden="false" customHeight="true" outlineLevel="0" collapsed="false">
      <c r="A5596" s="114" t="n">
        <v>7145600.01</v>
      </c>
      <c r="B5596" s="114" t="n">
        <v>7146880</v>
      </c>
      <c r="C5596" s="114" t="n">
        <v>160308.660000015</v>
      </c>
    </row>
    <row r="5597" customFormat="false" ht="15" hidden="false" customHeight="true" outlineLevel="0" collapsed="false">
      <c r="A5597" s="115" t="n">
        <v>7146880.01</v>
      </c>
      <c r="B5597" s="115" t="n">
        <v>7148160</v>
      </c>
      <c r="C5597" s="115" t="n">
        <v>160337.320000015</v>
      </c>
    </row>
    <row r="5598" customFormat="false" ht="15" hidden="false" customHeight="true" outlineLevel="0" collapsed="false">
      <c r="A5598" s="114" t="n">
        <v>7148160.01</v>
      </c>
      <c r="B5598" s="114" t="n">
        <v>7149440</v>
      </c>
      <c r="C5598" s="114" t="n">
        <v>160365.980000015</v>
      </c>
    </row>
    <row r="5599" customFormat="false" ht="15" hidden="false" customHeight="true" outlineLevel="0" collapsed="false">
      <c r="A5599" s="115" t="n">
        <v>7149440.01</v>
      </c>
      <c r="B5599" s="115" t="n">
        <v>7150720</v>
      </c>
      <c r="C5599" s="115" t="n">
        <v>160394.640000015</v>
      </c>
    </row>
    <row r="5600" customFormat="false" ht="15" hidden="false" customHeight="true" outlineLevel="0" collapsed="false">
      <c r="A5600" s="114" t="n">
        <v>7150720.01</v>
      </c>
      <c r="B5600" s="114" t="n">
        <v>7152000</v>
      </c>
      <c r="C5600" s="114" t="n">
        <v>160423.300000015</v>
      </c>
    </row>
    <row r="5601" customFormat="false" ht="15" hidden="false" customHeight="true" outlineLevel="0" collapsed="false">
      <c r="A5601" s="115" t="n">
        <v>7152000.01</v>
      </c>
      <c r="B5601" s="115" t="n">
        <v>7153280</v>
      </c>
      <c r="C5601" s="115" t="n">
        <v>160451.960000015</v>
      </c>
    </row>
    <row r="5602" customFormat="false" ht="15" hidden="false" customHeight="true" outlineLevel="0" collapsed="false">
      <c r="A5602" s="114" t="n">
        <v>7153280.01</v>
      </c>
      <c r="B5602" s="114" t="n">
        <v>7154560</v>
      </c>
      <c r="C5602" s="114" t="n">
        <v>160480.620000015</v>
      </c>
    </row>
    <row r="5603" customFormat="false" ht="15" hidden="false" customHeight="true" outlineLevel="0" collapsed="false">
      <c r="A5603" s="115" t="n">
        <v>7154560.01</v>
      </c>
      <c r="B5603" s="115" t="n">
        <v>7155840</v>
      </c>
      <c r="C5603" s="115" t="n">
        <v>160509.280000015</v>
      </c>
    </row>
    <row r="5604" customFormat="false" ht="15" hidden="false" customHeight="true" outlineLevel="0" collapsed="false">
      <c r="A5604" s="114" t="n">
        <v>7155840.01</v>
      </c>
      <c r="B5604" s="114" t="n">
        <v>7157120</v>
      </c>
      <c r="C5604" s="114" t="n">
        <v>160537.940000015</v>
      </c>
    </row>
    <row r="5605" customFormat="false" ht="15" hidden="false" customHeight="true" outlineLevel="0" collapsed="false">
      <c r="A5605" s="115" t="n">
        <v>7157120.01</v>
      </c>
      <c r="B5605" s="115" t="n">
        <v>7158400</v>
      </c>
      <c r="C5605" s="115" t="n">
        <v>160566.600000015</v>
      </c>
    </row>
    <row r="5606" customFormat="false" ht="15" hidden="false" customHeight="true" outlineLevel="0" collapsed="false">
      <c r="A5606" s="114" t="n">
        <v>7158400.01</v>
      </c>
      <c r="B5606" s="114" t="n">
        <v>7159680</v>
      </c>
      <c r="C5606" s="114" t="n">
        <v>160595.260000015</v>
      </c>
    </row>
    <row r="5607" customFormat="false" ht="15" hidden="false" customHeight="true" outlineLevel="0" collapsed="false">
      <c r="A5607" s="115" t="n">
        <v>7159680.01</v>
      </c>
      <c r="B5607" s="115" t="n">
        <v>7160960</v>
      </c>
      <c r="C5607" s="115" t="n">
        <v>160623.920000015</v>
      </c>
    </row>
    <row r="5608" customFormat="false" ht="15" hidden="false" customHeight="true" outlineLevel="0" collapsed="false">
      <c r="A5608" s="114" t="n">
        <v>7160960.01</v>
      </c>
      <c r="B5608" s="114" t="n">
        <v>7162240</v>
      </c>
      <c r="C5608" s="114" t="n">
        <v>160652.580000015</v>
      </c>
    </row>
    <row r="5609" customFormat="false" ht="15" hidden="false" customHeight="true" outlineLevel="0" collapsed="false">
      <c r="A5609" s="115" t="n">
        <v>7162240.01</v>
      </c>
      <c r="B5609" s="115" t="n">
        <v>7163520</v>
      </c>
      <c r="C5609" s="115" t="n">
        <v>160681.240000015</v>
      </c>
    </row>
    <row r="5610" customFormat="false" ht="15" hidden="false" customHeight="true" outlineLevel="0" collapsed="false">
      <c r="A5610" s="114" t="n">
        <v>7163520.01</v>
      </c>
      <c r="B5610" s="114" t="n">
        <v>7164800</v>
      </c>
      <c r="C5610" s="114" t="n">
        <v>160709.900000015</v>
      </c>
    </row>
    <row r="5611" customFormat="false" ht="15" hidden="false" customHeight="true" outlineLevel="0" collapsed="false">
      <c r="A5611" s="115" t="n">
        <v>7164800.01</v>
      </c>
      <c r="B5611" s="115" t="n">
        <v>7166080</v>
      </c>
      <c r="C5611" s="115" t="n">
        <v>160738.560000015</v>
      </c>
    </row>
    <row r="5612" customFormat="false" ht="15" hidden="false" customHeight="true" outlineLevel="0" collapsed="false">
      <c r="A5612" s="114" t="n">
        <v>7166080.01</v>
      </c>
      <c r="B5612" s="114" t="n">
        <v>7167360</v>
      </c>
      <c r="C5612" s="114" t="n">
        <v>160767.220000015</v>
      </c>
    </row>
    <row r="5613" customFormat="false" ht="15" hidden="false" customHeight="true" outlineLevel="0" collapsed="false">
      <c r="A5613" s="115" t="n">
        <v>7167360.01</v>
      </c>
      <c r="B5613" s="115" t="n">
        <v>7168640</v>
      </c>
      <c r="C5613" s="115" t="n">
        <v>160795.880000015</v>
      </c>
    </row>
    <row r="5614" customFormat="false" ht="15" hidden="false" customHeight="true" outlineLevel="0" collapsed="false">
      <c r="A5614" s="114" t="n">
        <v>7168640.01</v>
      </c>
      <c r="B5614" s="114" t="n">
        <v>7169920</v>
      </c>
      <c r="C5614" s="114" t="n">
        <v>160824.540000015</v>
      </c>
    </row>
    <row r="5615" customFormat="false" ht="15" hidden="false" customHeight="true" outlineLevel="0" collapsed="false">
      <c r="A5615" s="115" t="n">
        <v>7169920.01</v>
      </c>
      <c r="B5615" s="115" t="n">
        <v>7171200</v>
      </c>
      <c r="C5615" s="115" t="n">
        <v>160853.200000015</v>
      </c>
    </row>
    <row r="5616" customFormat="false" ht="15" hidden="false" customHeight="true" outlineLevel="0" collapsed="false">
      <c r="A5616" s="114" t="n">
        <v>7171200.01</v>
      </c>
      <c r="B5616" s="114" t="n">
        <v>7172480</v>
      </c>
      <c r="C5616" s="114" t="n">
        <v>160881.860000015</v>
      </c>
    </row>
    <row r="5617" customFormat="false" ht="15" hidden="false" customHeight="true" outlineLevel="0" collapsed="false">
      <c r="A5617" s="115" t="n">
        <v>7172480.01</v>
      </c>
      <c r="B5617" s="115" t="n">
        <v>7173760</v>
      </c>
      <c r="C5617" s="115" t="n">
        <v>160910.520000015</v>
      </c>
    </row>
    <row r="5618" customFormat="false" ht="15" hidden="false" customHeight="true" outlineLevel="0" collapsed="false">
      <c r="A5618" s="114" t="n">
        <v>7173760.01</v>
      </c>
      <c r="B5618" s="114" t="n">
        <v>7175040</v>
      </c>
      <c r="C5618" s="114" t="n">
        <v>160939.180000015</v>
      </c>
    </row>
    <row r="5619" customFormat="false" ht="15" hidden="false" customHeight="true" outlineLevel="0" collapsed="false">
      <c r="A5619" s="115" t="n">
        <v>7175040.01</v>
      </c>
      <c r="B5619" s="115" t="n">
        <v>7176320</v>
      </c>
      <c r="C5619" s="115" t="n">
        <v>160967.840000016</v>
      </c>
    </row>
    <row r="5620" customFormat="false" ht="15" hidden="false" customHeight="true" outlineLevel="0" collapsed="false">
      <c r="A5620" s="114" t="n">
        <v>7176320.01</v>
      </c>
      <c r="B5620" s="114" t="n">
        <v>7177600</v>
      </c>
      <c r="C5620" s="114" t="n">
        <v>160996.500000016</v>
      </c>
    </row>
    <row r="5621" customFormat="false" ht="15" hidden="false" customHeight="true" outlineLevel="0" collapsed="false">
      <c r="A5621" s="115" t="n">
        <v>7177600.01</v>
      </c>
      <c r="B5621" s="115" t="n">
        <v>7178880</v>
      </c>
      <c r="C5621" s="115" t="n">
        <v>161025.160000016</v>
      </c>
    </row>
    <row r="5622" customFormat="false" ht="15" hidden="false" customHeight="true" outlineLevel="0" collapsed="false">
      <c r="A5622" s="114" t="n">
        <v>7178880.01</v>
      </c>
      <c r="B5622" s="114" t="n">
        <v>7180160</v>
      </c>
      <c r="C5622" s="114" t="n">
        <v>161053.820000016</v>
      </c>
    </row>
    <row r="5623" customFormat="false" ht="15" hidden="false" customHeight="true" outlineLevel="0" collapsed="false">
      <c r="A5623" s="115" t="n">
        <v>7180160.01</v>
      </c>
      <c r="B5623" s="115" t="n">
        <v>7181440</v>
      </c>
      <c r="C5623" s="115" t="n">
        <v>161082.480000016</v>
      </c>
    </row>
    <row r="5624" customFormat="false" ht="15" hidden="false" customHeight="true" outlineLevel="0" collapsed="false">
      <c r="A5624" s="114" t="n">
        <v>7181440.01</v>
      </c>
      <c r="B5624" s="114" t="n">
        <v>7182720</v>
      </c>
      <c r="C5624" s="114" t="n">
        <v>161111.140000016</v>
      </c>
    </row>
    <row r="5625" customFormat="false" ht="15" hidden="false" customHeight="true" outlineLevel="0" collapsed="false">
      <c r="A5625" s="115" t="n">
        <v>7182720.01</v>
      </c>
      <c r="B5625" s="115" t="n">
        <v>7184000</v>
      </c>
      <c r="C5625" s="115" t="n">
        <v>161139.800000016</v>
      </c>
    </row>
    <row r="5626" customFormat="false" ht="15" hidden="false" customHeight="true" outlineLevel="0" collapsed="false">
      <c r="A5626" s="114" t="n">
        <v>7184000.01</v>
      </c>
      <c r="B5626" s="114" t="n">
        <v>7185280</v>
      </c>
      <c r="C5626" s="114" t="n">
        <v>161168.460000016</v>
      </c>
    </row>
    <row r="5627" customFormat="false" ht="15" hidden="false" customHeight="true" outlineLevel="0" collapsed="false">
      <c r="A5627" s="115" t="n">
        <v>7185280.01</v>
      </c>
      <c r="B5627" s="115" t="n">
        <v>7186560</v>
      </c>
      <c r="C5627" s="115" t="n">
        <v>161197.120000016</v>
      </c>
    </row>
    <row r="5628" customFormat="false" ht="15" hidden="false" customHeight="true" outlineLevel="0" collapsed="false">
      <c r="A5628" s="114" t="n">
        <v>7186560.01</v>
      </c>
      <c r="B5628" s="114" t="n">
        <v>7187840</v>
      </c>
      <c r="C5628" s="114" t="n">
        <v>161225.780000016</v>
      </c>
    </row>
    <row r="5629" customFormat="false" ht="15" hidden="false" customHeight="true" outlineLevel="0" collapsed="false">
      <c r="A5629" s="115" t="n">
        <v>7187840.01</v>
      </c>
      <c r="B5629" s="115" t="n">
        <v>7189120</v>
      </c>
      <c r="C5629" s="115" t="n">
        <v>161254.440000016</v>
      </c>
    </row>
    <row r="5630" customFormat="false" ht="15" hidden="false" customHeight="true" outlineLevel="0" collapsed="false">
      <c r="A5630" s="114" t="n">
        <v>7189120.01</v>
      </c>
      <c r="B5630" s="114" t="n">
        <v>7190400</v>
      </c>
      <c r="C5630" s="114" t="n">
        <v>161283.100000016</v>
      </c>
    </row>
    <row r="5631" customFormat="false" ht="15" hidden="false" customHeight="true" outlineLevel="0" collapsed="false">
      <c r="A5631" s="115" t="n">
        <v>7190400.01</v>
      </c>
      <c r="B5631" s="115" t="n">
        <v>7191680</v>
      </c>
      <c r="C5631" s="115" t="n">
        <v>161311.760000016</v>
      </c>
    </row>
    <row r="5632" customFormat="false" ht="15" hidden="false" customHeight="true" outlineLevel="0" collapsed="false">
      <c r="A5632" s="114" t="n">
        <v>7191680.01</v>
      </c>
      <c r="B5632" s="114" t="n">
        <v>7192960</v>
      </c>
      <c r="C5632" s="114" t="n">
        <v>161340.420000016</v>
      </c>
    </row>
    <row r="5633" customFormat="false" ht="15" hidden="false" customHeight="true" outlineLevel="0" collapsed="false">
      <c r="A5633" s="115" t="n">
        <v>7192960.01</v>
      </c>
      <c r="B5633" s="115" t="n">
        <v>7194240</v>
      </c>
      <c r="C5633" s="115" t="n">
        <v>161369.080000016</v>
      </c>
    </row>
    <row r="5634" customFormat="false" ht="15" hidden="false" customHeight="true" outlineLevel="0" collapsed="false">
      <c r="A5634" s="114" t="n">
        <v>7194240.01</v>
      </c>
      <c r="B5634" s="114" t="n">
        <v>7195520</v>
      </c>
      <c r="C5634" s="114" t="n">
        <v>161397.740000016</v>
      </c>
    </row>
    <row r="5635" customFormat="false" ht="15" hidden="false" customHeight="true" outlineLevel="0" collapsed="false">
      <c r="A5635" s="115" t="n">
        <v>7195520.01</v>
      </c>
      <c r="B5635" s="115" t="n">
        <v>7196800</v>
      </c>
      <c r="C5635" s="115" t="n">
        <v>161426.400000016</v>
      </c>
    </row>
    <row r="5636" customFormat="false" ht="15" hidden="false" customHeight="true" outlineLevel="0" collapsed="false">
      <c r="A5636" s="114" t="n">
        <v>7196800.01</v>
      </c>
      <c r="B5636" s="114" t="n">
        <v>7198080</v>
      </c>
      <c r="C5636" s="114" t="n">
        <v>161455.060000016</v>
      </c>
    </row>
    <row r="5637" customFormat="false" ht="15" hidden="false" customHeight="true" outlineLevel="0" collapsed="false">
      <c r="A5637" s="115" t="n">
        <v>7198080.01</v>
      </c>
      <c r="B5637" s="115" t="n">
        <v>7199360</v>
      </c>
      <c r="C5637" s="115" t="n">
        <v>161483.720000016</v>
      </c>
    </row>
    <row r="5638" customFormat="false" ht="15" hidden="false" customHeight="true" outlineLevel="0" collapsed="false">
      <c r="A5638" s="114" t="n">
        <v>7199360.01</v>
      </c>
      <c r="B5638" s="114" t="n">
        <v>7200640</v>
      </c>
      <c r="C5638" s="114" t="n">
        <v>161512.380000016</v>
      </c>
    </row>
    <row r="5639" customFormat="false" ht="15" hidden="false" customHeight="true" outlineLevel="0" collapsed="false">
      <c r="A5639" s="115" t="n">
        <v>7200640.01</v>
      </c>
      <c r="B5639" s="115" t="n">
        <v>7201920</v>
      </c>
      <c r="C5639" s="115" t="n">
        <v>161541.040000016</v>
      </c>
    </row>
    <row r="5640" customFormat="false" ht="15" hidden="false" customHeight="true" outlineLevel="0" collapsed="false">
      <c r="A5640" s="114" t="n">
        <v>7201920.01</v>
      </c>
      <c r="B5640" s="114" t="n">
        <v>7203200</v>
      </c>
      <c r="C5640" s="114" t="n">
        <v>161569.700000016</v>
      </c>
    </row>
    <row r="5641" customFormat="false" ht="15" hidden="false" customHeight="true" outlineLevel="0" collapsed="false">
      <c r="A5641" s="115" t="n">
        <v>7203200.01</v>
      </c>
      <c r="B5641" s="115" t="n">
        <v>7204480</v>
      </c>
      <c r="C5641" s="115" t="n">
        <v>161598.360000016</v>
      </c>
    </row>
    <row r="5642" customFormat="false" ht="15" hidden="false" customHeight="true" outlineLevel="0" collapsed="false">
      <c r="A5642" s="114" t="n">
        <v>7204480.01</v>
      </c>
      <c r="B5642" s="114" t="n">
        <v>7205760</v>
      </c>
      <c r="C5642" s="114" t="n">
        <v>161627.020000016</v>
      </c>
    </row>
    <row r="5643" customFormat="false" ht="15" hidden="false" customHeight="true" outlineLevel="0" collapsed="false">
      <c r="A5643" s="115" t="n">
        <v>7205760.01</v>
      </c>
      <c r="B5643" s="115" t="n">
        <v>7207040</v>
      </c>
      <c r="C5643" s="115" t="n">
        <v>161655.680000016</v>
      </c>
    </row>
    <row r="5644" customFormat="false" ht="15" hidden="false" customHeight="true" outlineLevel="0" collapsed="false">
      <c r="A5644" s="114" t="n">
        <v>7207040.01</v>
      </c>
      <c r="B5644" s="114" t="n">
        <v>7208320</v>
      </c>
      <c r="C5644" s="114" t="n">
        <v>161684.340000016</v>
      </c>
    </row>
    <row r="5645" customFormat="false" ht="15" hidden="false" customHeight="true" outlineLevel="0" collapsed="false">
      <c r="A5645" s="115" t="n">
        <v>7208320.01</v>
      </c>
      <c r="B5645" s="115" t="n">
        <v>7209600</v>
      </c>
      <c r="C5645" s="115" t="n">
        <v>161713.000000016</v>
      </c>
    </row>
    <row r="5646" customFormat="false" ht="15" hidden="false" customHeight="true" outlineLevel="0" collapsed="false">
      <c r="A5646" s="114" t="n">
        <v>7209600.01</v>
      </c>
      <c r="B5646" s="114" t="n">
        <v>7210880</v>
      </c>
      <c r="C5646" s="114" t="n">
        <v>161741.660000016</v>
      </c>
    </row>
    <row r="5647" customFormat="false" ht="15" hidden="false" customHeight="true" outlineLevel="0" collapsed="false">
      <c r="A5647" s="115" t="n">
        <v>7210880.01</v>
      </c>
      <c r="B5647" s="115" t="n">
        <v>7212160</v>
      </c>
      <c r="C5647" s="115" t="n">
        <v>161770.320000016</v>
      </c>
    </row>
    <row r="5648" customFormat="false" ht="15" hidden="false" customHeight="true" outlineLevel="0" collapsed="false">
      <c r="A5648" s="114" t="n">
        <v>7212160.01</v>
      </c>
      <c r="B5648" s="114" t="n">
        <v>7213440</v>
      </c>
      <c r="C5648" s="114" t="n">
        <v>161798.980000016</v>
      </c>
    </row>
    <row r="5649" customFormat="false" ht="15" hidden="false" customHeight="true" outlineLevel="0" collapsed="false">
      <c r="A5649" s="115" t="n">
        <v>7213440.01</v>
      </c>
      <c r="B5649" s="115" t="n">
        <v>7214720</v>
      </c>
      <c r="C5649" s="115" t="n">
        <v>161827.640000016</v>
      </c>
    </row>
    <row r="5650" customFormat="false" ht="15" hidden="false" customHeight="true" outlineLevel="0" collapsed="false">
      <c r="A5650" s="114" t="n">
        <v>7214720.01</v>
      </c>
      <c r="B5650" s="114" t="n">
        <v>7216000</v>
      </c>
      <c r="C5650" s="114" t="n">
        <v>161856.300000016</v>
      </c>
    </row>
    <row r="5651" customFormat="false" ht="15" hidden="false" customHeight="true" outlineLevel="0" collapsed="false">
      <c r="A5651" s="115" t="n">
        <v>7216000.01</v>
      </c>
      <c r="B5651" s="115" t="n">
        <v>7217280</v>
      </c>
      <c r="C5651" s="115" t="n">
        <v>161884.960000016</v>
      </c>
    </row>
    <row r="5652" customFormat="false" ht="15" hidden="false" customHeight="true" outlineLevel="0" collapsed="false">
      <c r="A5652" s="114" t="n">
        <v>7217280.01</v>
      </c>
      <c r="B5652" s="114" t="n">
        <v>7218560</v>
      </c>
      <c r="C5652" s="114" t="n">
        <v>161913.620000016</v>
      </c>
    </row>
    <row r="5653" customFormat="false" ht="15" hidden="false" customHeight="true" outlineLevel="0" collapsed="false">
      <c r="A5653" s="115" t="n">
        <v>7218560.01</v>
      </c>
      <c r="B5653" s="115" t="n">
        <v>7219840</v>
      </c>
      <c r="C5653" s="115" t="n">
        <v>161942.280000016</v>
      </c>
    </row>
    <row r="5654" customFormat="false" ht="15" hidden="false" customHeight="true" outlineLevel="0" collapsed="false">
      <c r="A5654" s="114" t="n">
        <v>7219840.01</v>
      </c>
      <c r="B5654" s="114" t="n">
        <v>7221120</v>
      </c>
      <c r="C5654" s="114" t="n">
        <v>161970.940000016</v>
      </c>
    </row>
    <row r="5655" customFormat="false" ht="15" hidden="false" customHeight="true" outlineLevel="0" collapsed="false">
      <c r="A5655" s="115" t="n">
        <v>7221120.01</v>
      </c>
      <c r="B5655" s="115" t="n">
        <v>7222400</v>
      </c>
      <c r="C5655" s="115" t="n">
        <v>161999.600000016</v>
      </c>
    </row>
    <row r="5656" customFormat="false" ht="15" hidden="false" customHeight="true" outlineLevel="0" collapsed="false">
      <c r="A5656" s="114" t="n">
        <v>7222400.01</v>
      </c>
      <c r="B5656" s="114" t="n">
        <v>7223680</v>
      </c>
      <c r="C5656" s="114" t="n">
        <v>162028.260000016</v>
      </c>
    </row>
    <row r="5657" customFormat="false" ht="15" hidden="false" customHeight="true" outlineLevel="0" collapsed="false">
      <c r="A5657" s="115" t="n">
        <v>7223680.01</v>
      </c>
      <c r="B5657" s="115" t="n">
        <v>7224960</v>
      </c>
      <c r="C5657" s="115" t="n">
        <v>162056.920000016</v>
      </c>
    </row>
    <row r="5658" customFormat="false" ht="15" hidden="false" customHeight="true" outlineLevel="0" collapsed="false">
      <c r="A5658" s="114" t="n">
        <v>7224960.01</v>
      </c>
      <c r="B5658" s="114" t="n">
        <v>7226240</v>
      </c>
      <c r="C5658" s="114" t="n">
        <v>162085.580000016</v>
      </c>
    </row>
    <row r="5659" customFormat="false" ht="15" hidden="false" customHeight="true" outlineLevel="0" collapsed="false">
      <c r="A5659" s="115" t="n">
        <v>7226240.01</v>
      </c>
      <c r="B5659" s="115" t="n">
        <v>7227520</v>
      </c>
      <c r="C5659" s="115" t="n">
        <v>162114.240000016</v>
      </c>
    </row>
    <row r="5660" customFormat="false" ht="15" hidden="false" customHeight="true" outlineLevel="0" collapsed="false">
      <c r="A5660" s="114" t="n">
        <v>7227520.01</v>
      </c>
      <c r="B5660" s="114" t="n">
        <v>7228800</v>
      </c>
      <c r="C5660" s="114" t="n">
        <v>162142.900000016</v>
      </c>
    </row>
    <row r="5661" customFormat="false" ht="15" hidden="false" customHeight="true" outlineLevel="0" collapsed="false">
      <c r="A5661" s="115" t="n">
        <v>7228800.01</v>
      </c>
      <c r="B5661" s="115" t="n">
        <v>7230080</v>
      </c>
      <c r="C5661" s="115" t="n">
        <v>162171.560000016</v>
      </c>
    </row>
    <row r="5662" customFormat="false" ht="15" hidden="false" customHeight="true" outlineLevel="0" collapsed="false">
      <c r="A5662" s="114" t="n">
        <v>7230080.01</v>
      </c>
      <c r="B5662" s="114" t="n">
        <v>7231360</v>
      </c>
      <c r="C5662" s="114" t="n">
        <v>162200.220000016</v>
      </c>
    </row>
    <row r="5663" customFormat="false" ht="15" hidden="false" customHeight="true" outlineLevel="0" collapsed="false">
      <c r="A5663" s="115" t="n">
        <v>7231360.01</v>
      </c>
      <c r="B5663" s="115" t="n">
        <v>7232640</v>
      </c>
      <c r="C5663" s="115" t="n">
        <v>162228.880000016</v>
      </c>
    </row>
    <row r="5664" customFormat="false" ht="15" hidden="false" customHeight="true" outlineLevel="0" collapsed="false">
      <c r="A5664" s="114" t="n">
        <v>7232640.01</v>
      </c>
      <c r="B5664" s="114" t="n">
        <v>7233920</v>
      </c>
      <c r="C5664" s="114" t="n">
        <v>162257.540000016</v>
      </c>
    </row>
    <row r="5665" customFormat="false" ht="15" hidden="false" customHeight="true" outlineLevel="0" collapsed="false">
      <c r="A5665" s="115" t="n">
        <v>7233920.01</v>
      </c>
      <c r="B5665" s="115" t="n">
        <v>7235200</v>
      </c>
      <c r="C5665" s="115" t="n">
        <v>162286.200000016</v>
      </c>
    </row>
    <row r="5666" customFormat="false" ht="15" hidden="false" customHeight="true" outlineLevel="0" collapsed="false">
      <c r="A5666" s="114" t="n">
        <v>7235200.01</v>
      </c>
      <c r="B5666" s="114" t="n">
        <v>7236480</v>
      </c>
      <c r="C5666" s="114" t="n">
        <v>162314.860000016</v>
      </c>
    </row>
    <row r="5667" customFormat="false" ht="15" hidden="false" customHeight="true" outlineLevel="0" collapsed="false">
      <c r="A5667" s="115" t="n">
        <v>7236480.01</v>
      </c>
      <c r="B5667" s="115" t="n">
        <v>7237760</v>
      </c>
      <c r="C5667" s="115" t="n">
        <v>162343.520000016</v>
      </c>
    </row>
    <row r="5668" customFormat="false" ht="15" hidden="false" customHeight="true" outlineLevel="0" collapsed="false">
      <c r="A5668" s="114" t="n">
        <v>7237760.01</v>
      </c>
      <c r="B5668" s="114" t="n">
        <v>7239040</v>
      </c>
      <c r="C5668" s="114" t="n">
        <v>162372.180000016</v>
      </c>
    </row>
    <row r="5669" customFormat="false" ht="15" hidden="false" customHeight="true" outlineLevel="0" collapsed="false">
      <c r="A5669" s="115" t="n">
        <v>7239040.01</v>
      </c>
      <c r="B5669" s="115" t="n">
        <v>7240320</v>
      </c>
      <c r="C5669" s="115" t="n">
        <v>162400.840000016</v>
      </c>
    </row>
    <row r="5670" customFormat="false" ht="15" hidden="false" customHeight="true" outlineLevel="0" collapsed="false">
      <c r="A5670" s="114" t="n">
        <v>7240320.01</v>
      </c>
      <c r="B5670" s="114" t="n">
        <v>7241600</v>
      </c>
      <c r="C5670" s="114" t="n">
        <v>162429.500000016</v>
      </c>
    </row>
    <row r="5671" customFormat="false" ht="15" hidden="false" customHeight="true" outlineLevel="0" collapsed="false">
      <c r="A5671" s="115" t="n">
        <v>7241600.01</v>
      </c>
      <c r="B5671" s="115" t="n">
        <v>7242880</v>
      </c>
      <c r="C5671" s="115" t="n">
        <v>162458.160000016</v>
      </c>
    </row>
    <row r="5672" customFormat="false" ht="15" hidden="false" customHeight="true" outlineLevel="0" collapsed="false">
      <c r="A5672" s="114" t="n">
        <v>7242880.01</v>
      </c>
      <c r="B5672" s="114" t="n">
        <v>7244160</v>
      </c>
      <c r="C5672" s="114" t="n">
        <v>162486.820000016</v>
      </c>
    </row>
    <row r="5673" customFormat="false" ht="15" hidden="false" customHeight="true" outlineLevel="0" collapsed="false">
      <c r="A5673" s="115" t="n">
        <v>7244160.01</v>
      </c>
      <c r="B5673" s="115" t="n">
        <v>7245440</v>
      </c>
      <c r="C5673" s="115" t="n">
        <v>162515.480000016</v>
      </c>
    </row>
    <row r="5674" customFormat="false" ht="15" hidden="false" customHeight="true" outlineLevel="0" collapsed="false">
      <c r="A5674" s="114" t="n">
        <v>7245440.01</v>
      </c>
      <c r="B5674" s="114" t="n">
        <v>7246720</v>
      </c>
      <c r="C5674" s="114" t="n">
        <v>162544.140000016</v>
      </c>
    </row>
    <row r="5675" customFormat="false" ht="15" hidden="false" customHeight="true" outlineLevel="0" collapsed="false">
      <c r="A5675" s="115" t="n">
        <v>7246720.01</v>
      </c>
      <c r="B5675" s="115" t="n">
        <v>7248000</v>
      </c>
      <c r="C5675" s="115" t="n">
        <v>162572.800000016</v>
      </c>
    </row>
    <row r="5676" customFormat="false" ht="15" hidden="false" customHeight="true" outlineLevel="0" collapsed="false">
      <c r="A5676" s="114" t="n">
        <v>7248000.01</v>
      </c>
      <c r="B5676" s="114" t="n">
        <v>7249280</v>
      </c>
      <c r="C5676" s="114" t="n">
        <v>162601.460000016</v>
      </c>
    </row>
    <row r="5677" customFormat="false" ht="15" hidden="false" customHeight="true" outlineLevel="0" collapsed="false">
      <c r="A5677" s="115" t="n">
        <v>7249280.01</v>
      </c>
      <c r="B5677" s="115" t="n">
        <v>7250560</v>
      </c>
      <c r="C5677" s="115" t="n">
        <v>162630.120000016</v>
      </c>
    </row>
    <row r="5678" customFormat="false" ht="15" hidden="false" customHeight="true" outlineLevel="0" collapsed="false">
      <c r="A5678" s="114" t="n">
        <v>7250560.01</v>
      </c>
      <c r="B5678" s="114" t="n">
        <v>7251840</v>
      </c>
      <c r="C5678" s="114" t="n">
        <v>162658.780000016</v>
      </c>
    </row>
    <row r="5679" customFormat="false" ht="15" hidden="false" customHeight="true" outlineLevel="0" collapsed="false">
      <c r="A5679" s="115" t="n">
        <v>7251840.01</v>
      </c>
      <c r="B5679" s="115" t="n">
        <v>7253120</v>
      </c>
      <c r="C5679" s="115" t="n">
        <v>162687.440000016</v>
      </c>
    </row>
    <row r="5680" customFormat="false" ht="15" hidden="false" customHeight="true" outlineLevel="0" collapsed="false">
      <c r="A5680" s="114" t="n">
        <v>7253120.01</v>
      </c>
      <c r="B5680" s="114" t="n">
        <v>7254400</v>
      </c>
      <c r="C5680" s="114" t="n">
        <v>162716.100000016</v>
      </c>
    </row>
    <row r="5681" customFormat="false" ht="15" hidden="false" customHeight="true" outlineLevel="0" collapsed="false">
      <c r="A5681" s="115" t="n">
        <v>7254400.01</v>
      </c>
      <c r="B5681" s="115" t="n">
        <v>7255680</v>
      </c>
      <c r="C5681" s="115" t="n">
        <v>162744.760000016</v>
      </c>
    </row>
    <row r="5682" customFormat="false" ht="15" hidden="false" customHeight="true" outlineLevel="0" collapsed="false">
      <c r="A5682" s="114" t="n">
        <v>7255680.01</v>
      </c>
      <c r="B5682" s="114" t="n">
        <v>7256960</v>
      </c>
      <c r="C5682" s="114" t="n">
        <v>162773.420000016</v>
      </c>
    </row>
    <row r="5683" customFormat="false" ht="15" hidden="false" customHeight="true" outlineLevel="0" collapsed="false">
      <c r="A5683" s="115" t="n">
        <v>7256960.01</v>
      </c>
      <c r="B5683" s="115" t="n">
        <v>7258240</v>
      </c>
      <c r="C5683" s="115" t="n">
        <v>162802.080000016</v>
      </c>
    </row>
    <row r="5684" customFormat="false" ht="15" hidden="false" customHeight="true" outlineLevel="0" collapsed="false">
      <c r="A5684" s="114" t="n">
        <v>7258240.01</v>
      </c>
      <c r="B5684" s="114" t="n">
        <v>7259520</v>
      </c>
      <c r="C5684" s="114" t="n">
        <v>162830.740000016</v>
      </c>
    </row>
    <row r="5685" customFormat="false" ht="15" hidden="false" customHeight="true" outlineLevel="0" collapsed="false">
      <c r="A5685" s="115" t="n">
        <v>7259520.01</v>
      </c>
      <c r="B5685" s="115" t="n">
        <v>7260800</v>
      </c>
      <c r="C5685" s="115" t="n">
        <v>162859.400000016</v>
      </c>
    </row>
    <row r="5686" customFormat="false" ht="15" hidden="false" customHeight="true" outlineLevel="0" collapsed="false">
      <c r="A5686" s="114" t="n">
        <v>7260800.01</v>
      </c>
      <c r="B5686" s="114" t="n">
        <v>7262080</v>
      </c>
      <c r="C5686" s="114" t="n">
        <v>162888.060000016</v>
      </c>
    </row>
    <row r="5687" customFormat="false" ht="15" hidden="false" customHeight="true" outlineLevel="0" collapsed="false">
      <c r="A5687" s="115" t="n">
        <v>7262080.01</v>
      </c>
      <c r="B5687" s="115" t="n">
        <v>7263360</v>
      </c>
      <c r="C5687" s="115" t="n">
        <v>162916.720000016</v>
      </c>
    </row>
    <row r="5688" customFormat="false" ht="15" hidden="false" customHeight="true" outlineLevel="0" collapsed="false">
      <c r="A5688" s="114" t="n">
        <v>7263360.01</v>
      </c>
      <c r="B5688" s="114" t="n">
        <v>7264640</v>
      </c>
      <c r="C5688" s="114" t="n">
        <v>162945.380000016</v>
      </c>
    </row>
    <row r="5689" customFormat="false" ht="15" hidden="false" customHeight="true" outlineLevel="0" collapsed="false">
      <c r="A5689" s="115" t="n">
        <v>7264640.01</v>
      </c>
      <c r="B5689" s="115" t="n">
        <v>7265920</v>
      </c>
      <c r="C5689" s="115" t="n">
        <v>162974.040000016</v>
      </c>
    </row>
    <row r="5690" customFormat="false" ht="15" hidden="false" customHeight="true" outlineLevel="0" collapsed="false">
      <c r="A5690" s="114" t="n">
        <v>7265920.01</v>
      </c>
      <c r="B5690" s="114" t="n">
        <v>7267200</v>
      </c>
      <c r="C5690" s="114" t="n">
        <v>163002.700000016</v>
      </c>
    </row>
    <row r="5691" customFormat="false" ht="15" hidden="false" customHeight="true" outlineLevel="0" collapsed="false">
      <c r="A5691" s="115" t="n">
        <v>7267200.01</v>
      </c>
      <c r="B5691" s="115" t="n">
        <v>7268480</v>
      </c>
      <c r="C5691" s="115" t="n">
        <v>163031.360000016</v>
      </c>
    </row>
    <row r="5692" customFormat="false" ht="15" hidden="false" customHeight="true" outlineLevel="0" collapsed="false">
      <c r="A5692" s="114" t="n">
        <v>7268480.01</v>
      </c>
      <c r="B5692" s="114" t="n">
        <v>7269760</v>
      </c>
      <c r="C5692" s="114" t="n">
        <v>163060.020000016</v>
      </c>
    </row>
    <row r="5693" customFormat="false" ht="15" hidden="false" customHeight="true" outlineLevel="0" collapsed="false">
      <c r="A5693" s="115" t="n">
        <v>7269760.01</v>
      </c>
      <c r="B5693" s="115" t="n">
        <v>7271040</v>
      </c>
      <c r="C5693" s="115" t="n">
        <v>163088.680000016</v>
      </c>
    </row>
    <row r="5694" customFormat="false" ht="15" hidden="false" customHeight="true" outlineLevel="0" collapsed="false">
      <c r="A5694" s="114" t="n">
        <v>7271040.01</v>
      </c>
      <c r="B5694" s="114" t="n">
        <v>7272320</v>
      </c>
      <c r="C5694" s="114" t="n">
        <v>163117.340000016</v>
      </c>
    </row>
    <row r="5695" customFormat="false" ht="15" hidden="false" customHeight="true" outlineLevel="0" collapsed="false">
      <c r="A5695" s="115" t="n">
        <v>7272320.01</v>
      </c>
      <c r="B5695" s="115" t="n">
        <v>7273600</v>
      </c>
      <c r="C5695" s="115" t="n">
        <v>163146.000000016</v>
      </c>
    </row>
    <row r="5696" customFormat="false" ht="15" hidden="false" customHeight="true" outlineLevel="0" collapsed="false">
      <c r="A5696" s="114" t="n">
        <v>7273600.01</v>
      </c>
      <c r="B5696" s="114" t="n">
        <v>7274880</v>
      </c>
      <c r="C5696" s="114" t="n">
        <v>163174.660000016</v>
      </c>
    </row>
    <row r="5697" customFormat="false" ht="15" hidden="false" customHeight="true" outlineLevel="0" collapsed="false">
      <c r="A5697" s="115" t="n">
        <v>7274880.01</v>
      </c>
      <c r="B5697" s="115" t="n">
        <v>7276160</v>
      </c>
      <c r="C5697" s="115" t="n">
        <v>163203.320000016</v>
      </c>
    </row>
    <row r="5698" customFormat="false" ht="15" hidden="false" customHeight="true" outlineLevel="0" collapsed="false">
      <c r="A5698" s="114" t="n">
        <v>7276160.01</v>
      </c>
      <c r="B5698" s="114" t="n">
        <v>7277440</v>
      </c>
      <c r="C5698" s="114" t="n">
        <v>163231.980000016</v>
      </c>
    </row>
    <row r="5699" customFormat="false" ht="15" hidden="false" customHeight="true" outlineLevel="0" collapsed="false">
      <c r="A5699" s="115" t="n">
        <v>7277440.01</v>
      </c>
      <c r="B5699" s="115" t="n">
        <v>7278720</v>
      </c>
      <c r="C5699" s="115" t="n">
        <v>163260.640000016</v>
      </c>
    </row>
    <row r="5700" customFormat="false" ht="15" hidden="false" customHeight="true" outlineLevel="0" collapsed="false">
      <c r="A5700" s="114" t="n">
        <v>7278720.01</v>
      </c>
      <c r="B5700" s="114" t="n">
        <v>7280000</v>
      </c>
      <c r="C5700" s="114" t="n">
        <v>163289.300000016</v>
      </c>
    </row>
    <row r="5701" customFormat="false" ht="15" hidden="false" customHeight="true" outlineLevel="0" collapsed="false">
      <c r="A5701" s="115" t="n">
        <v>7280000.01</v>
      </c>
      <c r="B5701" s="115" t="n">
        <v>7281280</v>
      </c>
      <c r="C5701" s="115" t="n">
        <v>163317.960000016</v>
      </c>
    </row>
    <row r="5702" customFormat="false" ht="15" hidden="false" customHeight="true" outlineLevel="0" collapsed="false">
      <c r="A5702" s="114" t="n">
        <v>7281280.01</v>
      </c>
      <c r="B5702" s="114" t="n">
        <v>7282560</v>
      </c>
      <c r="C5702" s="114" t="n">
        <v>163346.620000016</v>
      </c>
    </row>
    <row r="5703" customFormat="false" ht="15" hidden="false" customHeight="true" outlineLevel="0" collapsed="false">
      <c r="A5703" s="115" t="n">
        <v>7282560.01</v>
      </c>
      <c r="B5703" s="115" t="n">
        <v>7283840</v>
      </c>
      <c r="C5703" s="115" t="n">
        <v>163375.280000016</v>
      </c>
    </row>
    <row r="5704" customFormat="false" ht="15" hidden="false" customHeight="true" outlineLevel="0" collapsed="false">
      <c r="A5704" s="114" t="n">
        <v>7283840.01</v>
      </c>
      <c r="B5704" s="114" t="n">
        <v>7285120</v>
      </c>
      <c r="C5704" s="114" t="n">
        <v>163403.940000016</v>
      </c>
    </row>
    <row r="5705" customFormat="false" ht="15" hidden="false" customHeight="true" outlineLevel="0" collapsed="false">
      <c r="A5705" s="115" t="n">
        <v>7285120.01</v>
      </c>
      <c r="B5705" s="115" t="n">
        <v>7286400</v>
      </c>
      <c r="C5705" s="115" t="n">
        <v>163432.600000016</v>
      </c>
    </row>
    <row r="5706" customFormat="false" ht="15" hidden="false" customHeight="true" outlineLevel="0" collapsed="false">
      <c r="A5706" s="114" t="n">
        <v>7286400.01</v>
      </c>
      <c r="B5706" s="114" t="n">
        <v>7287680</v>
      </c>
      <c r="C5706" s="114" t="n">
        <v>163461.260000016</v>
      </c>
    </row>
    <row r="5707" customFormat="false" ht="15" hidden="false" customHeight="true" outlineLevel="0" collapsed="false">
      <c r="A5707" s="115" t="n">
        <v>7287680.01</v>
      </c>
      <c r="B5707" s="115" t="n">
        <v>7288960</v>
      </c>
      <c r="C5707" s="115" t="n">
        <v>163489.920000016</v>
      </c>
    </row>
    <row r="5708" customFormat="false" ht="15" hidden="false" customHeight="true" outlineLevel="0" collapsed="false">
      <c r="A5708" s="114" t="n">
        <v>7288960.01</v>
      </c>
      <c r="B5708" s="114" t="n">
        <v>7290240</v>
      </c>
      <c r="C5708" s="114" t="n">
        <v>163518.580000016</v>
      </c>
    </row>
    <row r="5709" customFormat="false" ht="15" hidden="false" customHeight="true" outlineLevel="0" collapsed="false">
      <c r="A5709" s="115" t="n">
        <v>7290240.01</v>
      </c>
      <c r="B5709" s="115" t="n">
        <v>7291520</v>
      </c>
      <c r="C5709" s="115" t="n">
        <v>163547.240000016</v>
      </c>
    </row>
    <row r="5710" customFormat="false" ht="15" hidden="false" customHeight="true" outlineLevel="0" collapsed="false">
      <c r="A5710" s="114" t="n">
        <v>7291520.01</v>
      </c>
      <c r="B5710" s="114" t="n">
        <v>7292800</v>
      </c>
      <c r="C5710" s="114" t="n">
        <v>163575.900000016</v>
      </c>
    </row>
    <row r="5711" customFormat="false" ht="15" hidden="false" customHeight="true" outlineLevel="0" collapsed="false">
      <c r="A5711" s="115" t="n">
        <v>7292800.01</v>
      </c>
      <c r="B5711" s="115" t="n">
        <v>7294080</v>
      </c>
      <c r="C5711" s="115" t="n">
        <v>163604.560000016</v>
      </c>
    </row>
    <row r="5712" customFormat="false" ht="15" hidden="false" customHeight="true" outlineLevel="0" collapsed="false">
      <c r="A5712" s="114" t="n">
        <v>7294080.01</v>
      </c>
      <c r="B5712" s="114" t="n">
        <v>7295360</v>
      </c>
      <c r="C5712" s="114" t="n">
        <v>163633.220000016</v>
      </c>
    </row>
    <row r="5713" customFormat="false" ht="15" hidden="false" customHeight="true" outlineLevel="0" collapsed="false">
      <c r="A5713" s="115" t="n">
        <v>7295360.01</v>
      </c>
      <c r="B5713" s="115" t="n">
        <v>7296640</v>
      </c>
      <c r="C5713" s="115" t="n">
        <v>163661.880000016</v>
      </c>
    </row>
    <row r="5714" customFormat="false" ht="15" hidden="false" customHeight="true" outlineLevel="0" collapsed="false">
      <c r="A5714" s="114" t="n">
        <v>7296640.01</v>
      </c>
      <c r="B5714" s="114" t="n">
        <v>7297920</v>
      </c>
      <c r="C5714" s="114" t="n">
        <v>163690.540000016</v>
      </c>
    </row>
    <row r="5715" customFormat="false" ht="15" hidden="false" customHeight="true" outlineLevel="0" collapsed="false">
      <c r="A5715" s="115" t="n">
        <v>7297920.01</v>
      </c>
      <c r="B5715" s="115" t="n">
        <v>7299200</v>
      </c>
      <c r="C5715" s="115" t="n">
        <v>163719.200000016</v>
      </c>
    </row>
    <row r="5716" customFormat="false" ht="15" hidden="false" customHeight="true" outlineLevel="0" collapsed="false">
      <c r="A5716" s="114" t="n">
        <v>7299200.01</v>
      </c>
      <c r="B5716" s="114" t="n">
        <v>7300480</v>
      </c>
      <c r="C5716" s="114" t="n">
        <v>163747.860000016</v>
      </c>
    </row>
    <row r="5717" customFormat="false" ht="15" hidden="false" customHeight="true" outlineLevel="0" collapsed="false">
      <c r="A5717" s="115" t="n">
        <v>7300480.01</v>
      </c>
      <c r="B5717" s="115" t="n">
        <v>7301760</v>
      </c>
      <c r="C5717" s="115" t="n">
        <v>163776.520000016</v>
      </c>
    </row>
    <row r="5718" customFormat="false" ht="15" hidden="false" customHeight="true" outlineLevel="0" collapsed="false">
      <c r="A5718" s="114" t="n">
        <v>7301760.01</v>
      </c>
      <c r="B5718" s="114" t="n">
        <v>7303040</v>
      </c>
      <c r="C5718" s="114" t="n">
        <v>163805.180000016</v>
      </c>
    </row>
    <row r="5719" customFormat="false" ht="15" hidden="false" customHeight="true" outlineLevel="0" collapsed="false">
      <c r="A5719" s="115" t="n">
        <v>7303040.01</v>
      </c>
      <c r="B5719" s="115" t="n">
        <v>7304320</v>
      </c>
      <c r="C5719" s="115" t="n">
        <v>163833.840000016</v>
      </c>
    </row>
    <row r="5720" customFormat="false" ht="15" hidden="false" customHeight="true" outlineLevel="0" collapsed="false">
      <c r="A5720" s="114" t="n">
        <v>7304320.01</v>
      </c>
      <c r="B5720" s="114" t="n">
        <v>7305600</v>
      </c>
      <c r="C5720" s="114" t="n">
        <v>163862.500000016</v>
      </c>
    </row>
    <row r="5721" customFormat="false" ht="15" hidden="false" customHeight="true" outlineLevel="0" collapsed="false">
      <c r="A5721" s="115" t="n">
        <v>7305600.01</v>
      </c>
      <c r="B5721" s="115" t="n">
        <v>7306880</v>
      </c>
      <c r="C5721" s="115" t="n">
        <v>163891.160000016</v>
      </c>
    </row>
    <row r="5722" customFormat="false" ht="15" hidden="false" customHeight="true" outlineLevel="0" collapsed="false">
      <c r="A5722" s="114" t="n">
        <v>7306880.01</v>
      </c>
      <c r="B5722" s="114" t="n">
        <v>7308160</v>
      </c>
      <c r="C5722" s="114" t="n">
        <v>163919.820000016</v>
      </c>
    </row>
    <row r="5723" customFormat="false" ht="15" hidden="false" customHeight="true" outlineLevel="0" collapsed="false">
      <c r="A5723" s="115" t="n">
        <v>7308160.01</v>
      </c>
      <c r="B5723" s="115" t="n">
        <v>7309440</v>
      </c>
      <c r="C5723" s="115" t="n">
        <v>163948.480000016</v>
      </c>
    </row>
    <row r="5724" customFormat="false" ht="15" hidden="false" customHeight="true" outlineLevel="0" collapsed="false">
      <c r="A5724" s="114" t="n">
        <v>7309440.01</v>
      </c>
      <c r="B5724" s="114" t="n">
        <v>7310720</v>
      </c>
      <c r="C5724" s="114" t="n">
        <v>163977.140000016</v>
      </c>
    </row>
    <row r="5725" customFormat="false" ht="15" hidden="false" customHeight="true" outlineLevel="0" collapsed="false">
      <c r="A5725" s="115" t="n">
        <v>7310720.01</v>
      </c>
      <c r="B5725" s="115" t="n">
        <v>7312000</v>
      </c>
      <c r="C5725" s="115" t="n">
        <v>164005.800000016</v>
      </c>
    </row>
    <row r="5726" customFormat="false" ht="15" hidden="false" customHeight="true" outlineLevel="0" collapsed="false">
      <c r="A5726" s="114" t="n">
        <v>7312000.01</v>
      </c>
      <c r="B5726" s="114" t="n">
        <v>7313280</v>
      </c>
      <c r="C5726" s="114" t="n">
        <v>164034.460000016</v>
      </c>
    </row>
    <row r="5727" customFormat="false" ht="15" hidden="false" customHeight="true" outlineLevel="0" collapsed="false">
      <c r="A5727" s="115" t="n">
        <v>7313280.01</v>
      </c>
      <c r="B5727" s="115" t="n">
        <v>7314560</v>
      </c>
      <c r="C5727" s="115" t="n">
        <v>164063.120000016</v>
      </c>
    </row>
    <row r="5728" customFormat="false" ht="15" hidden="false" customHeight="true" outlineLevel="0" collapsed="false">
      <c r="A5728" s="114" t="n">
        <v>7314560.01</v>
      </c>
      <c r="B5728" s="114" t="n">
        <v>7315840</v>
      </c>
      <c r="C5728" s="114" t="n">
        <v>164091.780000016</v>
      </c>
    </row>
    <row r="5729" customFormat="false" ht="15" hidden="false" customHeight="true" outlineLevel="0" collapsed="false">
      <c r="A5729" s="115" t="n">
        <v>7315840.01</v>
      </c>
      <c r="B5729" s="115" t="n">
        <v>7317120</v>
      </c>
      <c r="C5729" s="115" t="n">
        <v>164120.440000016</v>
      </c>
    </row>
    <row r="5730" customFormat="false" ht="15" hidden="false" customHeight="true" outlineLevel="0" collapsed="false">
      <c r="A5730" s="114" t="n">
        <v>7317120.01</v>
      </c>
      <c r="B5730" s="114" t="n">
        <v>7318400</v>
      </c>
      <c r="C5730" s="114" t="n">
        <v>164149.100000016</v>
      </c>
    </row>
    <row r="5731" customFormat="false" ht="15" hidden="false" customHeight="true" outlineLevel="0" collapsed="false">
      <c r="A5731" s="115" t="n">
        <v>7318400.01</v>
      </c>
      <c r="B5731" s="115" t="n">
        <v>7319680</v>
      </c>
      <c r="C5731" s="115" t="n">
        <v>164177.760000016</v>
      </c>
    </row>
    <row r="5732" customFormat="false" ht="15" hidden="false" customHeight="true" outlineLevel="0" collapsed="false">
      <c r="A5732" s="114" t="n">
        <v>7319680.01</v>
      </c>
      <c r="B5732" s="114" t="n">
        <v>7320960</v>
      </c>
      <c r="C5732" s="114" t="n">
        <v>164206.420000016</v>
      </c>
    </row>
    <row r="5733" customFormat="false" ht="15" hidden="false" customHeight="true" outlineLevel="0" collapsed="false">
      <c r="A5733" s="115" t="n">
        <v>7320960.01</v>
      </c>
      <c r="B5733" s="115" t="n">
        <v>7322240</v>
      </c>
      <c r="C5733" s="115" t="n">
        <v>164235.080000016</v>
      </c>
    </row>
    <row r="5734" customFormat="false" ht="15" hidden="false" customHeight="true" outlineLevel="0" collapsed="false">
      <c r="A5734" s="114" t="n">
        <v>7322240.01</v>
      </c>
      <c r="B5734" s="114" t="n">
        <v>7323520</v>
      </c>
      <c r="C5734" s="114" t="n">
        <v>164263.740000016</v>
      </c>
    </row>
    <row r="5735" customFormat="false" ht="15" hidden="false" customHeight="true" outlineLevel="0" collapsed="false">
      <c r="A5735" s="115" t="n">
        <v>7323520.01</v>
      </c>
      <c r="B5735" s="115" t="n">
        <v>7324800</v>
      </c>
      <c r="C5735" s="115" t="n">
        <v>164292.400000016</v>
      </c>
    </row>
    <row r="5736" customFormat="false" ht="15" hidden="false" customHeight="true" outlineLevel="0" collapsed="false">
      <c r="A5736" s="114" t="n">
        <v>7324800.01</v>
      </c>
      <c r="B5736" s="114" t="n">
        <v>7326080</v>
      </c>
      <c r="C5736" s="114" t="n">
        <v>164321.060000016</v>
      </c>
    </row>
    <row r="5737" customFormat="false" ht="15" hidden="false" customHeight="true" outlineLevel="0" collapsed="false">
      <c r="A5737" s="115" t="n">
        <v>7326080.01</v>
      </c>
      <c r="B5737" s="115" t="n">
        <v>7327360</v>
      </c>
      <c r="C5737" s="115" t="n">
        <v>164349.720000016</v>
      </c>
    </row>
    <row r="5738" customFormat="false" ht="15" hidden="false" customHeight="true" outlineLevel="0" collapsed="false">
      <c r="A5738" s="114" t="n">
        <v>7327360.01</v>
      </c>
      <c r="B5738" s="114" t="n">
        <v>7328640</v>
      </c>
      <c r="C5738" s="114" t="n">
        <v>164378.380000016</v>
      </c>
    </row>
    <row r="5739" customFormat="false" ht="15" hidden="false" customHeight="true" outlineLevel="0" collapsed="false">
      <c r="A5739" s="115" t="n">
        <v>7328640.01</v>
      </c>
      <c r="B5739" s="115" t="n">
        <v>7329920</v>
      </c>
      <c r="C5739" s="115" t="n">
        <v>164407.040000016</v>
      </c>
    </row>
    <row r="5740" customFormat="false" ht="15" hidden="false" customHeight="true" outlineLevel="0" collapsed="false">
      <c r="A5740" s="114" t="n">
        <v>7329920.01</v>
      </c>
      <c r="B5740" s="114" t="n">
        <v>7331200</v>
      </c>
      <c r="C5740" s="114" t="n">
        <v>164435.700000016</v>
      </c>
    </row>
    <row r="5741" customFormat="false" ht="15" hidden="false" customHeight="true" outlineLevel="0" collapsed="false">
      <c r="A5741" s="115" t="n">
        <v>7331200.01</v>
      </c>
      <c r="B5741" s="115" t="n">
        <v>7332480</v>
      </c>
      <c r="C5741" s="115" t="n">
        <v>164464.360000016</v>
      </c>
    </row>
    <row r="5742" customFormat="false" ht="15" hidden="false" customHeight="true" outlineLevel="0" collapsed="false">
      <c r="A5742" s="114" t="n">
        <v>7332480.01</v>
      </c>
      <c r="B5742" s="114" t="n">
        <v>7333760</v>
      </c>
      <c r="C5742" s="114" t="n">
        <v>164493.020000016</v>
      </c>
    </row>
    <row r="5743" customFormat="false" ht="15" hidden="false" customHeight="true" outlineLevel="0" collapsed="false">
      <c r="A5743" s="115" t="n">
        <v>7333760.01</v>
      </c>
      <c r="B5743" s="115" t="n">
        <v>7335040</v>
      </c>
      <c r="C5743" s="115" t="n">
        <v>164521.680000016</v>
      </c>
    </row>
    <row r="5744" customFormat="false" ht="15" hidden="false" customHeight="true" outlineLevel="0" collapsed="false">
      <c r="A5744" s="114" t="n">
        <v>7335040.01</v>
      </c>
      <c r="B5744" s="114" t="n">
        <v>7336320</v>
      </c>
      <c r="C5744" s="114" t="n">
        <v>164550.340000016</v>
      </c>
    </row>
    <row r="5745" customFormat="false" ht="15" hidden="false" customHeight="true" outlineLevel="0" collapsed="false">
      <c r="A5745" s="115" t="n">
        <v>7336320.01</v>
      </c>
      <c r="B5745" s="115" t="n">
        <v>7337600</v>
      </c>
      <c r="C5745" s="115" t="n">
        <v>164579.000000016</v>
      </c>
    </row>
    <row r="5746" customFormat="false" ht="15" hidden="false" customHeight="true" outlineLevel="0" collapsed="false">
      <c r="A5746" s="114" t="n">
        <v>7337600.01</v>
      </c>
      <c r="B5746" s="114" t="n">
        <v>7338880</v>
      </c>
      <c r="C5746" s="114" t="n">
        <v>164607.660000016</v>
      </c>
    </row>
    <row r="5747" customFormat="false" ht="15" hidden="false" customHeight="true" outlineLevel="0" collapsed="false">
      <c r="A5747" s="115" t="n">
        <v>7338880.01</v>
      </c>
      <c r="B5747" s="115" t="n">
        <v>7340160</v>
      </c>
      <c r="C5747" s="115" t="n">
        <v>164636.320000016</v>
      </c>
    </row>
    <row r="5748" customFormat="false" ht="15" hidden="false" customHeight="true" outlineLevel="0" collapsed="false">
      <c r="A5748" s="114" t="n">
        <v>7340160.01</v>
      </c>
      <c r="B5748" s="114" t="n">
        <v>7341440</v>
      </c>
      <c r="C5748" s="114" t="n">
        <v>164664.980000016</v>
      </c>
    </row>
    <row r="5749" customFormat="false" ht="15" hidden="false" customHeight="true" outlineLevel="0" collapsed="false">
      <c r="A5749" s="115" t="n">
        <v>7341440.01</v>
      </c>
      <c r="B5749" s="115" t="n">
        <v>7342720</v>
      </c>
      <c r="C5749" s="115" t="n">
        <v>164693.640000016</v>
      </c>
    </row>
    <row r="5750" customFormat="false" ht="15" hidden="false" customHeight="true" outlineLevel="0" collapsed="false">
      <c r="A5750" s="114" t="n">
        <v>7342720.01</v>
      </c>
      <c r="B5750" s="114" t="n">
        <v>7344000</v>
      </c>
      <c r="C5750" s="114" t="n">
        <v>164722.300000016</v>
      </c>
    </row>
    <row r="5751" customFormat="false" ht="15" hidden="false" customHeight="true" outlineLevel="0" collapsed="false">
      <c r="A5751" s="115" t="n">
        <v>7344000.01</v>
      </c>
      <c r="B5751" s="115" t="n">
        <v>7345280</v>
      </c>
      <c r="C5751" s="115" t="n">
        <v>164750.960000016</v>
      </c>
    </row>
    <row r="5752" customFormat="false" ht="15" hidden="false" customHeight="true" outlineLevel="0" collapsed="false">
      <c r="A5752" s="114" t="n">
        <v>7345280.01</v>
      </c>
      <c r="B5752" s="114" t="n">
        <v>7346560</v>
      </c>
      <c r="C5752" s="114" t="n">
        <v>164779.620000016</v>
      </c>
    </row>
    <row r="5753" customFormat="false" ht="15" hidden="false" customHeight="true" outlineLevel="0" collapsed="false">
      <c r="A5753" s="115" t="n">
        <v>7346560.01</v>
      </c>
      <c r="B5753" s="115" t="n">
        <v>7347840</v>
      </c>
      <c r="C5753" s="115" t="n">
        <v>164808.280000016</v>
      </c>
    </row>
    <row r="5754" customFormat="false" ht="15" hidden="false" customHeight="true" outlineLevel="0" collapsed="false">
      <c r="A5754" s="114" t="n">
        <v>7347840.01</v>
      </c>
      <c r="B5754" s="114" t="n">
        <v>7349120</v>
      </c>
      <c r="C5754" s="114" t="n">
        <v>164836.940000016</v>
      </c>
    </row>
    <row r="5755" customFormat="false" ht="15" hidden="false" customHeight="true" outlineLevel="0" collapsed="false">
      <c r="A5755" s="115" t="n">
        <v>7349120.01</v>
      </c>
      <c r="B5755" s="115" t="n">
        <v>7350400</v>
      </c>
      <c r="C5755" s="115" t="n">
        <v>164865.600000016</v>
      </c>
    </row>
    <row r="5756" customFormat="false" ht="15" hidden="false" customHeight="true" outlineLevel="0" collapsed="false">
      <c r="A5756" s="114" t="n">
        <v>7350400.01</v>
      </c>
      <c r="B5756" s="114" t="n">
        <v>7351680</v>
      </c>
      <c r="C5756" s="114" t="n">
        <v>164894.260000016</v>
      </c>
    </row>
    <row r="5757" customFormat="false" ht="15" hidden="false" customHeight="true" outlineLevel="0" collapsed="false">
      <c r="A5757" s="115" t="n">
        <v>7351680.01</v>
      </c>
      <c r="B5757" s="115" t="n">
        <v>7352960</v>
      </c>
      <c r="C5757" s="115" t="n">
        <v>164922.920000016</v>
      </c>
    </row>
    <row r="5758" customFormat="false" ht="15" hidden="false" customHeight="true" outlineLevel="0" collapsed="false">
      <c r="A5758" s="114" t="n">
        <v>7352960.01</v>
      </c>
      <c r="B5758" s="114" t="n">
        <v>7354240</v>
      </c>
      <c r="C5758" s="114" t="n">
        <v>164951.580000016</v>
      </c>
    </row>
    <row r="5759" customFormat="false" ht="15" hidden="false" customHeight="true" outlineLevel="0" collapsed="false">
      <c r="A5759" s="115" t="n">
        <v>7354240.01</v>
      </c>
      <c r="B5759" s="115" t="n">
        <v>7355520</v>
      </c>
      <c r="C5759" s="115" t="n">
        <v>164980.240000016</v>
      </c>
    </row>
    <row r="5760" customFormat="false" ht="15" hidden="false" customHeight="true" outlineLevel="0" collapsed="false">
      <c r="A5760" s="114" t="n">
        <v>7355520.01</v>
      </c>
      <c r="B5760" s="114" t="n">
        <v>7356800</v>
      </c>
      <c r="C5760" s="114" t="n">
        <v>165008.900000016</v>
      </c>
    </row>
    <row r="5761" customFormat="false" ht="15" hidden="false" customHeight="true" outlineLevel="0" collapsed="false">
      <c r="A5761" s="115" t="n">
        <v>7356800.01</v>
      </c>
      <c r="B5761" s="115" t="n">
        <v>7358080</v>
      </c>
      <c r="C5761" s="115" t="n">
        <v>165037.560000016</v>
      </c>
    </row>
    <row r="5762" customFormat="false" ht="15" hidden="false" customHeight="true" outlineLevel="0" collapsed="false">
      <c r="A5762" s="114" t="n">
        <v>7358080.01</v>
      </c>
      <c r="B5762" s="114" t="n">
        <v>7359360</v>
      </c>
      <c r="C5762" s="114" t="n">
        <v>165066.220000016</v>
      </c>
    </row>
    <row r="5763" customFormat="false" ht="15" hidden="false" customHeight="true" outlineLevel="0" collapsed="false">
      <c r="A5763" s="115" t="n">
        <v>7359360.01</v>
      </c>
      <c r="B5763" s="115" t="n">
        <v>7360640</v>
      </c>
      <c r="C5763" s="115" t="n">
        <v>165094.880000016</v>
      </c>
    </row>
    <row r="5764" customFormat="false" ht="15" hidden="false" customHeight="true" outlineLevel="0" collapsed="false">
      <c r="A5764" s="114" t="n">
        <v>7360640.01</v>
      </c>
      <c r="B5764" s="114" t="n">
        <v>7361920</v>
      </c>
      <c r="C5764" s="114" t="n">
        <v>165123.540000016</v>
      </c>
    </row>
    <row r="5765" customFormat="false" ht="15" hidden="false" customHeight="true" outlineLevel="0" collapsed="false">
      <c r="A5765" s="115" t="n">
        <v>7361920.01</v>
      </c>
      <c r="B5765" s="115" t="n">
        <v>7363200</v>
      </c>
      <c r="C5765" s="115" t="n">
        <v>165152.200000016</v>
      </c>
    </row>
    <row r="5766" customFormat="false" ht="15" hidden="false" customHeight="true" outlineLevel="0" collapsed="false">
      <c r="A5766" s="114" t="n">
        <v>7363200.01</v>
      </c>
      <c r="B5766" s="114" t="n">
        <v>7364480</v>
      </c>
      <c r="C5766" s="114" t="n">
        <v>165180.860000016</v>
      </c>
    </row>
    <row r="5767" customFormat="false" ht="15" hidden="false" customHeight="true" outlineLevel="0" collapsed="false">
      <c r="A5767" s="115" t="n">
        <v>7364480.01</v>
      </c>
      <c r="B5767" s="115" t="n">
        <v>7365760</v>
      </c>
      <c r="C5767" s="115" t="n">
        <v>165209.520000016</v>
      </c>
    </row>
    <row r="5768" customFormat="false" ht="15" hidden="false" customHeight="true" outlineLevel="0" collapsed="false">
      <c r="A5768" s="114" t="n">
        <v>7365760.01</v>
      </c>
      <c r="B5768" s="114" t="n">
        <v>7367040</v>
      </c>
      <c r="C5768" s="114" t="n">
        <v>165238.180000016</v>
      </c>
    </row>
    <row r="5769" customFormat="false" ht="15" hidden="false" customHeight="true" outlineLevel="0" collapsed="false">
      <c r="A5769" s="115" t="n">
        <v>7367040.01</v>
      </c>
      <c r="B5769" s="115" t="n">
        <v>7368320</v>
      </c>
      <c r="C5769" s="115" t="n">
        <v>165266.840000016</v>
      </c>
    </row>
    <row r="5770" customFormat="false" ht="15" hidden="false" customHeight="true" outlineLevel="0" collapsed="false">
      <c r="A5770" s="114" t="n">
        <v>7368320.01</v>
      </c>
      <c r="B5770" s="114" t="n">
        <v>7369600</v>
      </c>
      <c r="C5770" s="114" t="n">
        <v>165295.500000016</v>
      </c>
    </row>
    <row r="5771" customFormat="false" ht="15" hidden="false" customHeight="true" outlineLevel="0" collapsed="false">
      <c r="A5771" s="115" t="n">
        <v>7369600.01</v>
      </c>
      <c r="B5771" s="115" t="n">
        <v>7370880</v>
      </c>
      <c r="C5771" s="115" t="n">
        <v>165324.160000016</v>
      </c>
    </row>
    <row r="5772" customFormat="false" ht="15" hidden="false" customHeight="true" outlineLevel="0" collapsed="false">
      <c r="A5772" s="114" t="n">
        <v>7370880.01</v>
      </c>
      <c r="B5772" s="114" t="n">
        <v>7372160</v>
      </c>
      <c r="C5772" s="114" t="n">
        <v>165352.820000016</v>
      </c>
    </row>
    <row r="5773" customFormat="false" ht="15" hidden="false" customHeight="true" outlineLevel="0" collapsed="false">
      <c r="A5773" s="115" t="n">
        <v>7372160.01</v>
      </c>
      <c r="B5773" s="115" t="n">
        <v>7373440</v>
      </c>
      <c r="C5773" s="115" t="n">
        <v>165381.480000016</v>
      </c>
    </row>
    <row r="5774" customFormat="false" ht="15" hidden="false" customHeight="true" outlineLevel="0" collapsed="false">
      <c r="A5774" s="114" t="n">
        <v>7373440.01</v>
      </c>
      <c r="B5774" s="114" t="n">
        <v>7374720</v>
      </c>
      <c r="C5774" s="114" t="n">
        <v>165410.140000016</v>
      </c>
    </row>
    <row r="5775" customFormat="false" ht="15" hidden="false" customHeight="true" outlineLevel="0" collapsed="false">
      <c r="A5775" s="115" t="n">
        <v>7374720.01</v>
      </c>
      <c r="B5775" s="115" t="n">
        <v>7376000</v>
      </c>
      <c r="C5775" s="115" t="n">
        <v>165438.800000016</v>
      </c>
    </row>
    <row r="5776" customFormat="false" ht="15" hidden="false" customHeight="true" outlineLevel="0" collapsed="false">
      <c r="A5776" s="114" t="n">
        <v>7376000.01</v>
      </c>
      <c r="B5776" s="114" t="n">
        <v>7377280</v>
      </c>
      <c r="C5776" s="114" t="n">
        <v>165467.460000016</v>
      </c>
    </row>
    <row r="5777" customFormat="false" ht="15" hidden="false" customHeight="true" outlineLevel="0" collapsed="false">
      <c r="A5777" s="115" t="n">
        <v>7377280.01</v>
      </c>
      <c r="B5777" s="115" t="n">
        <v>7378560</v>
      </c>
      <c r="C5777" s="115" t="n">
        <v>165496.120000016</v>
      </c>
    </row>
    <row r="5778" customFormat="false" ht="15" hidden="false" customHeight="true" outlineLevel="0" collapsed="false">
      <c r="A5778" s="114" t="n">
        <v>7378560.01</v>
      </c>
      <c r="B5778" s="114" t="n">
        <v>7379840</v>
      </c>
      <c r="C5778" s="114" t="n">
        <v>165524.780000016</v>
      </c>
    </row>
    <row r="5779" customFormat="false" ht="15" hidden="false" customHeight="true" outlineLevel="0" collapsed="false">
      <c r="A5779" s="115" t="n">
        <v>7379840.01</v>
      </c>
      <c r="B5779" s="115" t="n">
        <v>7381120</v>
      </c>
      <c r="C5779" s="115" t="n">
        <v>165553.440000016</v>
      </c>
    </row>
    <row r="5780" customFormat="false" ht="15" hidden="false" customHeight="true" outlineLevel="0" collapsed="false">
      <c r="A5780" s="114" t="n">
        <v>7381120.01</v>
      </c>
      <c r="B5780" s="114" t="n">
        <v>7382400</v>
      </c>
      <c r="C5780" s="114" t="n">
        <v>165582.100000016</v>
      </c>
    </row>
    <row r="5781" customFormat="false" ht="15" hidden="false" customHeight="true" outlineLevel="0" collapsed="false">
      <c r="A5781" s="115" t="n">
        <v>7382400.01</v>
      </c>
      <c r="B5781" s="115" t="n">
        <v>7383680</v>
      </c>
      <c r="C5781" s="115" t="n">
        <v>165610.760000016</v>
      </c>
    </row>
    <row r="5782" customFormat="false" ht="15" hidden="false" customHeight="true" outlineLevel="0" collapsed="false">
      <c r="A5782" s="114" t="n">
        <v>7383680.01</v>
      </c>
      <c r="B5782" s="114" t="n">
        <v>7384960</v>
      </c>
      <c r="C5782" s="114" t="n">
        <v>165639.420000016</v>
      </c>
    </row>
    <row r="5783" customFormat="false" ht="15" hidden="false" customHeight="true" outlineLevel="0" collapsed="false">
      <c r="A5783" s="115" t="n">
        <v>7384960.01</v>
      </c>
      <c r="B5783" s="115" t="n">
        <v>7386240</v>
      </c>
      <c r="C5783" s="115" t="n">
        <v>165668.080000016</v>
      </c>
    </row>
    <row r="5784" customFormat="false" ht="15" hidden="false" customHeight="true" outlineLevel="0" collapsed="false">
      <c r="A5784" s="114" t="n">
        <v>7386240.01</v>
      </c>
      <c r="B5784" s="114" t="n">
        <v>7387520</v>
      </c>
      <c r="C5784" s="114" t="n">
        <v>165696.740000016</v>
      </c>
    </row>
    <row r="5785" customFormat="false" ht="15" hidden="false" customHeight="true" outlineLevel="0" collapsed="false">
      <c r="A5785" s="115" t="n">
        <v>7387520.01</v>
      </c>
      <c r="B5785" s="115" t="n">
        <v>7388800</v>
      </c>
      <c r="C5785" s="115" t="n">
        <v>165725.400000016</v>
      </c>
    </row>
    <row r="5786" customFormat="false" ht="15" hidden="false" customHeight="true" outlineLevel="0" collapsed="false">
      <c r="A5786" s="114" t="n">
        <v>7388800.01</v>
      </c>
      <c r="B5786" s="114" t="n">
        <v>7390080</v>
      </c>
      <c r="C5786" s="114" t="n">
        <v>165754.060000016</v>
      </c>
    </row>
    <row r="5787" customFormat="false" ht="15" hidden="false" customHeight="true" outlineLevel="0" collapsed="false">
      <c r="A5787" s="115" t="n">
        <v>7390080.01</v>
      </c>
      <c r="B5787" s="115" t="n">
        <v>7391360</v>
      </c>
      <c r="C5787" s="115" t="n">
        <v>165782.720000016</v>
      </c>
    </row>
    <row r="5788" customFormat="false" ht="15" hidden="false" customHeight="true" outlineLevel="0" collapsed="false">
      <c r="A5788" s="114" t="n">
        <v>7391360.01</v>
      </c>
      <c r="B5788" s="114" t="n">
        <v>7392640</v>
      </c>
      <c r="C5788" s="114" t="n">
        <v>165811.380000016</v>
      </c>
    </row>
    <row r="5789" customFormat="false" ht="15" hidden="false" customHeight="true" outlineLevel="0" collapsed="false">
      <c r="A5789" s="115" t="n">
        <v>7392640.01</v>
      </c>
      <c r="B5789" s="115" t="n">
        <v>7393920</v>
      </c>
      <c r="C5789" s="115" t="n">
        <v>165840.040000016</v>
      </c>
    </row>
    <row r="5790" customFormat="false" ht="15" hidden="false" customHeight="true" outlineLevel="0" collapsed="false">
      <c r="A5790" s="114" t="n">
        <v>7393920.01</v>
      </c>
      <c r="B5790" s="114" t="n">
        <v>7395200</v>
      </c>
      <c r="C5790" s="114" t="n">
        <v>165868.700000016</v>
      </c>
    </row>
    <row r="5791" customFormat="false" ht="15" hidden="false" customHeight="true" outlineLevel="0" collapsed="false">
      <c r="A5791" s="115" t="n">
        <v>7395200.01</v>
      </c>
      <c r="B5791" s="115" t="n">
        <v>7396480</v>
      </c>
      <c r="C5791" s="115" t="n">
        <v>165897.360000016</v>
      </c>
    </row>
    <row r="5792" customFormat="false" ht="15" hidden="false" customHeight="true" outlineLevel="0" collapsed="false">
      <c r="A5792" s="114" t="n">
        <v>7396480.01</v>
      </c>
      <c r="B5792" s="114" t="n">
        <v>7397760</v>
      </c>
      <c r="C5792" s="114" t="n">
        <v>165926.020000016</v>
      </c>
    </row>
    <row r="5793" customFormat="false" ht="15" hidden="false" customHeight="true" outlineLevel="0" collapsed="false">
      <c r="A5793" s="115" t="n">
        <v>7397760.01</v>
      </c>
      <c r="B5793" s="115" t="n">
        <v>7399040</v>
      </c>
      <c r="C5793" s="115" t="n">
        <v>165954.680000016</v>
      </c>
    </row>
    <row r="5794" customFormat="false" ht="15" hidden="false" customHeight="true" outlineLevel="0" collapsed="false">
      <c r="A5794" s="114" t="n">
        <v>7399040.01</v>
      </c>
      <c r="B5794" s="114" t="n">
        <v>7400320</v>
      </c>
      <c r="C5794" s="114" t="n">
        <v>165983.340000016</v>
      </c>
    </row>
    <row r="5795" customFormat="false" ht="15" hidden="false" customHeight="true" outlineLevel="0" collapsed="false">
      <c r="A5795" s="115" t="n">
        <v>7400320.01</v>
      </c>
      <c r="B5795" s="115" t="n">
        <v>7401600</v>
      </c>
      <c r="C5795" s="115" t="n">
        <v>166012.000000016</v>
      </c>
    </row>
    <row r="5796" customFormat="false" ht="15" hidden="false" customHeight="true" outlineLevel="0" collapsed="false">
      <c r="A5796" s="114" t="n">
        <v>7401600.01</v>
      </c>
      <c r="B5796" s="114" t="n">
        <v>7402880</v>
      </c>
      <c r="C5796" s="114" t="n">
        <v>166040.660000016</v>
      </c>
    </row>
    <row r="5797" customFormat="false" ht="15" hidden="false" customHeight="true" outlineLevel="0" collapsed="false">
      <c r="A5797" s="115" t="n">
        <v>7402880.01</v>
      </c>
      <c r="B5797" s="115" t="n">
        <v>7404160</v>
      </c>
      <c r="C5797" s="115" t="n">
        <v>166069.320000016</v>
      </c>
    </row>
    <row r="5798" customFormat="false" ht="15" hidden="false" customHeight="true" outlineLevel="0" collapsed="false">
      <c r="A5798" s="114" t="n">
        <v>7404160.01</v>
      </c>
      <c r="B5798" s="114" t="n">
        <v>7405440</v>
      </c>
      <c r="C5798" s="114" t="n">
        <v>166097.980000016</v>
      </c>
    </row>
    <row r="5799" customFormat="false" ht="15" hidden="false" customHeight="true" outlineLevel="0" collapsed="false">
      <c r="A5799" s="115" t="n">
        <v>7405440.01</v>
      </c>
      <c r="B5799" s="115" t="n">
        <v>7406720</v>
      </c>
      <c r="C5799" s="115" t="n">
        <v>166126.640000016</v>
      </c>
    </row>
    <row r="5800" customFormat="false" ht="15" hidden="false" customHeight="true" outlineLevel="0" collapsed="false">
      <c r="A5800" s="114" t="n">
        <v>7406720.01</v>
      </c>
      <c r="B5800" s="114" t="n">
        <v>7408000</v>
      </c>
      <c r="C5800" s="114" t="n">
        <v>166155.300000016</v>
      </c>
    </row>
    <row r="5801" customFormat="false" ht="15" hidden="false" customHeight="true" outlineLevel="0" collapsed="false">
      <c r="A5801" s="115" t="n">
        <v>7408000.01</v>
      </c>
      <c r="B5801" s="115" t="n">
        <v>7409280</v>
      </c>
      <c r="C5801" s="115" t="n">
        <v>166183.960000016</v>
      </c>
    </row>
    <row r="5802" customFormat="false" ht="15" hidden="false" customHeight="true" outlineLevel="0" collapsed="false">
      <c r="A5802" s="114" t="n">
        <v>7409280.01</v>
      </c>
      <c r="B5802" s="114" t="n">
        <v>7410560</v>
      </c>
      <c r="C5802" s="114" t="n">
        <v>166212.620000016</v>
      </c>
    </row>
    <row r="5803" customFormat="false" ht="15" hidden="false" customHeight="true" outlineLevel="0" collapsed="false">
      <c r="A5803" s="115" t="n">
        <v>7410560.01</v>
      </c>
      <c r="B5803" s="115" t="n">
        <v>7411840</v>
      </c>
      <c r="C5803" s="115" t="n">
        <v>166241.280000016</v>
      </c>
    </row>
    <row r="5804" customFormat="false" ht="15" hidden="false" customHeight="true" outlineLevel="0" collapsed="false">
      <c r="A5804" s="114" t="n">
        <v>7411840.01</v>
      </c>
      <c r="B5804" s="114" t="n">
        <v>7413120</v>
      </c>
      <c r="C5804" s="114" t="n">
        <v>166269.940000016</v>
      </c>
    </row>
    <row r="5805" customFormat="false" ht="15" hidden="false" customHeight="true" outlineLevel="0" collapsed="false">
      <c r="A5805" s="115" t="n">
        <v>7413120.01</v>
      </c>
      <c r="B5805" s="115" t="n">
        <v>7414400</v>
      </c>
      <c r="C5805" s="115" t="n">
        <v>166298.600000016</v>
      </c>
    </row>
    <row r="5806" customFormat="false" ht="15" hidden="false" customHeight="true" outlineLevel="0" collapsed="false">
      <c r="A5806" s="114" t="n">
        <v>7414400.01</v>
      </c>
      <c r="B5806" s="114" t="n">
        <v>7415680</v>
      </c>
      <c r="C5806" s="114" t="n">
        <v>166327.260000016</v>
      </c>
    </row>
    <row r="5807" customFormat="false" ht="15" hidden="false" customHeight="true" outlineLevel="0" collapsed="false">
      <c r="A5807" s="115" t="n">
        <v>7415680.01</v>
      </c>
      <c r="B5807" s="115" t="n">
        <v>7416960</v>
      </c>
      <c r="C5807" s="115" t="n">
        <v>166355.920000016</v>
      </c>
    </row>
    <row r="5808" customFormat="false" ht="15" hidden="false" customHeight="true" outlineLevel="0" collapsed="false">
      <c r="A5808" s="114" t="n">
        <v>7416960.01</v>
      </c>
      <c r="B5808" s="114" t="n">
        <v>7418240</v>
      </c>
      <c r="C5808" s="114" t="n">
        <v>166384.580000016</v>
      </c>
    </row>
    <row r="5809" customFormat="false" ht="15" hidden="false" customHeight="true" outlineLevel="0" collapsed="false">
      <c r="A5809" s="115" t="n">
        <v>7418240.01</v>
      </c>
      <c r="B5809" s="115" t="n">
        <v>7419520</v>
      </c>
      <c r="C5809" s="115" t="n">
        <v>166413.240000016</v>
      </c>
    </row>
    <row r="5810" customFormat="false" ht="15" hidden="false" customHeight="true" outlineLevel="0" collapsed="false">
      <c r="A5810" s="114" t="n">
        <v>7419520.01</v>
      </c>
      <c r="B5810" s="114" t="n">
        <v>7420800</v>
      </c>
      <c r="C5810" s="114" t="n">
        <v>166441.900000016</v>
      </c>
    </row>
    <row r="5811" customFormat="false" ht="15" hidden="false" customHeight="true" outlineLevel="0" collapsed="false">
      <c r="A5811" s="115" t="n">
        <v>7420800.01</v>
      </c>
      <c r="B5811" s="115" t="n">
        <v>7422080</v>
      </c>
      <c r="C5811" s="115" t="n">
        <v>166470.560000016</v>
      </c>
    </row>
    <row r="5812" customFormat="false" ht="15" hidden="false" customHeight="true" outlineLevel="0" collapsed="false">
      <c r="A5812" s="114" t="n">
        <v>7422080.01</v>
      </c>
      <c r="B5812" s="114" t="n">
        <v>7423360</v>
      </c>
      <c r="C5812" s="114" t="n">
        <v>166499.220000016</v>
      </c>
    </row>
    <row r="5813" customFormat="false" ht="15" hidden="false" customHeight="true" outlineLevel="0" collapsed="false">
      <c r="A5813" s="115" t="n">
        <v>7423360.01</v>
      </c>
      <c r="B5813" s="115" t="n">
        <v>7424640</v>
      </c>
      <c r="C5813" s="115" t="n">
        <v>166527.880000016</v>
      </c>
    </row>
    <row r="5814" customFormat="false" ht="15" hidden="false" customHeight="true" outlineLevel="0" collapsed="false">
      <c r="A5814" s="114" t="n">
        <v>7424640.01</v>
      </c>
      <c r="B5814" s="114" t="n">
        <v>7425920</v>
      </c>
      <c r="C5814" s="114" t="n">
        <v>166556.540000016</v>
      </c>
    </row>
    <row r="5815" customFormat="false" ht="15" hidden="false" customHeight="true" outlineLevel="0" collapsed="false">
      <c r="A5815" s="115" t="n">
        <v>7425920.01</v>
      </c>
      <c r="B5815" s="115" t="n">
        <v>7427200</v>
      </c>
      <c r="C5815" s="115" t="n">
        <v>166585.200000016</v>
      </c>
    </row>
    <row r="5816" customFormat="false" ht="15" hidden="false" customHeight="true" outlineLevel="0" collapsed="false">
      <c r="A5816" s="114" t="n">
        <v>7427200.01</v>
      </c>
      <c r="B5816" s="114" t="n">
        <v>7428480</v>
      </c>
      <c r="C5816" s="114" t="n">
        <v>166613.860000016</v>
      </c>
    </row>
    <row r="5817" customFormat="false" ht="15" hidden="false" customHeight="true" outlineLevel="0" collapsed="false">
      <c r="A5817" s="115" t="n">
        <v>7428480.01</v>
      </c>
      <c r="B5817" s="115" t="n">
        <v>7429760</v>
      </c>
      <c r="C5817" s="115" t="n">
        <v>166642.520000016</v>
      </c>
    </row>
    <row r="5818" customFormat="false" ht="15" hidden="false" customHeight="true" outlineLevel="0" collapsed="false">
      <c r="A5818" s="114" t="n">
        <v>7429760.01</v>
      </c>
      <c r="B5818" s="114" t="n">
        <v>7431040</v>
      </c>
      <c r="C5818" s="114" t="n">
        <v>166671.180000016</v>
      </c>
    </row>
    <row r="5819" customFormat="false" ht="15" hidden="false" customHeight="true" outlineLevel="0" collapsed="false">
      <c r="A5819" s="115" t="n">
        <v>7431040.01</v>
      </c>
      <c r="B5819" s="115" t="n">
        <v>7432320</v>
      </c>
      <c r="C5819" s="115" t="n">
        <v>166699.840000016</v>
      </c>
    </row>
    <row r="5820" customFormat="false" ht="15" hidden="false" customHeight="true" outlineLevel="0" collapsed="false">
      <c r="A5820" s="114" t="n">
        <v>7432320.01</v>
      </c>
      <c r="B5820" s="114" t="n">
        <v>7433600</v>
      </c>
      <c r="C5820" s="114" t="n">
        <v>166728.500000016</v>
      </c>
    </row>
    <row r="5821" customFormat="false" ht="15" hidden="false" customHeight="true" outlineLevel="0" collapsed="false">
      <c r="A5821" s="115" t="n">
        <v>7433600.01</v>
      </c>
      <c r="B5821" s="115" t="n">
        <v>7434880</v>
      </c>
      <c r="C5821" s="115" t="n">
        <v>166757.160000016</v>
      </c>
    </row>
    <row r="5822" customFormat="false" ht="15" hidden="false" customHeight="true" outlineLevel="0" collapsed="false">
      <c r="A5822" s="114" t="n">
        <v>7434880.01</v>
      </c>
      <c r="B5822" s="114" t="n">
        <v>7436160</v>
      </c>
      <c r="C5822" s="114" t="n">
        <v>166785.820000016</v>
      </c>
    </row>
    <row r="5823" customFormat="false" ht="15" hidden="false" customHeight="true" outlineLevel="0" collapsed="false">
      <c r="A5823" s="115" t="n">
        <v>7436160.01</v>
      </c>
      <c r="B5823" s="115" t="n">
        <v>7437440</v>
      </c>
      <c r="C5823" s="115" t="n">
        <v>166814.480000016</v>
      </c>
    </row>
    <row r="5824" customFormat="false" ht="15" hidden="false" customHeight="true" outlineLevel="0" collapsed="false">
      <c r="A5824" s="114" t="n">
        <v>7437440.01</v>
      </c>
      <c r="B5824" s="114" t="n">
        <v>7438720</v>
      </c>
      <c r="C5824" s="114" t="n">
        <v>166843.140000016</v>
      </c>
    </row>
    <row r="5825" customFormat="false" ht="15" hidden="false" customHeight="true" outlineLevel="0" collapsed="false">
      <c r="A5825" s="115" t="n">
        <v>7438720.01</v>
      </c>
      <c r="B5825" s="115" t="n">
        <v>7440000</v>
      </c>
      <c r="C5825" s="115" t="n">
        <v>166871.800000016</v>
      </c>
    </row>
    <row r="5826" customFormat="false" ht="15" hidden="false" customHeight="true" outlineLevel="0" collapsed="false">
      <c r="A5826" s="114" t="n">
        <v>7440000.01</v>
      </c>
      <c r="B5826" s="114" t="n">
        <v>7441280</v>
      </c>
      <c r="C5826" s="114" t="n">
        <v>166900.460000016</v>
      </c>
    </row>
    <row r="5827" customFormat="false" ht="15" hidden="false" customHeight="true" outlineLevel="0" collapsed="false">
      <c r="A5827" s="115" t="n">
        <v>7441280.01</v>
      </c>
      <c r="B5827" s="115" t="n">
        <v>7442560</v>
      </c>
      <c r="C5827" s="115" t="n">
        <v>166929.120000016</v>
      </c>
    </row>
    <row r="5828" customFormat="false" ht="15" hidden="false" customHeight="true" outlineLevel="0" collapsed="false">
      <c r="A5828" s="114" t="n">
        <v>7442560.01</v>
      </c>
      <c r="B5828" s="114" t="n">
        <v>7443840</v>
      </c>
      <c r="C5828" s="114" t="n">
        <v>166957.780000016</v>
      </c>
    </row>
    <row r="5829" customFormat="false" ht="15" hidden="false" customHeight="true" outlineLevel="0" collapsed="false">
      <c r="A5829" s="115" t="n">
        <v>7443840.01</v>
      </c>
      <c r="B5829" s="115" t="n">
        <v>7445120</v>
      </c>
      <c r="C5829" s="115" t="n">
        <v>166986.440000016</v>
      </c>
    </row>
    <row r="5830" customFormat="false" ht="15" hidden="false" customHeight="true" outlineLevel="0" collapsed="false">
      <c r="A5830" s="114" t="n">
        <v>7445120.01</v>
      </c>
      <c r="B5830" s="114" t="n">
        <v>7446400</v>
      </c>
      <c r="C5830" s="114" t="n">
        <v>167015.100000016</v>
      </c>
    </row>
    <row r="5831" customFormat="false" ht="15" hidden="false" customHeight="true" outlineLevel="0" collapsed="false">
      <c r="A5831" s="115" t="n">
        <v>7446400.01</v>
      </c>
      <c r="B5831" s="115" t="n">
        <v>7447680</v>
      </c>
      <c r="C5831" s="115" t="n">
        <v>167043.760000016</v>
      </c>
    </row>
    <row r="5832" customFormat="false" ht="15" hidden="false" customHeight="true" outlineLevel="0" collapsed="false">
      <c r="A5832" s="114" t="n">
        <v>7447680.01</v>
      </c>
      <c r="B5832" s="114" t="n">
        <v>7448960</v>
      </c>
      <c r="C5832" s="114" t="n">
        <v>167072.420000016</v>
      </c>
    </row>
    <row r="5833" customFormat="false" ht="15" hidden="false" customHeight="true" outlineLevel="0" collapsed="false">
      <c r="A5833" s="115" t="n">
        <v>7448960.01</v>
      </c>
      <c r="B5833" s="115" t="n">
        <v>7450240</v>
      </c>
      <c r="C5833" s="115" t="n">
        <v>167101.080000016</v>
      </c>
    </row>
    <row r="5834" customFormat="false" ht="15" hidden="false" customHeight="true" outlineLevel="0" collapsed="false">
      <c r="A5834" s="114" t="n">
        <v>7450240.01</v>
      </c>
      <c r="B5834" s="114" t="n">
        <v>7451520</v>
      </c>
      <c r="C5834" s="114" t="n">
        <v>167129.740000016</v>
      </c>
    </row>
    <row r="5835" customFormat="false" ht="15" hidden="false" customHeight="true" outlineLevel="0" collapsed="false">
      <c r="A5835" s="115" t="n">
        <v>7451520.01</v>
      </c>
      <c r="B5835" s="115" t="n">
        <v>7452800</v>
      </c>
      <c r="C5835" s="115" t="n">
        <v>167158.400000016</v>
      </c>
    </row>
    <row r="5836" customFormat="false" ht="15" hidden="false" customHeight="true" outlineLevel="0" collapsed="false">
      <c r="A5836" s="114" t="n">
        <v>7452800.01</v>
      </c>
      <c r="B5836" s="114" t="n">
        <v>7454080</v>
      </c>
      <c r="C5836" s="114" t="n">
        <v>167187.060000016</v>
      </c>
    </row>
    <row r="5837" customFormat="false" ht="15" hidden="false" customHeight="true" outlineLevel="0" collapsed="false">
      <c r="A5837" s="115" t="n">
        <v>7454080.01</v>
      </c>
      <c r="B5837" s="115" t="n">
        <v>7455360</v>
      </c>
      <c r="C5837" s="115" t="n">
        <v>167215.720000016</v>
      </c>
    </row>
    <row r="5838" customFormat="false" ht="15" hidden="false" customHeight="true" outlineLevel="0" collapsed="false">
      <c r="A5838" s="114" t="n">
        <v>7455360.01</v>
      </c>
      <c r="B5838" s="114" t="n">
        <v>7456640</v>
      </c>
      <c r="C5838" s="114" t="n">
        <v>167244.380000016</v>
      </c>
    </row>
    <row r="5839" customFormat="false" ht="15" hidden="false" customHeight="true" outlineLevel="0" collapsed="false">
      <c r="A5839" s="115" t="n">
        <v>7456640.01</v>
      </c>
      <c r="B5839" s="115" t="n">
        <v>7457920</v>
      </c>
      <c r="C5839" s="115" t="n">
        <v>167273.040000016</v>
      </c>
    </row>
    <row r="5840" customFormat="false" ht="15" hidden="false" customHeight="true" outlineLevel="0" collapsed="false">
      <c r="A5840" s="114" t="n">
        <v>7457920.01</v>
      </c>
      <c r="B5840" s="114" t="n">
        <v>7459200</v>
      </c>
      <c r="C5840" s="114" t="n">
        <v>167301.700000016</v>
      </c>
    </row>
    <row r="5841" customFormat="false" ht="15" hidden="false" customHeight="true" outlineLevel="0" collapsed="false">
      <c r="A5841" s="115" t="n">
        <v>7459200.01</v>
      </c>
      <c r="B5841" s="115" t="n">
        <v>7460480</v>
      </c>
      <c r="C5841" s="115" t="n">
        <v>167330.360000016</v>
      </c>
    </row>
    <row r="5842" customFormat="false" ht="15" hidden="false" customHeight="true" outlineLevel="0" collapsed="false">
      <c r="A5842" s="114" t="n">
        <v>7460480.01</v>
      </c>
      <c r="B5842" s="114" t="n">
        <v>7461760</v>
      </c>
      <c r="C5842" s="114" t="n">
        <v>167359.020000016</v>
      </c>
    </row>
    <row r="5843" customFormat="false" ht="15" hidden="false" customHeight="true" outlineLevel="0" collapsed="false">
      <c r="A5843" s="115" t="n">
        <v>7461760.01</v>
      </c>
      <c r="B5843" s="115" t="n">
        <v>7463040</v>
      </c>
      <c r="C5843" s="115" t="n">
        <v>167387.680000016</v>
      </c>
    </row>
    <row r="5844" customFormat="false" ht="15" hidden="false" customHeight="true" outlineLevel="0" collapsed="false">
      <c r="A5844" s="114" t="n">
        <v>7463040.01</v>
      </c>
      <c r="B5844" s="114" t="n">
        <v>7464320</v>
      </c>
      <c r="C5844" s="114" t="n">
        <v>167416.340000016</v>
      </c>
    </row>
    <row r="5845" customFormat="false" ht="15" hidden="false" customHeight="true" outlineLevel="0" collapsed="false">
      <c r="A5845" s="115" t="n">
        <v>7464320.01</v>
      </c>
      <c r="B5845" s="115" t="n">
        <v>7465600</v>
      </c>
      <c r="C5845" s="115" t="n">
        <v>167445.000000016</v>
      </c>
    </row>
    <row r="5846" customFormat="false" ht="15" hidden="false" customHeight="true" outlineLevel="0" collapsed="false">
      <c r="A5846" s="114" t="n">
        <v>7465600.01</v>
      </c>
      <c r="B5846" s="114" t="n">
        <v>7466880</v>
      </c>
      <c r="C5846" s="114" t="n">
        <v>167473.660000016</v>
      </c>
    </row>
    <row r="5847" customFormat="false" ht="15" hidden="false" customHeight="true" outlineLevel="0" collapsed="false">
      <c r="A5847" s="115" t="n">
        <v>7466880.01</v>
      </c>
      <c r="B5847" s="115" t="n">
        <v>7468160</v>
      </c>
      <c r="C5847" s="115" t="n">
        <v>167502.320000016</v>
      </c>
    </row>
    <row r="5848" customFormat="false" ht="15" hidden="false" customHeight="true" outlineLevel="0" collapsed="false">
      <c r="A5848" s="114" t="n">
        <v>7468160.01</v>
      </c>
      <c r="B5848" s="114" t="n">
        <v>7469440</v>
      </c>
      <c r="C5848" s="114" t="n">
        <v>167530.980000016</v>
      </c>
    </row>
    <row r="5849" customFormat="false" ht="15" hidden="false" customHeight="true" outlineLevel="0" collapsed="false">
      <c r="A5849" s="115" t="n">
        <v>7469440.01</v>
      </c>
      <c r="B5849" s="115" t="n">
        <v>7470720</v>
      </c>
      <c r="C5849" s="115" t="n">
        <v>167559.640000016</v>
      </c>
    </row>
    <row r="5850" customFormat="false" ht="15" hidden="false" customHeight="true" outlineLevel="0" collapsed="false">
      <c r="A5850" s="114" t="n">
        <v>7470720.01</v>
      </c>
      <c r="B5850" s="114" t="n">
        <v>7472000</v>
      </c>
      <c r="C5850" s="114" t="n">
        <v>167588.300000016</v>
      </c>
    </row>
    <row r="5851" customFormat="false" ht="15" hidden="false" customHeight="true" outlineLevel="0" collapsed="false">
      <c r="A5851" s="115" t="n">
        <v>7472000.01</v>
      </c>
      <c r="B5851" s="115" t="n">
        <v>7473280</v>
      </c>
      <c r="C5851" s="115" t="n">
        <v>167616.960000016</v>
      </c>
    </row>
    <row r="5852" customFormat="false" ht="15" hidden="false" customHeight="true" outlineLevel="0" collapsed="false">
      <c r="A5852" s="114" t="n">
        <v>7473280.01</v>
      </c>
      <c r="B5852" s="114" t="n">
        <v>7474560</v>
      </c>
      <c r="C5852" s="114" t="n">
        <v>167645.620000016</v>
      </c>
    </row>
    <row r="5853" customFormat="false" ht="15" hidden="false" customHeight="true" outlineLevel="0" collapsed="false">
      <c r="A5853" s="115" t="n">
        <v>7474560.01</v>
      </c>
      <c r="B5853" s="115" t="n">
        <v>7475840</v>
      </c>
      <c r="C5853" s="115" t="n">
        <v>167674.280000016</v>
      </c>
    </row>
    <row r="5854" customFormat="false" ht="15" hidden="false" customHeight="true" outlineLevel="0" collapsed="false">
      <c r="A5854" s="114" t="n">
        <v>7475840.01</v>
      </c>
      <c r="B5854" s="114" t="n">
        <v>7477120</v>
      </c>
      <c r="C5854" s="114" t="n">
        <v>167702.940000016</v>
      </c>
    </row>
    <row r="5855" customFormat="false" ht="15" hidden="false" customHeight="true" outlineLevel="0" collapsed="false">
      <c r="A5855" s="115" t="n">
        <v>7477120.01</v>
      </c>
      <c r="B5855" s="115" t="n">
        <v>7478400</v>
      </c>
      <c r="C5855" s="115" t="n">
        <v>167731.600000016</v>
      </c>
    </row>
    <row r="5856" customFormat="false" ht="15" hidden="false" customHeight="true" outlineLevel="0" collapsed="false">
      <c r="A5856" s="114" t="n">
        <v>7478400.01</v>
      </c>
      <c r="B5856" s="114" t="n">
        <v>7479680</v>
      </c>
      <c r="C5856" s="114" t="n">
        <v>167760.260000016</v>
      </c>
    </row>
    <row r="5857" customFormat="false" ht="15" hidden="false" customHeight="true" outlineLevel="0" collapsed="false">
      <c r="A5857" s="115" t="n">
        <v>7479680.01</v>
      </c>
      <c r="B5857" s="115" t="n">
        <v>7480960</v>
      </c>
      <c r="C5857" s="115" t="n">
        <v>167788.920000016</v>
      </c>
    </row>
    <row r="5858" customFormat="false" ht="15" hidden="false" customHeight="true" outlineLevel="0" collapsed="false">
      <c r="A5858" s="114" t="n">
        <v>7480960.01</v>
      </c>
      <c r="B5858" s="114" t="n">
        <v>7482240</v>
      </c>
      <c r="C5858" s="114" t="n">
        <v>167817.580000016</v>
      </c>
    </row>
    <row r="5859" customFormat="false" ht="15" hidden="false" customHeight="true" outlineLevel="0" collapsed="false">
      <c r="A5859" s="115" t="n">
        <v>7482240.01</v>
      </c>
      <c r="B5859" s="115" t="n">
        <v>7483520</v>
      </c>
      <c r="C5859" s="115" t="n">
        <v>167846.240000016</v>
      </c>
    </row>
    <row r="5860" customFormat="false" ht="15" hidden="false" customHeight="true" outlineLevel="0" collapsed="false">
      <c r="A5860" s="114" t="n">
        <v>7483520.01</v>
      </c>
      <c r="B5860" s="114" t="n">
        <v>7484800</v>
      </c>
      <c r="C5860" s="114" t="n">
        <v>167874.900000016</v>
      </c>
    </row>
    <row r="5861" customFormat="false" ht="15" hidden="false" customHeight="true" outlineLevel="0" collapsed="false">
      <c r="A5861" s="115" t="n">
        <v>7484800.01</v>
      </c>
      <c r="B5861" s="115" t="n">
        <v>7486080</v>
      </c>
      <c r="C5861" s="115" t="n">
        <v>167903.560000016</v>
      </c>
    </row>
    <row r="5862" customFormat="false" ht="15" hidden="false" customHeight="true" outlineLevel="0" collapsed="false">
      <c r="A5862" s="114" t="n">
        <v>7486080.01</v>
      </c>
      <c r="B5862" s="114" t="n">
        <v>7487360</v>
      </c>
      <c r="C5862" s="114" t="n">
        <v>167932.220000016</v>
      </c>
    </row>
    <row r="5863" customFormat="false" ht="15" hidden="false" customHeight="true" outlineLevel="0" collapsed="false">
      <c r="A5863" s="115" t="n">
        <v>7487360.01</v>
      </c>
      <c r="B5863" s="115" t="n">
        <v>7488640</v>
      </c>
      <c r="C5863" s="115" t="n">
        <v>167960.880000016</v>
      </c>
    </row>
    <row r="5864" customFormat="false" ht="15" hidden="false" customHeight="true" outlineLevel="0" collapsed="false">
      <c r="A5864" s="114" t="n">
        <v>7488640.01</v>
      </c>
      <c r="B5864" s="114" t="n">
        <v>7489920</v>
      </c>
      <c r="C5864" s="114" t="n">
        <v>167989.540000016</v>
      </c>
    </row>
    <row r="5865" customFormat="false" ht="15" hidden="false" customHeight="true" outlineLevel="0" collapsed="false">
      <c r="A5865" s="115" t="n">
        <v>7489920.01</v>
      </c>
      <c r="B5865" s="115" t="n">
        <v>7491200</v>
      </c>
      <c r="C5865" s="115" t="n">
        <v>168018.200000016</v>
      </c>
    </row>
    <row r="5866" customFormat="false" ht="15" hidden="false" customHeight="true" outlineLevel="0" collapsed="false">
      <c r="A5866" s="114" t="n">
        <v>7491200.01</v>
      </c>
      <c r="B5866" s="114" t="n">
        <v>7492480</v>
      </c>
      <c r="C5866" s="114" t="n">
        <v>168046.860000016</v>
      </c>
    </row>
    <row r="5867" customFormat="false" ht="15" hidden="false" customHeight="true" outlineLevel="0" collapsed="false">
      <c r="A5867" s="115" t="n">
        <v>7492480.01</v>
      </c>
      <c r="B5867" s="115" t="n">
        <v>7493760</v>
      </c>
      <c r="C5867" s="115" t="n">
        <v>168075.520000016</v>
      </c>
    </row>
    <row r="5868" customFormat="false" ht="15" hidden="false" customHeight="true" outlineLevel="0" collapsed="false">
      <c r="A5868" s="114" t="n">
        <v>7493760.01</v>
      </c>
      <c r="B5868" s="114" t="n">
        <v>7495040</v>
      </c>
      <c r="C5868" s="114" t="n">
        <v>168104.180000016</v>
      </c>
    </row>
    <row r="5869" customFormat="false" ht="15" hidden="false" customHeight="true" outlineLevel="0" collapsed="false">
      <c r="A5869" s="115" t="n">
        <v>7495040.01</v>
      </c>
      <c r="B5869" s="115" t="n">
        <v>7496320</v>
      </c>
      <c r="C5869" s="115" t="n">
        <v>168132.840000016</v>
      </c>
    </row>
    <row r="5870" customFormat="false" ht="15" hidden="false" customHeight="true" outlineLevel="0" collapsed="false">
      <c r="A5870" s="114" t="n">
        <v>7496320.01</v>
      </c>
      <c r="B5870" s="114" t="n">
        <v>7497600</v>
      </c>
      <c r="C5870" s="114" t="n">
        <v>168161.500000016</v>
      </c>
    </row>
    <row r="5871" customFormat="false" ht="15" hidden="false" customHeight="true" outlineLevel="0" collapsed="false">
      <c r="A5871" s="115" t="n">
        <v>7497600.01</v>
      </c>
      <c r="B5871" s="115" t="n">
        <v>7498880</v>
      </c>
      <c r="C5871" s="115" t="n">
        <v>168190.160000016</v>
      </c>
    </row>
    <row r="5872" customFormat="false" ht="15" hidden="false" customHeight="true" outlineLevel="0" collapsed="false">
      <c r="A5872" s="114" t="n">
        <v>7498880.01</v>
      </c>
      <c r="B5872" s="114" t="n">
        <v>7500160</v>
      </c>
      <c r="C5872" s="114" t="n">
        <v>168218.820000016</v>
      </c>
    </row>
    <row r="5873" customFormat="false" ht="15" hidden="false" customHeight="true" outlineLevel="0" collapsed="false">
      <c r="A5873" s="115" t="n">
        <v>7500160.01</v>
      </c>
      <c r="B5873" s="115" t="n">
        <v>7501440</v>
      </c>
      <c r="C5873" s="115" t="n">
        <v>168247.480000016</v>
      </c>
    </row>
    <row r="5874" customFormat="false" ht="15" hidden="false" customHeight="true" outlineLevel="0" collapsed="false">
      <c r="A5874" s="114" t="n">
        <v>7501440.01</v>
      </c>
      <c r="B5874" s="114" t="n">
        <v>7502720</v>
      </c>
      <c r="C5874" s="114" t="n">
        <v>168276.140000016</v>
      </c>
    </row>
    <row r="5875" customFormat="false" ht="15" hidden="false" customHeight="true" outlineLevel="0" collapsed="false">
      <c r="A5875" s="115" t="n">
        <v>7502720.01</v>
      </c>
      <c r="B5875" s="115" t="n">
        <v>7504000</v>
      </c>
      <c r="C5875" s="115" t="n">
        <v>168304.800000016</v>
      </c>
    </row>
    <row r="5876" customFormat="false" ht="15" hidden="false" customHeight="true" outlineLevel="0" collapsed="false">
      <c r="A5876" s="114" t="n">
        <v>7504000.01</v>
      </c>
      <c r="B5876" s="114" t="n">
        <v>7505280</v>
      </c>
      <c r="C5876" s="114" t="n">
        <v>168333.460000016</v>
      </c>
    </row>
    <row r="5877" customFormat="false" ht="15" hidden="false" customHeight="true" outlineLevel="0" collapsed="false">
      <c r="A5877" s="115" t="n">
        <v>7505280.01</v>
      </c>
      <c r="B5877" s="115" t="n">
        <v>7506560</v>
      </c>
      <c r="C5877" s="115" t="n">
        <v>168362.120000016</v>
      </c>
    </row>
    <row r="5878" customFormat="false" ht="15" hidden="false" customHeight="true" outlineLevel="0" collapsed="false">
      <c r="A5878" s="114" t="n">
        <v>7506560.01</v>
      </c>
      <c r="B5878" s="114" t="n">
        <v>7507840</v>
      </c>
      <c r="C5878" s="114" t="n">
        <v>168390.780000016</v>
      </c>
    </row>
    <row r="5879" customFormat="false" ht="15" hidden="false" customHeight="true" outlineLevel="0" collapsed="false">
      <c r="A5879" s="115" t="n">
        <v>7507840.01</v>
      </c>
      <c r="B5879" s="115" t="n">
        <v>7509120</v>
      </c>
      <c r="C5879" s="115" t="n">
        <v>168419.440000016</v>
      </c>
    </row>
    <row r="5880" customFormat="false" ht="15" hidden="false" customHeight="true" outlineLevel="0" collapsed="false">
      <c r="A5880" s="114" t="n">
        <v>7509120.01</v>
      </c>
      <c r="B5880" s="114" t="n">
        <v>7510400</v>
      </c>
      <c r="C5880" s="114" t="n">
        <v>168448.100000016</v>
      </c>
    </row>
    <row r="5881" customFormat="false" ht="15" hidden="false" customHeight="true" outlineLevel="0" collapsed="false">
      <c r="A5881" s="115" t="n">
        <v>7510400.01</v>
      </c>
      <c r="B5881" s="115" t="n">
        <v>7511680</v>
      </c>
      <c r="C5881" s="115" t="n">
        <v>168476.760000016</v>
      </c>
    </row>
    <row r="5882" customFormat="false" ht="15" hidden="false" customHeight="true" outlineLevel="0" collapsed="false">
      <c r="A5882" s="114" t="n">
        <v>7511680.01</v>
      </c>
      <c r="B5882" s="114" t="n">
        <v>7512960</v>
      </c>
      <c r="C5882" s="114" t="n">
        <v>168505.420000016</v>
      </c>
    </row>
    <row r="5883" customFormat="false" ht="15" hidden="false" customHeight="true" outlineLevel="0" collapsed="false">
      <c r="A5883" s="115" t="n">
        <v>7512960.01</v>
      </c>
      <c r="B5883" s="115" t="n">
        <v>7514240</v>
      </c>
      <c r="C5883" s="115" t="n">
        <v>168534.080000016</v>
      </c>
    </row>
    <row r="5884" customFormat="false" ht="15" hidden="false" customHeight="true" outlineLevel="0" collapsed="false">
      <c r="A5884" s="114" t="n">
        <v>7514240.01</v>
      </c>
      <c r="B5884" s="114" t="n">
        <v>7515520</v>
      </c>
      <c r="C5884" s="114" t="n">
        <v>168562.740000016</v>
      </c>
    </row>
    <row r="5885" customFormat="false" ht="15" hidden="false" customHeight="true" outlineLevel="0" collapsed="false">
      <c r="A5885" s="115" t="n">
        <v>7515520.01</v>
      </c>
      <c r="B5885" s="115" t="n">
        <v>7516800</v>
      </c>
      <c r="C5885" s="115" t="n">
        <v>168591.400000016</v>
      </c>
    </row>
    <row r="5886" customFormat="false" ht="15" hidden="false" customHeight="true" outlineLevel="0" collapsed="false">
      <c r="A5886" s="114" t="n">
        <v>7516800.01</v>
      </c>
      <c r="B5886" s="114" t="n">
        <v>7518080</v>
      </c>
      <c r="C5886" s="114" t="n">
        <v>168620.060000016</v>
      </c>
    </row>
    <row r="5887" customFormat="false" ht="15" hidden="false" customHeight="true" outlineLevel="0" collapsed="false">
      <c r="A5887" s="115" t="n">
        <v>7518080.01</v>
      </c>
      <c r="B5887" s="115" t="n">
        <v>7519360</v>
      </c>
      <c r="C5887" s="115" t="n">
        <v>168648.720000016</v>
      </c>
    </row>
    <row r="5888" customFormat="false" ht="15" hidden="false" customHeight="true" outlineLevel="0" collapsed="false">
      <c r="A5888" s="114" t="n">
        <v>7519360.01</v>
      </c>
      <c r="B5888" s="114" t="n">
        <v>7520640</v>
      </c>
      <c r="C5888" s="114" t="n">
        <v>168677.380000016</v>
      </c>
    </row>
    <row r="5889" customFormat="false" ht="15" hidden="false" customHeight="true" outlineLevel="0" collapsed="false">
      <c r="A5889" s="115" t="n">
        <v>7520640.01</v>
      </c>
      <c r="B5889" s="115" t="n">
        <v>7521920</v>
      </c>
      <c r="C5889" s="115" t="n">
        <v>168706.040000016</v>
      </c>
    </row>
    <row r="5890" customFormat="false" ht="15" hidden="false" customHeight="true" outlineLevel="0" collapsed="false">
      <c r="A5890" s="114" t="n">
        <v>7521920.01</v>
      </c>
      <c r="B5890" s="114" t="n">
        <v>7523200</v>
      </c>
      <c r="C5890" s="114" t="n">
        <v>168734.700000016</v>
      </c>
    </row>
    <row r="5891" customFormat="false" ht="15" hidden="false" customHeight="true" outlineLevel="0" collapsed="false">
      <c r="A5891" s="115" t="n">
        <v>7523200.01</v>
      </c>
      <c r="B5891" s="115" t="n">
        <v>7524480</v>
      </c>
      <c r="C5891" s="115" t="n">
        <v>168763.360000016</v>
      </c>
    </row>
    <row r="5892" customFormat="false" ht="15" hidden="false" customHeight="true" outlineLevel="0" collapsed="false">
      <c r="A5892" s="114" t="n">
        <v>7524480.01</v>
      </c>
      <c r="B5892" s="114" t="n">
        <v>7525760</v>
      </c>
      <c r="C5892" s="114" t="n">
        <v>168792.020000016</v>
      </c>
    </row>
    <row r="5893" customFormat="false" ht="15" hidden="false" customHeight="true" outlineLevel="0" collapsed="false">
      <c r="A5893" s="115" t="n">
        <v>7525760.01</v>
      </c>
      <c r="B5893" s="115" t="n">
        <v>7527040</v>
      </c>
      <c r="C5893" s="115" t="n">
        <v>168820.680000016</v>
      </c>
    </row>
    <row r="5894" customFormat="false" ht="15" hidden="false" customHeight="true" outlineLevel="0" collapsed="false">
      <c r="A5894" s="114" t="n">
        <v>7527040.01</v>
      </c>
      <c r="B5894" s="114" t="n">
        <v>7528320</v>
      </c>
      <c r="C5894" s="114" t="n">
        <v>168849.340000016</v>
      </c>
    </row>
    <row r="5895" customFormat="false" ht="15" hidden="false" customHeight="true" outlineLevel="0" collapsed="false">
      <c r="A5895" s="115" t="n">
        <v>7528320.01</v>
      </c>
      <c r="B5895" s="115" t="n">
        <v>7529600</v>
      </c>
      <c r="C5895" s="115" t="n">
        <v>168878.000000016</v>
      </c>
    </row>
    <row r="5896" customFormat="false" ht="15" hidden="false" customHeight="true" outlineLevel="0" collapsed="false">
      <c r="A5896" s="114" t="n">
        <v>7529600.01</v>
      </c>
      <c r="B5896" s="114" t="n">
        <v>7530880</v>
      </c>
      <c r="C5896" s="114" t="n">
        <v>168906.660000016</v>
      </c>
    </row>
    <row r="5897" customFormat="false" ht="15" hidden="false" customHeight="true" outlineLevel="0" collapsed="false">
      <c r="A5897" s="115" t="n">
        <v>7530880.01</v>
      </c>
      <c r="B5897" s="115" t="n">
        <v>7532160</v>
      </c>
      <c r="C5897" s="115" t="n">
        <v>168935.320000016</v>
      </c>
    </row>
    <row r="5898" customFormat="false" ht="15" hidden="false" customHeight="true" outlineLevel="0" collapsed="false">
      <c r="A5898" s="114" t="n">
        <v>7532160.01</v>
      </c>
      <c r="B5898" s="114" t="n">
        <v>7533440</v>
      </c>
      <c r="C5898" s="114" t="n">
        <v>168963.980000016</v>
      </c>
    </row>
    <row r="5899" customFormat="false" ht="15" hidden="false" customHeight="true" outlineLevel="0" collapsed="false">
      <c r="A5899" s="115" t="n">
        <v>7533440.01</v>
      </c>
      <c r="B5899" s="115" t="n">
        <v>7534720</v>
      </c>
      <c r="C5899" s="115" t="n">
        <v>168992.640000016</v>
      </c>
    </row>
    <row r="5900" customFormat="false" ht="15" hidden="false" customHeight="true" outlineLevel="0" collapsed="false">
      <c r="A5900" s="114" t="n">
        <v>7534720.01</v>
      </c>
      <c r="B5900" s="114" t="n">
        <v>7536000</v>
      </c>
      <c r="C5900" s="114" t="n">
        <v>169021.300000016</v>
      </c>
    </row>
    <row r="5901" customFormat="false" ht="15" hidden="false" customHeight="true" outlineLevel="0" collapsed="false">
      <c r="A5901" s="115" t="n">
        <v>7536000.01</v>
      </c>
      <c r="B5901" s="115" t="n">
        <v>7537280</v>
      </c>
      <c r="C5901" s="115" t="n">
        <v>169049.960000016</v>
      </c>
    </row>
    <row r="5902" customFormat="false" ht="15" hidden="false" customHeight="true" outlineLevel="0" collapsed="false">
      <c r="A5902" s="114" t="n">
        <v>7537280.01</v>
      </c>
      <c r="B5902" s="114" t="n">
        <v>7538560</v>
      </c>
      <c r="C5902" s="114" t="n">
        <v>169078.620000016</v>
      </c>
    </row>
    <row r="5903" customFormat="false" ht="15" hidden="false" customHeight="true" outlineLevel="0" collapsed="false">
      <c r="A5903" s="115" t="n">
        <v>7538560.01</v>
      </c>
      <c r="B5903" s="115" t="n">
        <v>7539840</v>
      </c>
      <c r="C5903" s="115" t="n">
        <v>169107.280000016</v>
      </c>
    </row>
    <row r="5904" customFormat="false" ht="15" hidden="false" customHeight="true" outlineLevel="0" collapsed="false">
      <c r="A5904" s="114" t="n">
        <v>7539840.01</v>
      </c>
      <c r="B5904" s="114" t="n">
        <v>7541120</v>
      </c>
      <c r="C5904" s="114" t="n">
        <v>169135.940000016</v>
      </c>
    </row>
    <row r="5905" customFormat="false" ht="15" hidden="false" customHeight="true" outlineLevel="0" collapsed="false">
      <c r="A5905" s="115" t="n">
        <v>7541120.01</v>
      </c>
      <c r="B5905" s="115" t="n">
        <v>7542400</v>
      </c>
      <c r="C5905" s="115" t="n">
        <v>169164.600000016</v>
      </c>
    </row>
    <row r="5906" customFormat="false" ht="15" hidden="false" customHeight="true" outlineLevel="0" collapsed="false">
      <c r="A5906" s="114" t="n">
        <v>7542400.01</v>
      </c>
      <c r="B5906" s="114" t="n">
        <v>7543680</v>
      </c>
      <c r="C5906" s="114" t="n">
        <v>169193.260000017</v>
      </c>
    </row>
    <row r="5907" customFormat="false" ht="15" hidden="false" customHeight="true" outlineLevel="0" collapsed="false">
      <c r="A5907" s="115" t="n">
        <v>7543680.01</v>
      </c>
      <c r="B5907" s="115" t="n">
        <v>7544960</v>
      </c>
      <c r="C5907" s="115" t="n">
        <v>169221.920000017</v>
      </c>
    </row>
    <row r="5908" customFormat="false" ht="15" hidden="false" customHeight="true" outlineLevel="0" collapsed="false">
      <c r="A5908" s="114" t="n">
        <v>7544960.01</v>
      </c>
      <c r="B5908" s="114" t="n">
        <v>7546240</v>
      </c>
      <c r="C5908" s="114" t="n">
        <v>169250.580000017</v>
      </c>
    </row>
    <row r="5909" customFormat="false" ht="15" hidden="false" customHeight="true" outlineLevel="0" collapsed="false">
      <c r="A5909" s="115" t="n">
        <v>7546240.01</v>
      </c>
      <c r="B5909" s="115" t="n">
        <v>7547520</v>
      </c>
      <c r="C5909" s="115" t="n">
        <v>169279.240000017</v>
      </c>
    </row>
    <row r="5910" customFormat="false" ht="15" hidden="false" customHeight="true" outlineLevel="0" collapsed="false">
      <c r="A5910" s="114" t="n">
        <v>7547520.01</v>
      </c>
      <c r="B5910" s="114" t="n">
        <v>7548800</v>
      </c>
      <c r="C5910" s="114" t="n">
        <v>169307.900000017</v>
      </c>
    </row>
    <row r="5911" customFormat="false" ht="15" hidden="false" customHeight="true" outlineLevel="0" collapsed="false">
      <c r="A5911" s="115" t="n">
        <v>7548800.01</v>
      </c>
      <c r="B5911" s="115" t="n">
        <v>7550080</v>
      </c>
      <c r="C5911" s="115" t="n">
        <v>169336.560000017</v>
      </c>
    </row>
    <row r="5912" customFormat="false" ht="15" hidden="false" customHeight="true" outlineLevel="0" collapsed="false">
      <c r="A5912" s="114" t="n">
        <v>7550080.01</v>
      </c>
      <c r="B5912" s="114" t="n">
        <v>7551360</v>
      </c>
      <c r="C5912" s="114" t="n">
        <v>169365.220000017</v>
      </c>
    </row>
    <row r="5913" customFormat="false" ht="15" hidden="false" customHeight="true" outlineLevel="0" collapsed="false">
      <c r="A5913" s="115" t="n">
        <v>7551360.01</v>
      </c>
      <c r="B5913" s="115" t="n">
        <v>7552640</v>
      </c>
      <c r="C5913" s="115" t="n">
        <v>169393.880000017</v>
      </c>
    </row>
    <row r="5914" customFormat="false" ht="15" hidden="false" customHeight="true" outlineLevel="0" collapsed="false">
      <c r="A5914" s="114" t="n">
        <v>7552640.01</v>
      </c>
      <c r="B5914" s="114" t="n">
        <v>7553920</v>
      </c>
      <c r="C5914" s="114" t="n">
        <v>169422.540000017</v>
      </c>
    </row>
    <row r="5915" customFormat="false" ht="15" hidden="false" customHeight="true" outlineLevel="0" collapsed="false">
      <c r="A5915" s="115" t="n">
        <v>7553920.01</v>
      </c>
      <c r="B5915" s="115" t="n">
        <v>7555200</v>
      </c>
      <c r="C5915" s="115" t="n">
        <v>169451.200000017</v>
      </c>
    </row>
    <row r="5916" customFormat="false" ht="15" hidden="false" customHeight="true" outlineLevel="0" collapsed="false">
      <c r="A5916" s="114" t="n">
        <v>7555200.01</v>
      </c>
      <c r="B5916" s="114" t="n">
        <v>7556480</v>
      </c>
      <c r="C5916" s="114" t="n">
        <v>169479.860000017</v>
      </c>
    </row>
    <row r="5917" customFormat="false" ht="15" hidden="false" customHeight="true" outlineLevel="0" collapsed="false">
      <c r="A5917" s="115" t="n">
        <v>7556480.01</v>
      </c>
      <c r="B5917" s="115" t="n">
        <v>7557760</v>
      </c>
      <c r="C5917" s="115" t="n">
        <v>169508.520000017</v>
      </c>
    </row>
    <row r="5918" customFormat="false" ht="15" hidden="false" customHeight="true" outlineLevel="0" collapsed="false">
      <c r="A5918" s="114" t="n">
        <v>7557760.01</v>
      </c>
      <c r="B5918" s="114" t="n">
        <v>7559040</v>
      </c>
      <c r="C5918" s="114" t="n">
        <v>169537.180000017</v>
      </c>
    </row>
    <row r="5919" customFormat="false" ht="15" hidden="false" customHeight="true" outlineLevel="0" collapsed="false">
      <c r="A5919" s="115" t="n">
        <v>7559040.01</v>
      </c>
      <c r="B5919" s="115" t="n">
        <v>7560320</v>
      </c>
      <c r="C5919" s="115" t="n">
        <v>169565.840000017</v>
      </c>
    </row>
    <row r="5920" customFormat="false" ht="15" hidden="false" customHeight="true" outlineLevel="0" collapsed="false">
      <c r="A5920" s="114" t="n">
        <v>7560320.01</v>
      </c>
      <c r="B5920" s="114" t="n">
        <v>7561600</v>
      </c>
      <c r="C5920" s="114" t="n">
        <v>169594.500000017</v>
      </c>
    </row>
    <row r="5921" customFormat="false" ht="15" hidden="false" customHeight="true" outlineLevel="0" collapsed="false">
      <c r="A5921" s="115" t="n">
        <v>7561600.01</v>
      </c>
      <c r="B5921" s="115" t="n">
        <v>7562880</v>
      </c>
      <c r="C5921" s="115" t="n">
        <v>169623.160000017</v>
      </c>
    </row>
    <row r="5922" customFormat="false" ht="15" hidden="false" customHeight="true" outlineLevel="0" collapsed="false">
      <c r="A5922" s="114" t="n">
        <v>7562880.01</v>
      </c>
      <c r="B5922" s="114" t="n">
        <v>7564160</v>
      </c>
      <c r="C5922" s="114" t="n">
        <v>169651.820000017</v>
      </c>
    </row>
    <row r="5923" customFormat="false" ht="15" hidden="false" customHeight="true" outlineLevel="0" collapsed="false">
      <c r="A5923" s="115" t="n">
        <v>7564160.01</v>
      </c>
      <c r="B5923" s="115" t="n">
        <v>7565440</v>
      </c>
      <c r="C5923" s="115" t="n">
        <v>169680.480000017</v>
      </c>
    </row>
    <row r="5924" customFormat="false" ht="15" hidden="false" customHeight="true" outlineLevel="0" collapsed="false">
      <c r="A5924" s="114" t="n">
        <v>7565440.01</v>
      </c>
      <c r="B5924" s="114" t="n">
        <v>7566720</v>
      </c>
      <c r="C5924" s="114" t="n">
        <v>169709.140000017</v>
      </c>
    </row>
    <row r="5925" customFormat="false" ht="15" hidden="false" customHeight="true" outlineLevel="0" collapsed="false">
      <c r="A5925" s="115" t="n">
        <v>7566720.01</v>
      </c>
      <c r="B5925" s="115" t="n">
        <v>7568000</v>
      </c>
      <c r="C5925" s="115" t="n">
        <v>169737.800000017</v>
      </c>
    </row>
    <row r="5926" customFormat="false" ht="15" hidden="false" customHeight="true" outlineLevel="0" collapsed="false">
      <c r="A5926" s="114" t="n">
        <v>7568000.01</v>
      </c>
      <c r="B5926" s="114" t="n">
        <v>7569280</v>
      </c>
      <c r="C5926" s="114" t="n">
        <v>169766.460000017</v>
      </c>
    </row>
    <row r="5927" customFormat="false" ht="15" hidden="false" customHeight="true" outlineLevel="0" collapsed="false">
      <c r="A5927" s="115" t="n">
        <v>7569280.01</v>
      </c>
      <c r="B5927" s="115" t="n">
        <v>7570560</v>
      </c>
      <c r="C5927" s="115" t="n">
        <v>169795.120000017</v>
      </c>
    </row>
    <row r="5928" customFormat="false" ht="15" hidden="false" customHeight="true" outlineLevel="0" collapsed="false">
      <c r="A5928" s="114" t="n">
        <v>7570560.01</v>
      </c>
      <c r="B5928" s="114" t="n">
        <v>7571840</v>
      </c>
      <c r="C5928" s="114" t="n">
        <v>169823.780000017</v>
      </c>
    </row>
    <row r="5929" customFormat="false" ht="15" hidden="false" customHeight="true" outlineLevel="0" collapsed="false">
      <c r="A5929" s="115" t="n">
        <v>7571840.01</v>
      </c>
      <c r="B5929" s="115" t="n">
        <v>7573120</v>
      </c>
      <c r="C5929" s="115" t="n">
        <v>169852.440000017</v>
      </c>
    </row>
    <row r="5930" customFormat="false" ht="15" hidden="false" customHeight="true" outlineLevel="0" collapsed="false">
      <c r="A5930" s="114" t="n">
        <v>7573120.01</v>
      </c>
      <c r="B5930" s="114" t="n">
        <v>7574400</v>
      </c>
      <c r="C5930" s="114" t="n">
        <v>169881.100000017</v>
      </c>
    </row>
    <row r="5931" customFormat="false" ht="15" hidden="false" customHeight="true" outlineLevel="0" collapsed="false">
      <c r="A5931" s="115" t="n">
        <v>7574400.01</v>
      </c>
      <c r="B5931" s="115" t="n">
        <v>7575680</v>
      </c>
      <c r="C5931" s="115" t="n">
        <v>169909.760000017</v>
      </c>
    </row>
    <row r="5932" customFormat="false" ht="15" hidden="false" customHeight="true" outlineLevel="0" collapsed="false">
      <c r="A5932" s="114" t="n">
        <v>7575680.01</v>
      </c>
      <c r="B5932" s="114" t="n">
        <v>7576960</v>
      </c>
      <c r="C5932" s="114" t="n">
        <v>169938.420000017</v>
      </c>
    </row>
    <row r="5933" customFormat="false" ht="15" hidden="false" customHeight="true" outlineLevel="0" collapsed="false">
      <c r="A5933" s="115" t="n">
        <v>7576960.01</v>
      </c>
      <c r="B5933" s="115" t="n">
        <v>7578240</v>
      </c>
      <c r="C5933" s="115" t="n">
        <v>169967.080000017</v>
      </c>
    </row>
    <row r="5934" customFormat="false" ht="15" hidden="false" customHeight="true" outlineLevel="0" collapsed="false">
      <c r="A5934" s="114" t="n">
        <v>7578240.01</v>
      </c>
      <c r="B5934" s="114" t="n">
        <v>7579520</v>
      </c>
      <c r="C5934" s="114" t="n">
        <v>169995.740000017</v>
      </c>
    </row>
    <row r="5935" customFormat="false" ht="15" hidden="false" customHeight="true" outlineLevel="0" collapsed="false">
      <c r="A5935" s="115" t="n">
        <v>7579520.01</v>
      </c>
      <c r="B5935" s="115" t="n">
        <v>7580800</v>
      </c>
      <c r="C5935" s="115" t="n">
        <v>170024.400000017</v>
      </c>
    </row>
    <row r="5936" customFormat="false" ht="15" hidden="false" customHeight="true" outlineLevel="0" collapsed="false">
      <c r="A5936" s="114" t="n">
        <v>7580800.01</v>
      </c>
      <c r="B5936" s="114" t="n">
        <v>7582080</v>
      </c>
      <c r="C5936" s="114" t="n">
        <v>170053.060000017</v>
      </c>
    </row>
    <row r="5937" customFormat="false" ht="15" hidden="false" customHeight="true" outlineLevel="0" collapsed="false">
      <c r="A5937" s="115" t="n">
        <v>7582080.01</v>
      </c>
      <c r="B5937" s="115" t="n">
        <v>7583360</v>
      </c>
      <c r="C5937" s="115" t="n">
        <v>170081.720000017</v>
      </c>
    </row>
    <row r="5938" customFormat="false" ht="15" hidden="false" customHeight="true" outlineLevel="0" collapsed="false">
      <c r="A5938" s="114" t="n">
        <v>7583360.01</v>
      </c>
      <c r="B5938" s="114" t="n">
        <v>7584640</v>
      </c>
      <c r="C5938" s="114" t="n">
        <v>170110.380000017</v>
      </c>
    </row>
    <row r="5939" customFormat="false" ht="15" hidden="false" customHeight="true" outlineLevel="0" collapsed="false">
      <c r="A5939" s="115" t="n">
        <v>7584640.01</v>
      </c>
      <c r="B5939" s="115" t="n">
        <v>7585920</v>
      </c>
      <c r="C5939" s="115" t="n">
        <v>170139.040000017</v>
      </c>
    </row>
    <row r="5940" customFormat="false" ht="15" hidden="false" customHeight="true" outlineLevel="0" collapsed="false">
      <c r="A5940" s="114" t="n">
        <v>7585920.01</v>
      </c>
      <c r="B5940" s="114" t="n">
        <v>7587200</v>
      </c>
      <c r="C5940" s="114" t="n">
        <v>170167.700000017</v>
      </c>
    </row>
    <row r="5941" customFormat="false" ht="15" hidden="false" customHeight="true" outlineLevel="0" collapsed="false">
      <c r="A5941" s="115" t="n">
        <v>7587200.01</v>
      </c>
      <c r="B5941" s="115" t="n">
        <v>7588480</v>
      </c>
      <c r="C5941" s="115" t="n">
        <v>170196.360000017</v>
      </c>
    </row>
    <row r="5942" customFormat="false" ht="15" hidden="false" customHeight="true" outlineLevel="0" collapsed="false">
      <c r="A5942" s="114" t="n">
        <v>7588480.01</v>
      </c>
      <c r="B5942" s="114" t="n">
        <v>7589760</v>
      </c>
      <c r="C5942" s="114" t="n">
        <v>170225.020000017</v>
      </c>
    </row>
    <row r="5943" customFormat="false" ht="15" hidden="false" customHeight="true" outlineLevel="0" collapsed="false">
      <c r="A5943" s="115" t="n">
        <v>7589760.01</v>
      </c>
      <c r="B5943" s="115" t="n">
        <v>7591040</v>
      </c>
      <c r="C5943" s="115" t="n">
        <v>170253.680000017</v>
      </c>
    </row>
    <row r="5944" customFormat="false" ht="15" hidden="false" customHeight="true" outlineLevel="0" collapsed="false">
      <c r="A5944" s="114" t="n">
        <v>7591040.01</v>
      </c>
      <c r="B5944" s="114" t="n">
        <v>7592320</v>
      </c>
      <c r="C5944" s="114" t="n">
        <v>170282.340000017</v>
      </c>
    </row>
    <row r="5945" customFormat="false" ht="15" hidden="false" customHeight="true" outlineLevel="0" collapsed="false">
      <c r="A5945" s="115" t="n">
        <v>7592320.01</v>
      </c>
      <c r="B5945" s="115" t="n">
        <v>7593600</v>
      </c>
      <c r="C5945" s="115" t="n">
        <v>170311.000000017</v>
      </c>
    </row>
    <row r="5946" customFormat="false" ht="15" hidden="false" customHeight="true" outlineLevel="0" collapsed="false">
      <c r="A5946" s="114" t="n">
        <v>7593600.01</v>
      </c>
      <c r="B5946" s="114" t="n">
        <v>7594880</v>
      </c>
      <c r="C5946" s="114" t="n">
        <v>170339.660000017</v>
      </c>
    </row>
    <row r="5947" customFormat="false" ht="15" hidden="false" customHeight="true" outlineLevel="0" collapsed="false">
      <c r="A5947" s="115" t="n">
        <v>7594880.01</v>
      </c>
      <c r="B5947" s="115" t="n">
        <v>7596160</v>
      </c>
      <c r="C5947" s="115" t="n">
        <v>170368.320000017</v>
      </c>
    </row>
    <row r="5948" customFormat="false" ht="15" hidden="false" customHeight="true" outlineLevel="0" collapsed="false">
      <c r="A5948" s="114" t="n">
        <v>7596160.01</v>
      </c>
      <c r="B5948" s="114" t="n">
        <v>7597440</v>
      </c>
      <c r="C5948" s="114" t="n">
        <v>170396.980000017</v>
      </c>
    </row>
    <row r="5949" customFormat="false" ht="15" hidden="false" customHeight="true" outlineLevel="0" collapsed="false">
      <c r="A5949" s="115" t="n">
        <v>7597440.01</v>
      </c>
      <c r="B5949" s="115" t="n">
        <v>7598720</v>
      </c>
      <c r="C5949" s="115" t="n">
        <v>170425.640000017</v>
      </c>
    </row>
    <row r="5950" customFormat="false" ht="15" hidden="false" customHeight="true" outlineLevel="0" collapsed="false">
      <c r="A5950" s="114" t="n">
        <v>7598720.01</v>
      </c>
      <c r="B5950" s="114" t="n">
        <v>7600000</v>
      </c>
      <c r="C5950" s="114" t="n">
        <v>170454.300000017</v>
      </c>
    </row>
    <row r="5951" customFormat="false" ht="15" hidden="false" customHeight="true" outlineLevel="0" collapsed="false">
      <c r="A5951" s="115" t="n">
        <v>7600000.01</v>
      </c>
      <c r="B5951" s="115" t="n">
        <v>7601280</v>
      </c>
      <c r="C5951" s="115" t="n">
        <v>170482.960000017</v>
      </c>
    </row>
    <row r="5952" customFormat="false" ht="15" hidden="false" customHeight="true" outlineLevel="0" collapsed="false">
      <c r="A5952" s="114" t="n">
        <v>7601280.01</v>
      </c>
      <c r="B5952" s="114" t="n">
        <v>7602560</v>
      </c>
      <c r="C5952" s="114" t="n">
        <v>170511.620000017</v>
      </c>
    </row>
    <row r="5953" customFormat="false" ht="15" hidden="false" customHeight="true" outlineLevel="0" collapsed="false">
      <c r="A5953" s="115" t="n">
        <v>7602560.01</v>
      </c>
      <c r="B5953" s="115" t="n">
        <v>7603840</v>
      </c>
      <c r="C5953" s="115" t="n">
        <v>170540.280000017</v>
      </c>
    </row>
    <row r="5954" customFormat="false" ht="15" hidden="false" customHeight="true" outlineLevel="0" collapsed="false">
      <c r="A5954" s="114" t="n">
        <v>7603840.01</v>
      </c>
      <c r="B5954" s="114" t="n">
        <v>7605120</v>
      </c>
      <c r="C5954" s="114" t="n">
        <v>170568.940000017</v>
      </c>
    </row>
    <row r="5955" customFormat="false" ht="15" hidden="false" customHeight="true" outlineLevel="0" collapsed="false">
      <c r="A5955" s="115" t="n">
        <v>7605120.01</v>
      </c>
      <c r="B5955" s="115" t="n">
        <v>7606400</v>
      </c>
      <c r="C5955" s="115" t="n">
        <v>170597.600000017</v>
      </c>
    </row>
    <row r="5956" customFormat="false" ht="15" hidden="false" customHeight="true" outlineLevel="0" collapsed="false">
      <c r="A5956" s="114" t="n">
        <v>7606400.01</v>
      </c>
      <c r="B5956" s="114" t="n">
        <v>7607680</v>
      </c>
      <c r="C5956" s="114" t="n">
        <v>170626.260000017</v>
      </c>
    </row>
    <row r="5957" customFormat="false" ht="15" hidden="false" customHeight="true" outlineLevel="0" collapsed="false">
      <c r="A5957" s="115" t="n">
        <v>7607680.01</v>
      </c>
      <c r="B5957" s="115" t="n">
        <v>7608960</v>
      </c>
      <c r="C5957" s="115" t="n">
        <v>170654.920000017</v>
      </c>
    </row>
    <row r="5958" customFormat="false" ht="15" hidden="false" customHeight="true" outlineLevel="0" collapsed="false">
      <c r="A5958" s="114" t="n">
        <v>7608960.01</v>
      </c>
      <c r="B5958" s="114" t="n">
        <v>7610240</v>
      </c>
      <c r="C5958" s="114" t="n">
        <v>170683.580000017</v>
      </c>
    </row>
    <row r="5959" customFormat="false" ht="15" hidden="false" customHeight="true" outlineLevel="0" collapsed="false">
      <c r="A5959" s="115" t="n">
        <v>7610240.01</v>
      </c>
      <c r="B5959" s="115" t="n">
        <v>7611520</v>
      </c>
      <c r="C5959" s="115" t="n">
        <v>170712.240000017</v>
      </c>
    </row>
    <row r="5960" customFormat="false" ht="15" hidden="false" customHeight="true" outlineLevel="0" collapsed="false">
      <c r="A5960" s="114" t="n">
        <v>7611520.01</v>
      </c>
      <c r="B5960" s="114" t="n">
        <v>7612800</v>
      </c>
      <c r="C5960" s="114" t="n">
        <v>170740.900000017</v>
      </c>
    </row>
    <row r="5961" customFormat="false" ht="15" hidden="false" customHeight="true" outlineLevel="0" collapsed="false">
      <c r="A5961" s="115" t="n">
        <v>7612800.01</v>
      </c>
      <c r="B5961" s="115" t="n">
        <v>7614080</v>
      </c>
      <c r="C5961" s="115" t="n">
        <v>170769.560000017</v>
      </c>
    </row>
    <row r="5962" customFormat="false" ht="15" hidden="false" customHeight="true" outlineLevel="0" collapsed="false">
      <c r="A5962" s="114" t="n">
        <v>7614080.01</v>
      </c>
      <c r="B5962" s="114" t="n">
        <v>7615360</v>
      </c>
      <c r="C5962" s="114" t="n">
        <v>170798.220000017</v>
      </c>
    </row>
    <row r="5963" customFormat="false" ht="15" hidden="false" customHeight="true" outlineLevel="0" collapsed="false">
      <c r="A5963" s="115" t="n">
        <v>7615360.01</v>
      </c>
      <c r="B5963" s="115" t="n">
        <v>7616640</v>
      </c>
      <c r="C5963" s="115" t="n">
        <v>170826.880000017</v>
      </c>
    </row>
    <row r="5964" customFormat="false" ht="15" hidden="false" customHeight="true" outlineLevel="0" collapsed="false">
      <c r="A5964" s="114" t="n">
        <v>7616640.01</v>
      </c>
      <c r="B5964" s="114" t="n">
        <v>7617920</v>
      </c>
      <c r="C5964" s="114" t="n">
        <v>170855.540000017</v>
      </c>
    </row>
    <row r="5965" customFormat="false" ht="15" hidden="false" customHeight="true" outlineLevel="0" collapsed="false">
      <c r="A5965" s="115" t="n">
        <v>7617920.01</v>
      </c>
      <c r="B5965" s="115" t="n">
        <v>7619200</v>
      </c>
      <c r="C5965" s="115" t="n">
        <v>170884.200000017</v>
      </c>
    </row>
    <row r="5966" customFormat="false" ht="15" hidden="false" customHeight="true" outlineLevel="0" collapsed="false">
      <c r="A5966" s="114" t="n">
        <v>7619200.01</v>
      </c>
      <c r="B5966" s="114" t="n">
        <v>7620480</v>
      </c>
      <c r="C5966" s="114" t="n">
        <v>170912.860000017</v>
      </c>
    </row>
    <row r="5967" customFormat="false" ht="15" hidden="false" customHeight="true" outlineLevel="0" collapsed="false">
      <c r="A5967" s="115" t="n">
        <v>7620480.01</v>
      </c>
      <c r="B5967" s="115" t="n">
        <v>7621760</v>
      </c>
      <c r="C5967" s="115" t="n">
        <v>170941.520000017</v>
      </c>
    </row>
    <row r="5968" customFormat="false" ht="15" hidden="false" customHeight="true" outlineLevel="0" collapsed="false">
      <c r="A5968" s="114" t="n">
        <v>7621760.01</v>
      </c>
      <c r="B5968" s="114" t="n">
        <v>7623040</v>
      </c>
      <c r="C5968" s="114" t="n">
        <v>170970.180000017</v>
      </c>
    </row>
    <row r="5969" customFormat="false" ht="15" hidden="false" customHeight="true" outlineLevel="0" collapsed="false">
      <c r="A5969" s="115" t="n">
        <v>7623040.01</v>
      </c>
      <c r="B5969" s="115" t="n">
        <v>7624320</v>
      </c>
      <c r="C5969" s="115" t="n">
        <v>170998.840000017</v>
      </c>
    </row>
    <row r="5970" customFormat="false" ht="15" hidden="false" customHeight="true" outlineLevel="0" collapsed="false">
      <c r="A5970" s="114" t="n">
        <v>7624320.01</v>
      </c>
      <c r="B5970" s="114" t="n">
        <v>7625600</v>
      </c>
      <c r="C5970" s="114" t="n">
        <v>171027.500000017</v>
      </c>
    </row>
    <row r="5971" customFormat="false" ht="15" hidden="false" customHeight="true" outlineLevel="0" collapsed="false">
      <c r="A5971" s="115" t="n">
        <v>7625600.01</v>
      </c>
      <c r="B5971" s="115" t="n">
        <v>7626880</v>
      </c>
      <c r="C5971" s="115" t="n">
        <v>171056.160000017</v>
      </c>
    </row>
    <row r="5972" customFormat="false" ht="15" hidden="false" customHeight="true" outlineLevel="0" collapsed="false">
      <c r="A5972" s="114" t="n">
        <v>7626880.01</v>
      </c>
      <c r="B5972" s="114" t="n">
        <v>7628160</v>
      </c>
      <c r="C5972" s="114" t="n">
        <v>171084.820000017</v>
      </c>
    </row>
    <row r="5973" customFormat="false" ht="15" hidden="false" customHeight="true" outlineLevel="0" collapsed="false">
      <c r="A5973" s="115" t="n">
        <v>7628160.01</v>
      </c>
      <c r="B5973" s="115" t="n">
        <v>7629440</v>
      </c>
      <c r="C5973" s="115" t="n">
        <v>171113.480000017</v>
      </c>
    </row>
    <row r="5974" customFormat="false" ht="15" hidden="false" customHeight="true" outlineLevel="0" collapsed="false">
      <c r="A5974" s="114" t="n">
        <v>7629440.01</v>
      </c>
      <c r="B5974" s="114" t="n">
        <v>7630720</v>
      </c>
      <c r="C5974" s="114" t="n">
        <v>171142.140000017</v>
      </c>
    </row>
    <row r="5975" customFormat="false" ht="15" hidden="false" customHeight="true" outlineLevel="0" collapsed="false">
      <c r="A5975" s="115" t="n">
        <v>7630720.01</v>
      </c>
      <c r="B5975" s="115" t="n">
        <v>7632000</v>
      </c>
      <c r="C5975" s="115" t="n">
        <v>171170.800000017</v>
      </c>
    </row>
    <row r="5976" customFormat="false" ht="15" hidden="false" customHeight="true" outlineLevel="0" collapsed="false">
      <c r="A5976" s="114" t="n">
        <v>7632000.01</v>
      </c>
      <c r="B5976" s="114" t="n">
        <v>7633280</v>
      </c>
      <c r="C5976" s="114" t="n">
        <v>171199.460000017</v>
      </c>
    </row>
    <row r="5977" customFormat="false" ht="15" hidden="false" customHeight="true" outlineLevel="0" collapsed="false">
      <c r="A5977" s="115" t="n">
        <v>7633280.01</v>
      </c>
      <c r="B5977" s="115" t="n">
        <v>7634560</v>
      </c>
      <c r="C5977" s="115" t="n">
        <v>171228.120000017</v>
      </c>
    </row>
    <row r="5978" customFormat="false" ht="15" hidden="false" customHeight="true" outlineLevel="0" collapsed="false">
      <c r="A5978" s="114" t="n">
        <v>7634560.01</v>
      </c>
      <c r="B5978" s="114" t="n">
        <v>7635840</v>
      </c>
      <c r="C5978" s="114" t="n">
        <v>171256.780000017</v>
      </c>
    </row>
    <row r="5979" customFormat="false" ht="15" hidden="false" customHeight="true" outlineLevel="0" collapsed="false">
      <c r="A5979" s="115" t="n">
        <v>7635840.01</v>
      </c>
      <c r="B5979" s="115" t="n">
        <v>7637120</v>
      </c>
      <c r="C5979" s="115" t="n">
        <v>171285.440000017</v>
      </c>
    </row>
    <row r="5980" customFormat="false" ht="15" hidden="false" customHeight="true" outlineLevel="0" collapsed="false">
      <c r="A5980" s="114" t="n">
        <v>7637120.01</v>
      </c>
      <c r="B5980" s="114" t="n">
        <v>7638400</v>
      </c>
      <c r="C5980" s="114" t="n">
        <v>171314.100000017</v>
      </c>
    </row>
    <row r="5981" customFormat="false" ht="15" hidden="false" customHeight="true" outlineLevel="0" collapsed="false">
      <c r="A5981" s="115" t="n">
        <v>7638400.01</v>
      </c>
      <c r="B5981" s="115" t="n">
        <v>7639680</v>
      </c>
      <c r="C5981" s="115" t="n">
        <v>171342.760000017</v>
      </c>
    </row>
    <row r="5982" customFormat="false" ht="15" hidden="false" customHeight="true" outlineLevel="0" collapsed="false">
      <c r="A5982" s="114" t="n">
        <v>7639680.01</v>
      </c>
      <c r="B5982" s="114" t="n">
        <v>7640960</v>
      </c>
      <c r="C5982" s="114" t="n">
        <v>171371.420000017</v>
      </c>
    </row>
    <row r="5983" customFormat="false" ht="15" hidden="false" customHeight="true" outlineLevel="0" collapsed="false">
      <c r="A5983" s="115" t="n">
        <v>7640960.01</v>
      </c>
      <c r="B5983" s="115" t="n">
        <v>7642240</v>
      </c>
      <c r="C5983" s="115" t="n">
        <v>171400.080000017</v>
      </c>
    </row>
    <row r="5984" customFormat="false" ht="15" hidden="false" customHeight="true" outlineLevel="0" collapsed="false">
      <c r="A5984" s="114" t="n">
        <v>7642240.01</v>
      </c>
      <c r="B5984" s="114" t="n">
        <v>7643520</v>
      </c>
      <c r="C5984" s="114" t="n">
        <v>171428.740000017</v>
      </c>
    </row>
    <row r="5985" customFormat="false" ht="15" hidden="false" customHeight="true" outlineLevel="0" collapsed="false">
      <c r="A5985" s="115" t="n">
        <v>7643520.01</v>
      </c>
      <c r="B5985" s="115" t="n">
        <v>7644800</v>
      </c>
      <c r="C5985" s="115" t="n">
        <v>171457.400000017</v>
      </c>
    </row>
    <row r="5986" customFormat="false" ht="15" hidden="false" customHeight="true" outlineLevel="0" collapsed="false">
      <c r="A5986" s="114" t="n">
        <v>7644800.01</v>
      </c>
      <c r="B5986" s="114" t="n">
        <v>7646080</v>
      </c>
      <c r="C5986" s="114" t="n">
        <v>171486.060000017</v>
      </c>
    </row>
    <row r="5987" customFormat="false" ht="15" hidden="false" customHeight="true" outlineLevel="0" collapsed="false">
      <c r="A5987" s="115" t="n">
        <v>7646080.01</v>
      </c>
      <c r="B5987" s="115" t="n">
        <v>7647360</v>
      </c>
      <c r="C5987" s="115" t="n">
        <v>171514.720000017</v>
      </c>
    </row>
    <row r="5988" customFormat="false" ht="15" hidden="false" customHeight="true" outlineLevel="0" collapsed="false">
      <c r="A5988" s="114" t="n">
        <v>7647360.01</v>
      </c>
      <c r="B5988" s="114" t="n">
        <v>7648640</v>
      </c>
      <c r="C5988" s="114" t="n">
        <v>171543.380000017</v>
      </c>
    </row>
    <row r="5989" customFormat="false" ht="15" hidden="false" customHeight="true" outlineLevel="0" collapsed="false">
      <c r="A5989" s="115" t="n">
        <v>7648640.01</v>
      </c>
      <c r="B5989" s="115" t="n">
        <v>7649920</v>
      </c>
      <c r="C5989" s="115" t="n">
        <v>171572.040000017</v>
      </c>
    </row>
    <row r="5990" customFormat="false" ht="15" hidden="false" customHeight="true" outlineLevel="0" collapsed="false">
      <c r="A5990" s="114" t="n">
        <v>7649920.01</v>
      </c>
      <c r="B5990" s="114" t="n">
        <v>7651200</v>
      </c>
      <c r="C5990" s="114" t="n">
        <v>171600.700000017</v>
      </c>
    </row>
    <row r="5991" customFormat="false" ht="15" hidden="false" customHeight="true" outlineLevel="0" collapsed="false">
      <c r="A5991" s="115" t="n">
        <v>7651200.01</v>
      </c>
      <c r="B5991" s="115" t="n">
        <v>7652480</v>
      </c>
      <c r="C5991" s="115" t="n">
        <v>171629.360000017</v>
      </c>
    </row>
    <row r="5992" customFormat="false" ht="15" hidden="false" customHeight="true" outlineLevel="0" collapsed="false">
      <c r="A5992" s="114" t="n">
        <v>7652480.01</v>
      </c>
      <c r="B5992" s="114" t="n">
        <v>7653760</v>
      </c>
      <c r="C5992" s="114" t="n">
        <v>171658.020000017</v>
      </c>
    </row>
    <row r="5993" customFormat="false" ht="15" hidden="false" customHeight="true" outlineLevel="0" collapsed="false">
      <c r="A5993" s="115" t="n">
        <v>7653760.01</v>
      </c>
      <c r="B5993" s="115" t="n">
        <v>7655040</v>
      </c>
      <c r="C5993" s="115" t="n">
        <v>171686.680000017</v>
      </c>
    </row>
    <row r="5994" customFormat="false" ht="15" hidden="false" customHeight="true" outlineLevel="0" collapsed="false">
      <c r="A5994" s="114" t="n">
        <v>7655040.01</v>
      </c>
      <c r="B5994" s="114" t="n">
        <v>7656320</v>
      </c>
      <c r="C5994" s="114" t="n">
        <v>171715.340000017</v>
      </c>
    </row>
    <row r="5995" customFormat="false" ht="15" hidden="false" customHeight="true" outlineLevel="0" collapsed="false">
      <c r="A5995" s="115" t="n">
        <v>7656320.01</v>
      </c>
      <c r="B5995" s="115" t="n">
        <v>7657600</v>
      </c>
      <c r="C5995" s="115" t="n">
        <v>171744.000000017</v>
      </c>
    </row>
    <row r="5996" customFormat="false" ht="15" hidden="false" customHeight="true" outlineLevel="0" collapsed="false">
      <c r="A5996" s="114" t="n">
        <v>7657600.01</v>
      </c>
      <c r="B5996" s="114" t="n">
        <v>7658880</v>
      </c>
      <c r="C5996" s="114" t="n">
        <v>171772.660000017</v>
      </c>
    </row>
    <row r="5997" customFormat="false" ht="15" hidden="false" customHeight="true" outlineLevel="0" collapsed="false">
      <c r="A5997" s="115" t="n">
        <v>7658880.01</v>
      </c>
      <c r="B5997" s="115" t="n">
        <v>7660160</v>
      </c>
      <c r="C5997" s="115" t="n">
        <v>171801.320000017</v>
      </c>
    </row>
    <row r="5998" customFormat="false" ht="15" hidden="false" customHeight="true" outlineLevel="0" collapsed="false">
      <c r="A5998" s="114" t="n">
        <v>7660160.01</v>
      </c>
      <c r="B5998" s="114" t="n">
        <v>7661440</v>
      </c>
      <c r="C5998" s="114" t="n">
        <v>171829.980000017</v>
      </c>
    </row>
    <row r="5999" customFormat="false" ht="15" hidden="false" customHeight="true" outlineLevel="0" collapsed="false">
      <c r="A5999" s="115" t="n">
        <v>7661440.01</v>
      </c>
      <c r="B5999" s="115" t="n">
        <v>7662720</v>
      </c>
      <c r="C5999" s="115" t="n">
        <v>171858.640000017</v>
      </c>
    </row>
    <row r="6000" customFormat="false" ht="15" hidden="false" customHeight="true" outlineLevel="0" collapsed="false">
      <c r="A6000" s="114" t="n">
        <v>7662720.01</v>
      </c>
      <c r="B6000" s="114" t="n">
        <v>7664000</v>
      </c>
      <c r="C6000" s="114" t="n">
        <v>171887.300000017</v>
      </c>
    </row>
    <row r="6001" customFormat="false" ht="15" hidden="false" customHeight="true" outlineLevel="0" collapsed="false">
      <c r="A6001" s="115" t="n">
        <v>7664000.01</v>
      </c>
      <c r="B6001" s="115" t="n">
        <v>7665280</v>
      </c>
      <c r="C6001" s="115" t="n">
        <v>171915.960000017</v>
      </c>
    </row>
    <row r="6002" customFormat="false" ht="15" hidden="false" customHeight="true" outlineLevel="0" collapsed="false">
      <c r="A6002" s="114" t="n">
        <v>7665280.01</v>
      </c>
      <c r="B6002" s="114" t="n">
        <v>7666560</v>
      </c>
      <c r="C6002" s="114" t="n">
        <v>171944.620000017</v>
      </c>
    </row>
    <row r="6003" customFormat="false" ht="15" hidden="false" customHeight="true" outlineLevel="0" collapsed="false">
      <c r="A6003" s="115" t="n">
        <v>7666560.01</v>
      </c>
      <c r="B6003" s="115" t="n">
        <v>7667840</v>
      </c>
      <c r="C6003" s="115" t="n">
        <v>171973.280000017</v>
      </c>
    </row>
    <row r="6004" customFormat="false" ht="15" hidden="false" customHeight="true" outlineLevel="0" collapsed="false">
      <c r="A6004" s="114" t="n">
        <v>7667840.01</v>
      </c>
      <c r="B6004" s="114" t="n">
        <v>7669120</v>
      </c>
      <c r="C6004" s="114" t="n">
        <v>172001.940000017</v>
      </c>
    </row>
    <row r="6005" customFormat="false" ht="15" hidden="false" customHeight="true" outlineLevel="0" collapsed="false">
      <c r="A6005" s="115" t="n">
        <v>7669120.01</v>
      </c>
      <c r="B6005" s="115" t="n">
        <v>7670400</v>
      </c>
      <c r="C6005" s="115" t="n">
        <v>172030.600000017</v>
      </c>
    </row>
    <row r="6006" customFormat="false" ht="15" hidden="false" customHeight="true" outlineLevel="0" collapsed="false">
      <c r="A6006" s="114" t="n">
        <v>7670400.01</v>
      </c>
      <c r="B6006" s="114" t="n">
        <v>7671680</v>
      </c>
      <c r="C6006" s="114" t="n">
        <v>172059.260000017</v>
      </c>
    </row>
    <row r="6007" customFormat="false" ht="15" hidden="false" customHeight="true" outlineLevel="0" collapsed="false">
      <c r="A6007" s="115" t="n">
        <v>7671680.01</v>
      </c>
      <c r="B6007" s="115" t="n">
        <v>7672960</v>
      </c>
      <c r="C6007" s="115" t="n">
        <v>172087.920000017</v>
      </c>
    </row>
    <row r="6008" customFormat="false" ht="15" hidden="false" customHeight="true" outlineLevel="0" collapsed="false">
      <c r="A6008" s="114" t="n">
        <v>7672960.01</v>
      </c>
      <c r="B6008" s="114" t="n">
        <v>7674240</v>
      </c>
      <c r="C6008" s="114" t="n">
        <v>172116.580000017</v>
      </c>
    </row>
    <row r="6009" customFormat="false" ht="15" hidden="false" customHeight="true" outlineLevel="0" collapsed="false">
      <c r="A6009" s="115" t="n">
        <v>7674240.01</v>
      </c>
      <c r="B6009" s="115" t="n">
        <v>7675520</v>
      </c>
      <c r="C6009" s="115" t="n">
        <v>172145.240000017</v>
      </c>
    </row>
    <row r="6010" customFormat="false" ht="15" hidden="false" customHeight="true" outlineLevel="0" collapsed="false">
      <c r="A6010" s="114" t="n">
        <v>7675520.01</v>
      </c>
      <c r="B6010" s="114" t="n">
        <v>7676800</v>
      </c>
      <c r="C6010" s="114" t="n">
        <v>172173.900000017</v>
      </c>
    </row>
    <row r="6011" customFormat="false" ht="15" hidden="false" customHeight="true" outlineLevel="0" collapsed="false">
      <c r="A6011" s="115" t="n">
        <v>7676800.01</v>
      </c>
      <c r="B6011" s="115" t="n">
        <v>7678080</v>
      </c>
      <c r="C6011" s="115" t="n">
        <v>172202.560000017</v>
      </c>
    </row>
    <row r="6012" customFormat="false" ht="15" hidden="false" customHeight="true" outlineLevel="0" collapsed="false">
      <c r="A6012" s="114" t="n">
        <v>7678080.01</v>
      </c>
      <c r="B6012" s="114" t="n">
        <v>7679360</v>
      </c>
      <c r="C6012" s="114" t="n">
        <v>172231.220000017</v>
      </c>
    </row>
    <row r="6013" customFormat="false" ht="15" hidden="false" customHeight="true" outlineLevel="0" collapsed="false">
      <c r="A6013" s="115" t="n">
        <v>7679360.01</v>
      </c>
      <c r="B6013" s="115" t="n">
        <v>7680640</v>
      </c>
      <c r="C6013" s="115" t="n">
        <v>172259.880000017</v>
      </c>
    </row>
    <row r="6014" customFormat="false" ht="15" hidden="false" customHeight="true" outlineLevel="0" collapsed="false">
      <c r="A6014" s="114" t="n">
        <v>7680640.01</v>
      </c>
      <c r="B6014" s="114" t="n">
        <v>7681920</v>
      </c>
      <c r="C6014" s="114" t="n">
        <v>172288.540000017</v>
      </c>
    </row>
    <row r="6015" customFormat="false" ht="15" hidden="false" customHeight="true" outlineLevel="0" collapsed="false">
      <c r="A6015" s="115" t="n">
        <v>7681920.01</v>
      </c>
      <c r="B6015" s="115" t="n">
        <v>7683200</v>
      </c>
      <c r="C6015" s="115" t="n">
        <v>172317.200000017</v>
      </c>
    </row>
    <row r="6016" customFormat="false" ht="15" hidden="false" customHeight="true" outlineLevel="0" collapsed="false">
      <c r="A6016" s="114" t="n">
        <v>7683200.01</v>
      </c>
      <c r="B6016" s="114" t="n">
        <v>7684480</v>
      </c>
      <c r="C6016" s="114" t="n">
        <v>172345.860000017</v>
      </c>
    </row>
    <row r="6017" customFormat="false" ht="15" hidden="false" customHeight="true" outlineLevel="0" collapsed="false">
      <c r="A6017" s="115" t="n">
        <v>7684480.01</v>
      </c>
      <c r="B6017" s="115" t="n">
        <v>7685760</v>
      </c>
      <c r="C6017" s="115" t="n">
        <v>172374.520000017</v>
      </c>
    </row>
    <row r="6018" customFormat="false" ht="15" hidden="false" customHeight="true" outlineLevel="0" collapsed="false">
      <c r="A6018" s="114" t="n">
        <v>7685760.01</v>
      </c>
      <c r="B6018" s="114" t="n">
        <v>7687040</v>
      </c>
      <c r="C6018" s="114" t="n">
        <v>172403.180000017</v>
      </c>
    </row>
    <row r="6019" customFormat="false" ht="15" hidden="false" customHeight="true" outlineLevel="0" collapsed="false">
      <c r="A6019" s="115" t="n">
        <v>7687040.01</v>
      </c>
      <c r="B6019" s="115" t="n">
        <v>7688320</v>
      </c>
      <c r="C6019" s="115" t="n">
        <v>172431.840000017</v>
      </c>
    </row>
    <row r="6020" customFormat="false" ht="15" hidden="false" customHeight="true" outlineLevel="0" collapsed="false">
      <c r="A6020" s="114" t="n">
        <v>7688320.01</v>
      </c>
      <c r="B6020" s="114" t="n">
        <v>7689600</v>
      </c>
      <c r="C6020" s="114" t="n">
        <v>172460.500000017</v>
      </c>
    </row>
    <row r="6021" customFormat="false" ht="15" hidden="false" customHeight="true" outlineLevel="0" collapsed="false">
      <c r="A6021" s="115" t="n">
        <v>7689600.01</v>
      </c>
      <c r="B6021" s="115" t="n">
        <v>7690880</v>
      </c>
      <c r="C6021" s="115" t="n">
        <v>172489.160000017</v>
      </c>
    </row>
    <row r="6022" customFormat="false" ht="15" hidden="false" customHeight="true" outlineLevel="0" collapsed="false">
      <c r="A6022" s="114" t="n">
        <v>7690880.01</v>
      </c>
      <c r="B6022" s="114" t="n">
        <v>7692160</v>
      </c>
      <c r="C6022" s="114" t="n">
        <v>172517.820000017</v>
      </c>
    </row>
    <row r="6023" customFormat="false" ht="15" hidden="false" customHeight="true" outlineLevel="0" collapsed="false">
      <c r="A6023" s="115" t="n">
        <v>7692160.01</v>
      </c>
      <c r="B6023" s="115" t="n">
        <v>7693440</v>
      </c>
      <c r="C6023" s="115" t="n">
        <v>172546.480000017</v>
      </c>
    </row>
    <row r="6024" customFormat="false" ht="15" hidden="false" customHeight="true" outlineLevel="0" collapsed="false">
      <c r="A6024" s="114" t="n">
        <v>7693440.01</v>
      </c>
      <c r="B6024" s="114" t="n">
        <v>7694720</v>
      </c>
      <c r="C6024" s="114" t="n">
        <v>172575.140000017</v>
      </c>
    </row>
    <row r="6025" customFormat="false" ht="15" hidden="false" customHeight="true" outlineLevel="0" collapsed="false">
      <c r="A6025" s="115" t="n">
        <v>7694720.01</v>
      </c>
      <c r="B6025" s="115" t="n">
        <v>7696000</v>
      </c>
      <c r="C6025" s="115" t="n">
        <v>172603.800000017</v>
      </c>
    </row>
    <row r="6026" customFormat="false" ht="15" hidden="false" customHeight="true" outlineLevel="0" collapsed="false">
      <c r="A6026" s="114" t="n">
        <v>7696000.01</v>
      </c>
      <c r="B6026" s="114" t="n">
        <v>7697280</v>
      </c>
      <c r="C6026" s="114" t="n">
        <v>172632.460000017</v>
      </c>
    </row>
    <row r="6027" customFormat="false" ht="15" hidden="false" customHeight="true" outlineLevel="0" collapsed="false">
      <c r="A6027" s="115" t="n">
        <v>7697280.01</v>
      </c>
      <c r="B6027" s="115" t="n">
        <v>7698560</v>
      </c>
      <c r="C6027" s="115" t="n">
        <v>172661.120000017</v>
      </c>
    </row>
    <row r="6028" customFormat="false" ht="15" hidden="false" customHeight="true" outlineLevel="0" collapsed="false">
      <c r="A6028" s="114" t="n">
        <v>7698560.01</v>
      </c>
      <c r="B6028" s="114" t="n">
        <v>7699840</v>
      </c>
      <c r="C6028" s="114" t="n">
        <v>172689.780000017</v>
      </c>
    </row>
    <row r="6029" customFormat="false" ht="15" hidden="false" customHeight="true" outlineLevel="0" collapsed="false">
      <c r="A6029" s="115" t="n">
        <v>7699840.01</v>
      </c>
      <c r="B6029" s="115" t="n">
        <v>7701120</v>
      </c>
      <c r="C6029" s="115" t="n">
        <v>172718.440000017</v>
      </c>
    </row>
    <row r="6030" customFormat="false" ht="15" hidden="false" customHeight="true" outlineLevel="0" collapsed="false">
      <c r="A6030" s="114" t="n">
        <v>7701120.01</v>
      </c>
      <c r="B6030" s="114" t="n">
        <v>7702400</v>
      </c>
      <c r="C6030" s="114" t="n">
        <v>172747.100000017</v>
      </c>
    </row>
    <row r="6031" customFormat="false" ht="15" hidden="false" customHeight="true" outlineLevel="0" collapsed="false">
      <c r="A6031" s="115" t="n">
        <v>7702400.01</v>
      </c>
      <c r="B6031" s="115" t="n">
        <v>7703680</v>
      </c>
      <c r="C6031" s="115" t="n">
        <v>172775.760000017</v>
      </c>
    </row>
    <row r="6032" customFormat="false" ht="15" hidden="false" customHeight="true" outlineLevel="0" collapsed="false">
      <c r="A6032" s="114" t="n">
        <v>7703680.01</v>
      </c>
      <c r="B6032" s="114" t="n">
        <v>7704960</v>
      </c>
      <c r="C6032" s="114" t="n">
        <v>172804.420000017</v>
      </c>
    </row>
    <row r="6033" customFormat="false" ht="15" hidden="false" customHeight="true" outlineLevel="0" collapsed="false">
      <c r="A6033" s="115" t="n">
        <v>7704960.01</v>
      </c>
      <c r="B6033" s="115" t="n">
        <v>7706240</v>
      </c>
      <c r="C6033" s="115" t="n">
        <v>172833.080000017</v>
      </c>
    </row>
    <row r="6034" customFormat="false" ht="15" hidden="false" customHeight="true" outlineLevel="0" collapsed="false">
      <c r="A6034" s="114" t="n">
        <v>7706240.01</v>
      </c>
      <c r="B6034" s="114" t="n">
        <v>7707520</v>
      </c>
      <c r="C6034" s="114" t="n">
        <v>172861.740000017</v>
      </c>
    </row>
    <row r="6035" customFormat="false" ht="15" hidden="false" customHeight="true" outlineLevel="0" collapsed="false">
      <c r="A6035" s="115" t="n">
        <v>7707520.01</v>
      </c>
      <c r="B6035" s="115" t="n">
        <v>7708800</v>
      </c>
      <c r="C6035" s="115" t="n">
        <v>172890.400000017</v>
      </c>
    </row>
    <row r="6036" customFormat="false" ht="15" hidden="false" customHeight="true" outlineLevel="0" collapsed="false">
      <c r="A6036" s="114" t="n">
        <v>7708800.01</v>
      </c>
      <c r="B6036" s="114" t="n">
        <v>7710080</v>
      </c>
      <c r="C6036" s="114" t="n">
        <v>172919.060000017</v>
      </c>
    </row>
    <row r="6037" customFormat="false" ht="15" hidden="false" customHeight="true" outlineLevel="0" collapsed="false">
      <c r="A6037" s="115" t="n">
        <v>7710080.01</v>
      </c>
      <c r="B6037" s="115" t="n">
        <v>7711360</v>
      </c>
      <c r="C6037" s="115" t="n">
        <v>172947.720000017</v>
      </c>
    </row>
    <row r="6038" customFormat="false" ht="15" hidden="false" customHeight="true" outlineLevel="0" collapsed="false">
      <c r="A6038" s="114" t="n">
        <v>7711360.01</v>
      </c>
      <c r="B6038" s="114" t="n">
        <v>7712640</v>
      </c>
      <c r="C6038" s="114" t="n">
        <v>172976.380000017</v>
      </c>
    </row>
    <row r="6039" customFormat="false" ht="15" hidden="false" customHeight="true" outlineLevel="0" collapsed="false">
      <c r="A6039" s="115" t="n">
        <v>7712640.01</v>
      </c>
      <c r="B6039" s="115" t="n">
        <v>7713920</v>
      </c>
      <c r="C6039" s="115" t="n">
        <v>173005.040000017</v>
      </c>
    </row>
    <row r="6040" customFormat="false" ht="15" hidden="false" customHeight="true" outlineLevel="0" collapsed="false">
      <c r="A6040" s="114" t="n">
        <v>7713920.01</v>
      </c>
      <c r="B6040" s="114" t="n">
        <v>7715200</v>
      </c>
      <c r="C6040" s="114" t="n">
        <v>173033.700000017</v>
      </c>
    </row>
    <row r="6041" customFormat="false" ht="15" hidden="false" customHeight="true" outlineLevel="0" collapsed="false">
      <c r="A6041" s="115" t="n">
        <v>7715200.01</v>
      </c>
      <c r="B6041" s="115" t="n">
        <v>7716480</v>
      </c>
      <c r="C6041" s="115" t="n">
        <v>173062.360000017</v>
      </c>
    </row>
    <row r="6042" customFormat="false" ht="15" hidden="false" customHeight="true" outlineLevel="0" collapsed="false">
      <c r="A6042" s="114" t="n">
        <v>7716480.01</v>
      </c>
      <c r="B6042" s="114" t="n">
        <v>7717760</v>
      </c>
      <c r="C6042" s="114" t="n">
        <v>173091.020000017</v>
      </c>
    </row>
    <row r="6043" customFormat="false" ht="15" hidden="false" customHeight="true" outlineLevel="0" collapsed="false">
      <c r="A6043" s="115" t="n">
        <v>7717760.01</v>
      </c>
      <c r="B6043" s="115" t="n">
        <v>7719040</v>
      </c>
      <c r="C6043" s="115" t="n">
        <v>173119.680000017</v>
      </c>
    </row>
    <row r="6044" customFormat="false" ht="15" hidden="false" customHeight="true" outlineLevel="0" collapsed="false">
      <c r="A6044" s="114" t="n">
        <v>7719040.01</v>
      </c>
      <c r="B6044" s="114" t="n">
        <v>7720320</v>
      </c>
      <c r="C6044" s="114" t="n">
        <v>173148.340000017</v>
      </c>
    </row>
    <row r="6045" customFormat="false" ht="15" hidden="false" customHeight="true" outlineLevel="0" collapsed="false">
      <c r="A6045" s="115" t="n">
        <v>7720320.01</v>
      </c>
      <c r="B6045" s="115" t="n">
        <v>7721600</v>
      </c>
      <c r="C6045" s="115" t="n">
        <v>173177.000000017</v>
      </c>
    </row>
    <row r="6046" customFormat="false" ht="15" hidden="false" customHeight="true" outlineLevel="0" collapsed="false">
      <c r="A6046" s="114" t="n">
        <v>7721600.01</v>
      </c>
      <c r="B6046" s="114" t="n">
        <v>7722880</v>
      </c>
      <c r="C6046" s="114" t="n">
        <v>173205.660000017</v>
      </c>
    </row>
    <row r="6047" customFormat="false" ht="15" hidden="false" customHeight="true" outlineLevel="0" collapsed="false">
      <c r="A6047" s="115" t="n">
        <v>7722880.01</v>
      </c>
      <c r="B6047" s="115" t="n">
        <v>7724160</v>
      </c>
      <c r="C6047" s="115" t="n">
        <v>173234.320000017</v>
      </c>
    </row>
    <row r="6048" customFormat="false" ht="15" hidden="false" customHeight="true" outlineLevel="0" collapsed="false">
      <c r="A6048" s="114" t="n">
        <v>7724160.01</v>
      </c>
      <c r="B6048" s="114" t="n">
        <v>7725440</v>
      </c>
      <c r="C6048" s="114" t="n">
        <v>173262.980000017</v>
      </c>
    </row>
    <row r="6049" customFormat="false" ht="15" hidden="false" customHeight="true" outlineLevel="0" collapsed="false">
      <c r="A6049" s="115" t="n">
        <v>7725440.01</v>
      </c>
      <c r="B6049" s="115" t="n">
        <v>7726720</v>
      </c>
      <c r="C6049" s="115" t="n">
        <v>173291.640000017</v>
      </c>
    </row>
    <row r="6050" customFormat="false" ht="15" hidden="false" customHeight="true" outlineLevel="0" collapsed="false">
      <c r="A6050" s="114" t="n">
        <v>7726720.01</v>
      </c>
      <c r="B6050" s="114" t="n">
        <v>7728000</v>
      </c>
      <c r="C6050" s="114" t="n">
        <v>173320.300000017</v>
      </c>
    </row>
    <row r="6051" customFormat="false" ht="15" hidden="false" customHeight="true" outlineLevel="0" collapsed="false">
      <c r="A6051" s="115" t="n">
        <v>7728000.01</v>
      </c>
      <c r="B6051" s="115" t="n">
        <v>7729280</v>
      </c>
      <c r="C6051" s="115" t="n">
        <v>173348.960000017</v>
      </c>
    </row>
    <row r="6052" customFormat="false" ht="15" hidden="false" customHeight="true" outlineLevel="0" collapsed="false">
      <c r="A6052" s="114" t="n">
        <v>7729280.01</v>
      </c>
      <c r="B6052" s="114" t="n">
        <v>7730560</v>
      </c>
      <c r="C6052" s="114" t="n">
        <v>173377.620000017</v>
      </c>
    </row>
    <row r="6053" customFormat="false" ht="15" hidden="false" customHeight="true" outlineLevel="0" collapsed="false">
      <c r="A6053" s="115" t="n">
        <v>7730560.01</v>
      </c>
      <c r="B6053" s="115" t="n">
        <v>7731840</v>
      </c>
      <c r="C6053" s="115" t="n">
        <v>173406.280000017</v>
      </c>
    </row>
    <row r="6054" customFormat="false" ht="15" hidden="false" customHeight="true" outlineLevel="0" collapsed="false">
      <c r="A6054" s="114" t="n">
        <v>7731840.01</v>
      </c>
      <c r="B6054" s="114" t="n">
        <v>7733120</v>
      </c>
      <c r="C6054" s="114" t="n">
        <v>173434.940000017</v>
      </c>
    </row>
    <row r="6055" customFormat="false" ht="15" hidden="false" customHeight="true" outlineLevel="0" collapsed="false">
      <c r="A6055" s="115" t="n">
        <v>7733120.01</v>
      </c>
      <c r="B6055" s="115" t="n">
        <v>7734400</v>
      </c>
      <c r="C6055" s="115" t="n">
        <v>173463.600000017</v>
      </c>
    </row>
    <row r="6056" customFormat="false" ht="15" hidden="false" customHeight="true" outlineLevel="0" collapsed="false">
      <c r="A6056" s="114" t="n">
        <v>7734400.01</v>
      </c>
      <c r="B6056" s="114" t="n">
        <v>7735680</v>
      </c>
      <c r="C6056" s="114" t="n">
        <v>173492.260000017</v>
      </c>
    </row>
    <row r="6057" customFormat="false" ht="15" hidden="false" customHeight="true" outlineLevel="0" collapsed="false">
      <c r="A6057" s="115" t="n">
        <v>7735680.01</v>
      </c>
      <c r="B6057" s="115" t="n">
        <v>7736960</v>
      </c>
      <c r="C6057" s="115" t="n">
        <v>173520.920000017</v>
      </c>
    </row>
    <row r="6058" customFormat="false" ht="15" hidden="false" customHeight="true" outlineLevel="0" collapsed="false">
      <c r="A6058" s="114" t="n">
        <v>7736960.01</v>
      </c>
      <c r="B6058" s="114" t="n">
        <v>7738240</v>
      </c>
      <c r="C6058" s="114" t="n">
        <v>173549.580000017</v>
      </c>
    </row>
    <row r="6059" customFormat="false" ht="15" hidden="false" customHeight="true" outlineLevel="0" collapsed="false">
      <c r="A6059" s="115" t="n">
        <v>7738240.01</v>
      </c>
      <c r="B6059" s="115" t="n">
        <v>7739520</v>
      </c>
      <c r="C6059" s="115" t="n">
        <v>173578.240000017</v>
      </c>
    </row>
    <row r="6060" customFormat="false" ht="15" hidden="false" customHeight="true" outlineLevel="0" collapsed="false">
      <c r="A6060" s="114" t="n">
        <v>7739520.01</v>
      </c>
      <c r="B6060" s="114" t="n">
        <v>7740800</v>
      </c>
      <c r="C6060" s="114" t="n">
        <v>173606.900000017</v>
      </c>
    </row>
    <row r="6061" customFormat="false" ht="15" hidden="false" customHeight="true" outlineLevel="0" collapsed="false">
      <c r="A6061" s="115" t="n">
        <v>7740800.01</v>
      </c>
      <c r="B6061" s="115" t="n">
        <v>7742080</v>
      </c>
      <c r="C6061" s="115" t="n">
        <v>173635.560000017</v>
      </c>
    </row>
    <row r="6062" customFormat="false" ht="15" hidden="false" customHeight="true" outlineLevel="0" collapsed="false">
      <c r="A6062" s="114" t="n">
        <v>7742080.01</v>
      </c>
      <c r="B6062" s="114" t="n">
        <v>7743360</v>
      </c>
      <c r="C6062" s="114" t="n">
        <v>173664.220000017</v>
      </c>
    </row>
    <row r="6063" customFormat="false" ht="15" hidden="false" customHeight="true" outlineLevel="0" collapsed="false">
      <c r="A6063" s="115" t="n">
        <v>7743360.01</v>
      </c>
      <c r="B6063" s="115" t="n">
        <v>7744640</v>
      </c>
      <c r="C6063" s="115" t="n">
        <v>173692.880000017</v>
      </c>
    </row>
    <row r="6064" customFormat="false" ht="15" hidden="false" customHeight="true" outlineLevel="0" collapsed="false">
      <c r="A6064" s="114" t="n">
        <v>7744640.01</v>
      </c>
      <c r="B6064" s="114" t="n">
        <v>7745920</v>
      </c>
      <c r="C6064" s="114" t="n">
        <v>173721.540000017</v>
      </c>
    </row>
    <row r="6065" customFormat="false" ht="15" hidden="false" customHeight="true" outlineLevel="0" collapsed="false">
      <c r="A6065" s="115" t="n">
        <v>7745920.01</v>
      </c>
      <c r="B6065" s="115" t="n">
        <v>7747200</v>
      </c>
      <c r="C6065" s="115" t="n">
        <v>173750.200000017</v>
      </c>
    </row>
    <row r="6066" customFormat="false" ht="15" hidden="false" customHeight="true" outlineLevel="0" collapsed="false">
      <c r="A6066" s="114" t="n">
        <v>7747200.01</v>
      </c>
      <c r="B6066" s="114" t="n">
        <v>7748480</v>
      </c>
      <c r="C6066" s="114" t="n">
        <v>173778.860000017</v>
      </c>
    </row>
    <row r="6067" customFormat="false" ht="15" hidden="false" customHeight="true" outlineLevel="0" collapsed="false">
      <c r="A6067" s="115" t="n">
        <v>7748480.01</v>
      </c>
      <c r="B6067" s="115" t="n">
        <v>7749760</v>
      </c>
      <c r="C6067" s="115" t="n">
        <v>173807.520000017</v>
      </c>
    </row>
    <row r="6068" customFormat="false" ht="15" hidden="false" customHeight="true" outlineLevel="0" collapsed="false">
      <c r="A6068" s="114" t="n">
        <v>7749760.01</v>
      </c>
      <c r="B6068" s="114" t="n">
        <v>7751040</v>
      </c>
      <c r="C6068" s="114" t="n">
        <v>173836.180000017</v>
      </c>
    </row>
    <row r="6069" customFormat="false" ht="15" hidden="false" customHeight="true" outlineLevel="0" collapsed="false">
      <c r="A6069" s="115" t="n">
        <v>7751040.01</v>
      </c>
      <c r="B6069" s="115" t="n">
        <v>7752320</v>
      </c>
      <c r="C6069" s="115" t="n">
        <v>173864.840000017</v>
      </c>
    </row>
    <row r="6070" customFormat="false" ht="15" hidden="false" customHeight="true" outlineLevel="0" collapsed="false">
      <c r="A6070" s="114" t="n">
        <v>7752320.01</v>
      </c>
      <c r="B6070" s="114" t="n">
        <v>7753600</v>
      </c>
      <c r="C6070" s="114" t="n">
        <v>173893.500000017</v>
      </c>
    </row>
    <row r="6071" customFormat="false" ht="15" hidden="false" customHeight="true" outlineLevel="0" collapsed="false">
      <c r="A6071" s="115" t="n">
        <v>7753600.01</v>
      </c>
      <c r="B6071" s="115" t="n">
        <v>7754880</v>
      </c>
      <c r="C6071" s="115" t="n">
        <v>173922.160000017</v>
      </c>
    </row>
    <row r="6072" customFormat="false" ht="15" hidden="false" customHeight="true" outlineLevel="0" collapsed="false">
      <c r="A6072" s="114" t="n">
        <v>7754880.01</v>
      </c>
      <c r="B6072" s="114" t="n">
        <v>7756160</v>
      </c>
      <c r="C6072" s="114" t="n">
        <v>173950.820000017</v>
      </c>
    </row>
    <row r="6073" customFormat="false" ht="15" hidden="false" customHeight="true" outlineLevel="0" collapsed="false">
      <c r="A6073" s="115" t="n">
        <v>7756160.01</v>
      </c>
      <c r="B6073" s="115" t="n">
        <v>7757440</v>
      </c>
      <c r="C6073" s="115" t="n">
        <v>173979.480000017</v>
      </c>
    </row>
    <row r="6074" customFormat="false" ht="15" hidden="false" customHeight="true" outlineLevel="0" collapsed="false">
      <c r="A6074" s="114" t="n">
        <v>7757440.01</v>
      </c>
      <c r="B6074" s="114" t="n">
        <v>7758720</v>
      </c>
      <c r="C6074" s="114" t="n">
        <v>174008.140000017</v>
      </c>
    </row>
    <row r="6075" customFormat="false" ht="15" hidden="false" customHeight="true" outlineLevel="0" collapsed="false">
      <c r="A6075" s="115" t="n">
        <v>7758720.01</v>
      </c>
      <c r="B6075" s="115" t="n">
        <v>7760000</v>
      </c>
      <c r="C6075" s="115" t="n">
        <v>174036.800000017</v>
      </c>
    </row>
    <row r="6076" customFormat="false" ht="15" hidden="false" customHeight="true" outlineLevel="0" collapsed="false">
      <c r="A6076" s="114" t="n">
        <v>7760000.01</v>
      </c>
      <c r="B6076" s="114" t="n">
        <v>7761280</v>
      </c>
      <c r="C6076" s="114" t="n">
        <v>174065.460000017</v>
      </c>
    </row>
    <row r="6077" customFormat="false" ht="15" hidden="false" customHeight="true" outlineLevel="0" collapsed="false">
      <c r="A6077" s="115" t="n">
        <v>7761280.01</v>
      </c>
      <c r="B6077" s="115" t="n">
        <v>7762560</v>
      </c>
      <c r="C6077" s="115" t="n">
        <v>174094.120000017</v>
      </c>
    </row>
    <row r="6078" customFormat="false" ht="15" hidden="false" customHeight="true" outlineLevel="0" collapsed="false">
      <c r="A6078" s="114" t="n">
        <v>7762560.01</v>
      </c>
      <c r="B6078" s="114" t="n">
        <v>7763840</v>
      </c>
      <c r="C6078" s="114" t="n">
        <v>174122.780000017</v>
      </c>
    </row>
    <row r="6079" customFormat="false" ht="15" hidden="false" customHeight="true" outlineLevel="0" collapsed="false">
      <c r="A6079" s="115" t="n">
        <v>7763840.01</v>
      </c>
      <c r="B6079" s="115" t="n">
        <v>7765120</v>
      </c>
      <c r="C6079" s="115" t="n">
        <v>174151.440000017</v>
      </c>
    </row>
    <row r="6080" customFormat="false" ht="15" hidden="false" customHeight="true" outlineLevel="0" collapsed="false">
      <c r="A6080" s="114" t="n">
        <v>7765120.01</v>
      </c>
      <c r="B6080" s="114" t="n">
        <v>7766400</v>
      </c>
      <c r="C6080" s="114" t="n">
        <v>174180.100000017</v>
      </c>
    </row>
    <row r="6081" customFormat="false" ht="15" hidden="false" customHeight="true" outlineLevel="0" collapsed="false">
      <c r="A6081" s="115" t="n">
        <v>7766400.01</v>
      </c>
      <c r="B6081" s="115" t="n">
        <v>7767680</v>
      </c>
      <c r="C6081" s="115" t="n">
        <v>174208.760000017</v>
      </c>
    </row>
    <row r="6082" customFormat="false" ht="15" hidden="false" customHeight="true" outlineLevel="0" collapsed="false">
      <c r="A6082" s="114" t="n">
        <v>7767680.01</v>
      </c>
      <c r="B6082" s="114" t="n">
        <v>7768960</v>
      </c>
      <c r="C6082" s="114" t="n">
        <v>174237.420000017</v>
      </c>
    </row>
    <row r="6083" customFormat="false" ht="15" hidden="false" customHeight="true" outlineLevel="0" collapsed="false">
      <c r="A6083" s="115" t="n">
        <v>7768960.01</v>
      </c>
      <c r="B6083" s="115" t="n">
        <v>7770240</v>
      </c>
      <c r="C6083" s="115" t="n">
        <v>174266.080000017</v>
      </c>
    </row>
    <row r="6084" customFormat="false" ht="15" hidden="false" customHeight="true" outlineLevel="0" collapsed="false">
      <c r="A6084" s="114" t="n">
        <v>7770240.01</v>
      </c>
      <c r="B6084" s="114" t="n">
        <v>7771520</v>
      </c>
      <c r="C6084" s="114" t="n">
        <v>174294.740000017</v>
      </c>
    </row>
    <row r="6085" customFormat="false" ht="15" hidden="false" customHeight="true" outlineLevel="0" collapsed="false">
      <c r="A6085" s="115" t="n">
        <v>7771520.01</v>
      </c>
      <c r="B6085" s="115" t="n">
        <v>7772800</v>
      </c>
      <c r="C6085" s="115" t="n">
        <v>174323.400000017</v>
      </c>
    </row>
    <row r="6086" customFormat="false" ht="15" hidden="false" customHeight="true" outlineLevel="0" collapsed="false">
      <c r="A6086" s="114" t="n">
        <v>7772800.01</v>
      </c>
      <c r="B6086" s="114" t="n">
        <v>7774080</v>
      </c>
      <c r="C6086" s="114" t="n">
        <v>174352.060000017</v>
      </c>
    </row>
    <row r="6087" customFormat="false" ht="15" hidden="false" customHeight="true" outlineLevel="0" collapsed="false">
      <c r="A6087" s="115" t="n">
        <v>7774080.01</v>
      </c>
      <c r="B6087" s="115" t="n">
        <v>7775360</v>
      </c>
      <c r="C6087" s="115" t="n">
        <v>174380.720000017</v>
      </c>
    </row>
    <row r="6088" customFormat="false" ht="15" hidden="false" customHeight="true" outlineLevel="0" collapsed="false">
      <c r="A6088" s="114" t="n">
        <v>7775360.01</v>
      </c>
      <c r="B6088" s="114" t="n">
        <v>7776640</v>
      </c>
      <c r="C6088" s="114" t="n">
        <v>174409.380000017</v>
      </c>
    </row>
    <row r="6089" customFormat="false" ht="15" hidden="false" customHeight="true" outlineLevel="0" collapsed="false">
      <c r="A6089" s="115" t="n">
        <v>7776640.01</v>
      </c>
      <c r="B6089" s="115" t="n">
        <v>7777920</v>
      </c>
      <c r="C6089" s="115" t="n">
        <v>174438.040000017</v>
      </c>
    </row>
    <row r="6090" customFormat="false" ht="15" hidden="false" customHeight="true" outlineLevel="0" collapsed="false">
      <c r="A6090" s="114" t="n">
        <v>7777920.01</v>
      </c>
      <c r="B6090" s="114" t="n">
        <v>7779200</v>
      </c>
      <c r="C6090" s="114" t="n">
        <v>174466.700000017</v>
      </c>
    </row>
    <row r="6091" customFormat="false" ht="15" hidden="false" customHeight="true" outlineLevel="0" collapsed="false">
      <c r="A6091" s="115" t="n">
        <v>7779200.01</v>
      </c>
      <c r="B6091" s="115" t="n">
        <v>7780480</v>
      </c>
      <c r="C6091" s="115" t="n">
        <v>174495.360000017</v>
      </c>
    </row>
    <row r="6092" customFormat="false" ht="15" hidden="false" customHeight="true" outlineLevel="0" collapsed="false">
      <c r="A6092" s="114" t="n">
        <v>7780480.01</v>
      </c>
      <c r="B6092" s="114" t="n">
        <v>7781760</v>
      </c>
      <c r="C6092" s="114" t="n">
        <v>174524.020000017</v>
      </c>
    </row>
    <row r="6093" customFormat="false" ht="15" hidden="false" customHeight="true" outlineLevel="0" collapsed="false">
      <c r="A6093" s="115" t="n">
        <v>7781760.01</v>
      </c>
      <c r="B6093" s="115" t="n">
        <v>7783040</v>
      </c>
      <c r="C6093" s="115" t="n">
        <v>174552.680000017</v>
      </c>
    </row>
    <row r="6094" customFormat="false" ht="15" hidden="false" customHeight="true" outlineLevel="0" collapsed="false">
      <c r="A6094" s="114" t="n">
        <v>7783040.01</v>
      </c>
      <c r="B6094" s="114" t="n">
        <v>7784320</v>
      </c>
      <c r="C6094" s="114" t="n">
        <v>174581.340000017</v>
      </c>
    </row>
    <row r="6095" customFormat="false" ht="15" hidden="false" customHeight="true" outlineLevel="0" collapsed="false">
      <c r="A6095" s="115" t="n">
        <v>7784320.01</v>
      </c>
      <c r="B6095" s="115" t="n">
        <v>7785600</v>
      </c>
      <c r="C6095" s="115" t="n">
        <v>174610.000000017</v>
      </c>
    </row>
    <row r="6096" customFormat="false" ht="15" hidden="false" customHeight="true" outlineLevel="0" collapsed="false">
      <c r="A6096" s="114" t="n">
        <v>7785600.01</v>
      </c>
      <c r="B6096" s="114" t="n">
        <v>7786880</v>
      </c>
      <c r="C6096" s="114" t="n">
        <v>174638.660000017</v>
      </c>
    </row>
    <row r="6097" customFormat="false" ht="15" hidden="false" customHeight="true" outlineLevel="0" collapsed="false">
      <c r="A6097" s="115" t="n">
        <v>7786880.01</v>
      </c>
      <c r="B6097" s="115" t="n">
        <v>7788160</v>
      </c>
      <c r="C6097" s="115" t="n">
        <v>174667.320000017</v>
      </c>
    </row>
    <row r="6098" customFormat="false" ht="15" hidden="false" customHeight="true" outlineLevel="0" collapsed="false">
      <c r="A6098" s="114" t="n">
        <v>7788160.01</v>
      </c>
      <c r="B6098" s="114" t="n">
        <v>7789440</v>
      </c>
      <c r="C6098" s="114" t="n">
        <v>174695.980000017</v>
      </c>
    </row>
    <row r="6099" customFormat="false" ht="15" hidden="false" customHeight="true" outlineLevel="0" collapsed="false">
      <c r="A6099" s="115" t="n">
        <v>7789440.01</v>
      </c>
      <c r="B6099" s="115" t="n">
        <v>7790720</v>
      </c>
      <c r="C6099" s="115" t="n">
        <v>174724.640000017</v>
      </c>
    </row>
    <row r="6100" customFormat="false" ht="15" hidden="false" customHeight="true" outlineLevel="0" collapsed="false">
      <c r="A6100" s="114" t="n">
        <v>7790720.01</v>
      </c>
      <c r="B6100" s="114" t="n">
        <v>7792000</v>
      </c>
      <c r="C6100" s="114" t="n">
        <v>174753.300000017</v>
      </c>
    </row>
    <row r="6101" customFormat="false" ht="15" hidden="false" customHeight="true" outlineLevel="0" collapsed="false">
      <c r="A6101" s="115" t="n">
        <v>7792000.01</v>
      </c>
      <c r="B6101" s="115" t="n">
        <v>7793280</v>
      </c>
      <c r="C6101" s="115" t="n">
        <v>174781.960000017</v>
      </c>
    </row>
    <row r="6102" customFormat="false" ht="15" hidden="false" customHeight="true" outlineLevel="0" collapsed="false">
      <c r="A6102" s="114" t="n">
        <v>7793280.01</v>
      </c>
      <c r="B6102" s="114" t="n">
        <v>7794560</v>
      </c>
      <c r="C6102" s="114" t="n">
        <v>174810.620000017</v>
      </c>
    </row>
    <row r="6103" customFormat="false" ht="15" hidden="false" customHeight="true" outlineLevel="0" collapsed="false">
      <c r="A6103" s="115" t="n">
        <v>7794560.01</v>
      </c>
      <c r="B6103" s="115" t="n">
        <v>7795840</v>
      </c>
      <c r="C6103" s="115" t="n">
        <v>174839.280000017</v>
      </c>
    </row>
    <row r="6104" customFormat="false" ht="15" hidden="false" customHeight="true" outlineLevel="0" collapsed="false">
      <c r="A6104" s="114" t="n">
        <v>7795840.01</v>
      </c>
      <c r="B6104" s="114" t="n">
        <v>7797120</v>
      </c>
      <c r="C6104" s="114" t="n">
        <v>174867.940000017</v>
      </c>
    </row>
    <row r="6105" customFormat="false" ht="15" hidden="false" customHeight="true" outlineLevel="0" collapsed="false">
      <c r="A6105" s="115" t="n">
        <v>7797120.01</v>
      </c>
      <c r="B6105" s="115" t="n">
        <v>7798400</v>
      </c>
      <c r="C6105" s="115" t="n">
        <v>174896.600000017</v>
      </c>
    </row>
    <row r="6106" customFormat="false" ht="15" hidden="false" customHeight="true" outlineLevel="0" collapsed="false">
      <c r="A6106" s="114" t="n">
        <v>7798400.01</v>
      </c>
      <c r="B6106" s="114" t="n">
        <v>7799680</v>
      </c>
      <c r="C6106" s="114" t="n">
        <v>174925.260000017</v>
      </c>
    </row>
    <row r="6107" customFormat="false" ht="15" hidden="false" customHeight="true" outlineLevel="0" collapsed="false">
      <c r="A6107" s="115" t="n">
        <v>7799680.01</v>
      </c>
      <c r="B6107" s="115" t="n">
        <v>7800960</v>
      </c>
      <c r="C6107" s="115" t="n">
        <v>174953.920000017</v>
      </c>
    </row>
    <row r="6108" customFormat="false" ht="15" hidden="false" customHeight="true" outlineLevel="0" collapsed="false">
      <c r="A6108" s="114" t="n">
        <v>7800960.01</v>
      </c>
      <c r="B6108" s="114" t="n">
        <v>7802240</v>
      </c>
      <c r="C6108" s="114" t="n">
        <v>174982.580000017</v>
      </c>
    </row>
    <row r="6109" customFormat="false" ht="15" hidden="false" customHeight="true" outlineLevel="0" collapsed="false">
      <c r="A6109" s="115" t="n">
        <v>7802240.01</v>
      </c>
      <c r="B6109" s="115" t="n">
        <v>7803520</v>
      </c>
      <c r="C6109" s="115" t="n">
        <v>175011.240000017</v>
      </c>
    </row>
    <row r="6110" customFormat="false" ht="15" hidden="false" customHeight="true" outlineLevel="0" collapsed="false">
      <c r="A6110" s="114" t="n">
        <v>7803520.01</v>
      </c>
      <c r="B6110" s="114" t="n">
        <v>7804800</v>
      </c>
      <c r="C6110" s="114" t="n">
        <v>175039.900000017</v>
      </c>
    </row>
    <row r="6111" customFormat="false" ht="15" hidden="false" customHeight="true" outlineLevel="0" collapsed="false">
      <c r="A6111" s="115" t="n">
        <v>7804800.01</v>
      </c>
      <c r="B6111" s="115" t="n">
        <v>7806080</v>
      </c>
      <c r="C6111" s="115" t="n">
        <v>175068.560000017</v>
      </c>
    </row>
    <row r="6112" customFormat="false" ht="15" hidden="false" customHeight="true" outlineLevel="0" collapsed="false">
      <c r="A6112" s="114" t="n">
        <v>7806080.01</v>
      </c>
      <c r="B6112" s="114" t="n">
        <v>7807360</v>
      </c>
      <c r="C6112" s="114" t="n">
        <v>175097.220000017</v>
      </c>
    </row>
    <row r="6113" customFormat="false" ht="15" hidden="false" customHeight="true" outlineLevel="0" collapsed="false">
      <c r="A6113" s="115" t="n">
        <v>7807360.01</v>
      </c>
      <c r="B6113" s="115" t="n">
        <v>7808640</v>
      </c>
      <c r="C6113" s="115" t="n">
        <v>175125.880000017</v>
      </c>
    </row>
    <row r="6114" customFormat="false" ht="15" hidden="false" customHeight="true" outlineLevel="0" collapsed="false">
      <c r="A6114" s="114" t="n">
        <v>7808640.01</v>
      </c>
      <c r="B6114" s="114" t="n">
        <v>7809920</v>
      </c>
      <c r="C6114" s="114" t="n">
        <v>175154.540000017</v>
      </c>
    </row>
    <row r="6115" customFormat="false" ht="15" hidden="false" customHeight="true" outlineLevel="0" collapsed="false">
      <c r="A6115" s="115" t="n">
        <v>7809920.01</v>
      </c>
      <c r="B6115" s="115" t="n">
        <v>7811200</v>
      </c>
      <c r="C6115" s="115" t="n">
        <v>175183.200000017</v>
      </c>
    </row>
    <row r="6116" customFormat="false" ht="15" hidden="false" customHeight="true" outlineLevel="0" collapsed="false">
      <c r="A6116" s="114" t="n">
        <v>7811200.01</v>
      </c>
      <c r="B6116" s="114" t="n">
        <v>7812480</v>
      </c>
      <c r="C6116" s="114" t="n">
        <v>175211.860000017</v>
      </c>
    </row>
    <row r="6117" customFormat="false" ht="15" hidden="false" customHeight="true" outlineLevel="0" collapsed="false">
      <c r="A6117" s="115" t="n">
        <v>7812480.01</v>
      </c>
      <c r="B6117" s="115" t="n">
        <v>7813760</v>
      </c>
      <c r="C6117" s="115" t="n">
        <v>175240.520000017</v>
      </c>
    </row>
    <row r="6118" customFormat="false" ht="15" hidden="false" customHeight="true" outlineLevel="0" collapsed="false">
      <c r="A6118" s="114" t="n">
        <v>7813760.01</v>
      </c>
      <c r="B6118" s="114" t="n">
        <v>7815040</v>
      </c>
      <c r="C6118" s="114" t="n">
        <v>175269.180000017</v>
      </c>
    </row>
    <row r="6119" customFormat="false" ht="15" hidden="false" customHeight="true" outlineLevel="0" collapsed="false">
      <c r="A6119" s="115" t="n">
        <v>7815040.01</v>
      </c>
      <c r="B6119" s="115" t="n">
        <v>7816320</v>
      </c>
      <c r="C6119" s="115" t="n">
        <v>175297.840000017</v>
      </c>
    </row>
    <row r="6120" customFormat="false" ht="15" hidden="false" customHeight="true" outlineLevel="0" collapsed="false">
      <c r="A6120" s="114" t="n">
        <v>7816320.01</v>
      </c>
      <c r="B6120" s="114" t="n">
        <v>7817600</v>
      </c>
      <c r="C6120" s="114" t="n">
        <v>175326.500000017</v>
      </c>
    </row>
    <row r="6121" customFormat="false" ht="15" hidden="false" customHeight="true" outlineLevel="0" collapsed="false">
      <c r="A6121" s="115" t="n">
        <v>7817600.01</v>
      </c>
      <c r="B6121" s="115" t="n">
        <v>7818880</v>
      </c>
      <c r="C6121" s="115" t="n">
        <v>175355.160000017</v>
      </c>
    </row>
    <row r="6122" customFormat="false" ht="15" hidden="false" customHeight="true" outlineLevel="0" collapsed="false">
      <c r="A6122" s="114" t="n">
        <v>7818880.01</v>
      </c>
      <c r="B6122" s="114" t="n">
        <v>7820160</v>
      </c>
      <c r="C6122" s="114" t="n">
        <v>175383.820000017</v>
      </c>
    </row>
    <row r="6123" customFormat="false" ht="15" hidden="false" customHeight="true" outlineLevel="0" collapsed="false">
      <c r="A6123" s="115" t="n">
        <v>7820160.01</v>
      </c>
      <c r="B6123" s="115" t="n">
        <v>999999999</v>
      </c>
      <c r="C6123" s="115" t="n">
        <v>175392.87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124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157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0.01</v>
      </c>
      <c r="B5" s="115" t="n">
        <v>17595</v>
      </c>
      <c r="C5" s="115" t="n">
        <v>516.06</v>
      </c>
    </row>
    <row r="6" customFormat="false" ht="15" hidden="false" customHeight="true" outlineLevel="0" collapsed="false">
      <c r="A6" s="114" t="n">
        <v>17595.01</v>
      </c>
      <c r="B6" s="114" t="n">
        <v>35190</v>
      </c>
      <c r="C6" s="114" t="n">
        <v>858.23</v>
      </c>
    </row>
    <row r="7" customFormat="false" ht="15" hidden="false" customHeight="true" outlineLevel="0" collapsed="false">
      <c r="A7" s="115" t="n">
        <v>35190.01</v>
      </c>
      <c r="B7" s="115" t="n">
        <v>58650</v>
      </c>
      <c r="C7" s="115" t="n">
        <v>1094.42</v>
      </c>
    </row>
    <row r="8" customFormat="false" ht="15" hidden="false" customHeight="true" outlineLevel="0" collapsed="false">
      <c r="A8" s="114" t="n">
        <v>58650.01</v>
      </c>
      <c r="B8" s="114" t="n">
        <v>117300</v>
      </c>
      <c r="C8" s="114" t="n">
        <v>1473.45</v>
      </c>
    </row>
    <row r="9" customFormat="false" ht="15" hidden="false" customHeight="true" outlineLevel="0" collapsed="false">
      <c r="A9" s="115" t="n">
        <v>117300.01</v>
      </c>
      <c r="B9" s="115" t="n">
        <v>234600</v>
      </c>
      <c r="C9" s="115" t="n">
        <v>2664.93</v>
      </c>
    </row>
    <row r="10" customFormat="false" ht="15" hidden="false" customHeight="true" outlineLevel="0" collapsed="false">
      <c r="A10" s="114" t="n">
        <v>234600.01</v>
      </c>
      <c r="B10" s="114" t="n">
        <v>351900</v>
      </c>
      <c r="C10" s="114" t="n">
        <v>4482.42</v>
      </c>
    </row>
    <row r="11" customFormat="false" ht="15" hidden="false" customHeight="true" outlineLevel="0" collapsed="false">
      <c r="A11" s="115" t="n">
        <v>351900.01</v>
      </c>
      <c r="B11" s="115" t="n">
        <v>469200</v>
      </c>
      <c r="C11" s="115" t="n">
        <v>7053.31</v>
      </c>
    </row>
    <row r="12" customFormat="false" ht="15" hidden="false" customHeight="true" outlineLevel="0" collapsed="false">
      <c r="A12" s="114" t="n">
        <v>469200.01</v>
      </c>
      <c r="B12" s="114" t="n">
        <v>586500</v>
      </c>
      <c r="C12" s="114" t="n">
        <v>9021.69</v>
      </c>
    </row>
    <row r="13" customFormat="false" ht="15" hidden="false" customHeight="true" outlineLevel="0" collapsed="false">
      <c r="A13" s="115" t="n">
        <v>586500.01</v>
      </c>
      <c r="B13" s="115" t="n">
        <v>703800</v>
      </c>
      <c r="C13" s="115" t="n">
        <v>11094.93</v>
      </c>
    </row>
    <row r="14" customFormat="false" ht="15" hidden="false" customHeight="true" outlineLevel="0" collapsed="false">
      <c r="A14" s="114" t="n">
        <v>703800.01</v>
      </c>
      <c r="B14" s="114" t="n">
        <v>821100</v>
      </c>
      <c r="C14" s="114" t="n">
        <v>11447.13</v>
      </c>
    </row>
    <row r="15" customFormat="false" ht="15" hidden="false" customHeight="true" outlineLevel="0" collapsed="false">
      <c r="A15" s="115" t="n">
        <v>821100.01</v>
      </c>
      <c r="B15" s="115" t="n">
        <v>938400</v>
      </c>
      <c r="C15" s="115" t="n">
        <v>12864.35</v>
      </c>
    </row>
    <row r="16" customFormat="false" ht="15" hidden="false" customHeight="true" outlineLevel="0" collapsed="false">
      <c r="A16" s="114" t="n">
        <v>938400.01</v>
      </c>
      <c r="B16" s="114" t="n">
        <v>999999999</v>
      </c>
      <c r="C16" s="114" t="n">
        <v>17509.72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125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158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3000</v>
      </c>
      <c r="C5" s="115" t="n">
        <v>240.5</v>
      </c>
    </row>
    <row r="6" customFormat="false" ht="15" hidden="false" customHeight="true" outlineLevel="0" collapsed="false">
      <c r="A6" s="114" t="n">
        <v>3000.01</v>
      </c>
      <c r="B6" s="114" t="n">
        <v>5000</v>
      </c>
      <c r="C6" s="114" t="n">
        <v>450.88</v>
      </c>
    </row>
    <row r="7" customFormat="false" ht="15" hidden="false" customHeight="true" outlineLevel="0" collapsed="false">
      <c r="A7" s="115" t="n">
        <v>5000.01</v>
      </c>
      <c r="B7" s="115" t="n">
        <v>15000</v>
      </c>
      <c r="C7" s="115" t="n">
        <v>601.22</v>
      </c>
    </row>
    <row r="8" customFormat="false" ht="15" hidden="false" customHeight="true" outlineLevel="0" collapsed="false">
      <c r="A8" s="114" t="n">
        <v>15000.01</v>
      </c>
      <c r="B8" s="114" t="n">
        <v>30000</v>
      </c>
      <c r="C8" s="114" t="n">
        <v>901.82</v>
      </c>
    </row>
    <row r="9" customFormat="false" ht="15" hidden="false" customHeight="true" outlineLevel="0" collapsed="false">
      <c r="A9" s="115" t="n">
        <v>30000.01</v>
      </c>
      <c r="B9" s="115" t="n">
        <v>50000</v>
      </c>
      <c r="C9" s="115" t="n">
        <v>1503.02</v>
      </c>
    </row>
    <row r="10" customFormat="false" ht="15" hidden="false" customHeight="true" outlineLevel="0" collapsed="false">
      <c r="A10" s="114" t="n">
        <v>50000.01</v>
      </c>
      <c r="B10" s="114" t="n">
        <v>80000</v>
      </c>
      <c r="C10" s="114" t="n">
        <v>2405.36</v>
      </c>
    </row>
    <row r="11" customFormat="false" ht="15" hidden="false" customHeight="true" outlineLevel="0" collapsed="false">
      <c r="A11" s="115" t="n">
        <v>80000.01</v>
      </c>
      <c r="B11" s="115" t="n">
        <v>100000</v>
      </c>
      <c r="C11" s="115" t="n">
        <v>3006.08</v>
      </c>
    </row>
    <row r="12" customFormat="false" ht="15" hidden="false" customHeight="true" outlineLevel="0" collapsed="false">
      <c r="A12" s="114" t="n">
        <v>100000.01</v>
      </c>
      <c r="B12" s="114" t="n">
        <v>150000</v>
      </c>
      <c r="C12" s="114" t="n">
        <v>4509.1</v>
      </c>
    </row>
    <row r="13" customFormat="false" ht="15" hidden="false" customHeight="true" outlineLevel="0" collapsed="false">
      <c r="A13" s="115" t="n">
        <v>150000.01</v>
      </c>
      <c r="B13" s="115" t="n">
        <v>200000</v>
      </c>
      <c r="C13" s="115" t="n">
        <v>6012.15</v>
      </c>
    </row>
    <row r="14" customFormat="false" ht="15" hidden="false" customHeight="true" outlineLevel="0" collapsed="false">
      <c r="A14" s="114" t="n">
        <v>200000.01</v>
      </c>
      <c r="B14" s="114" t="n">
        <v>250000</v>
      </c>
      <c r="C14" s="114" t="n">
        <v>7515.17</v>
      </c>
    </row>
    <row r="15" customFormat="false" ht="15" hidden="false" customHeight="true" outlineLevel="0" collapsed="false">
      <c r="A15" s="115" t="n">
        <v>250000.01</v>
      </c>
      <c r="B15" s="115" t="n">
        <v>300000</v>
      </c>
      <c r="C15" s="115" t="n">
        <v>9018.23</v>
      </c>
    </row>
    <row r="16" customFormat="false" ht="15" hidden="false" customHeight="true" outlineLevel="0" collapsed="false">
      <c r="A16" s="114" t="n">
        <v>300000.01</v>
      </c>
      <c r="B16" s="114" t="n">
        <v>350000</v>
      </c>
      <c r="C16" s="114" t="n">
        <v>10521.28</v>
      </c>
    </row>
    <row r="17" customFormat="false" ht="15" hidden="false" customHeight="true" outlineLevel="0" collapsed="false">
      <c r="A17" s="115" t="n">
        <v>350000.01</v>
      </c>
      <c r="B17" s="115" t="n">
        <v>400000</v>
      </c>
      <c r="C17" s="115" t="n">
        <v>12024.33</v>
      </c>
    </row>
    <row r="18" customFormat="false" ht="15" hidden="false" customHeight="true" outlineLevel="0" collapsed="false">
      <c r="A18" s="114" t="n">
        <v>400000.01</v>
      </c>
      <c r="B18" s="114" t="n">
        <v>500000</v>
      </c>
      <c r="C18" s="114" t="n">
        <v>15030.42</v>
      </c>
    </row>
    <row r="19" customFormat="false" ht="15" hidden="false" customHeight="true" outlineLevel="0" collapsed="false">
      <c r="A19" s="115" t="n">
        <v>500000.01</v>
      </c>
      <c r="B19" s="115" t="n">
        <v>1000000</v>
      </c>
      <c r="C19" s="115" t="n">
        <v>19759.15</v>
      </c>
    </row>
    <row r="20" customFormat="false" ht="15" hidden="false" customHeight="true" outlineLevel="0" collapsed="false">
      <c r="A20" s="114" t="n">
        <v>1000000.01</v>
      </c>
      <c r="B20" s="114" t="n">
        <v>999999999</v>
      </c>
      <c r="C20" s="114" t="n">
        <v>24048.71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126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159</v>
      </c>
    </row>
    <row r="3" customFormat="false" ht="15" hidden="false" customHeight="true" outlineLevel="0" collapsed="false">
      <c r="A3" s="116" t="s">
        <v>160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1600</v>
      </c>
      <c r="C6" s="114" t="n">
        <v>319.12</v>
      </c>
    </row>
    <row r="7" customFormat="false" ht="15" hidden="false" customHeight="true" outlineLevel="0" collapsed="false">
      <c r="A7" s="115" t="n">
        <v>1600.01</v>
      </c>
      <c r="B7" s="115" t="n">
        <v>3200</v>
      </c>
      <c r="C7" s="115" t="n">
        <v>401.4</v>
      </c>
    </row>
    <row r="8" customFormat="false" ht="15" hidden="false" customHeight="true" outlineLevel="0" collapsed="false">
      <c r="A8" s="114" t="n">
        <v>3200.01</v>
      </c>
      <c r="B8" s="114" t="n">
        <v>8000</v>
      </c>
      <c r="C8" s="114" t="n">
        <v>483.68</v>
      </c>
    </row>
    <row r="9" customFormat="false" ht="15" hidden="false" customHeight="true" outlineLevel="0" collapsed="false">
      <c r="A9" s="115" t="n">
        <v>8000.01</v>
      </c>
      <c r="B9" s="115" t="n">
        <v>12000</v>
      </c>
      <c r="C9" s="115" t="n">
        <v>522.76</v>
      </c>
    </row>
    <row r="10" customFormat="false" ht="15" hidden="false" customHeight="true" outlineLevel="0" collapsed="false">
      <c r="A10" s="114" t="n">
        <v>12000.01</v>
      </c>
      <c r="B10" s="114" t="n">
        <v>16000</v>
      </c>
      <c r="C10" s="114" t="n">
        <v>562.54</v>
      </c>
    </row>
    <row r="11" customFormat="false" ht="15" hidden="false" customHeight="true" outlineLevel="0" collapsed="false">
      <c r="A11" s="115" t="n">
        <v>16000.01</v>
      </c>
      <c r="B11" s="115" t="n">
        <v>24000</v>
      </c>
      <c r="C11" s="115" t="n">
        <v>642.22</v>
      </c>
    </row>
    <row r="12" customFormat="false" ht="15" hidden="false" customHeight="true" outlineLevel="0" collapsed="false">
      <c r="A12" s="114" t="n">
        <v>24000.01</v>
      </c>
      <c r="B12" s="114" t="n">
        <v>32000</v>
      </c>
      <c r="C12" s="114" t="n">
        <v>723.98</v>
      </c>
    </row>
    <row r="13" customFormat="false" ht="15" hidden="false" customHeight="true" outlineLevel="0" collapsed="false">
      <c r="A13" s="115" t="n">
        <v>32000.01</v>
      </c>
      <c r="B13" s="115" t="n">
        <v>47000</v>
      </c>
      <c r="C13" s="115" t="n">
        <v>799.68</v>
      </c>
    </row>
    <row r="14" customFormat="false" ht="15" hidden="false" customHeight="true" outlineLevel="0" collapsed="false">
      <c r="A14" s="114" t="n">
        <v>47000.01</v>
      </c>
      <c r="B14" s="114" t="n">
        <v>63000</v>
      </c>
      <c r="C14" s="114" t="n">
        <v>881.24</v>
      </c>
    </row>
    <row r="15" customFormat="false" ht="15" hidden="false" customHeight="true" outlineLevel="0" collapsed="false">
      <c r="A15" s="115" t="n">
        <v>63000.01</v>
      </c>
      <c r="B15" s="115" t="n">
        <v>78000</v>
      </c>
      <c r="C15" s="115" t="n">
        <v>967.68</v>
      </c>
    </row>
    <row r="16" customFormat="false" ht="15" hidden="false" customHeight="true" outlineLevel="0" collapsed="false">
      <c r="A16" s="114" t="n">
        <v>78000.01</v>
      </c>
      <c r="B16" s="114" t="n">
        <v>118000</v>
      </c>
      <c r="C16" s="114" t="n">
        <v>1030.66</v>
      </c>
    </row>
    <row r="17" customFormat="false" ht="15" hidden="false" customHeight="true" outlineLevel="0" collapsed="false">
      <c r="A17" s="115" t="n">
        <v>118000.01</v>
      </c>
      <c r="B17" s="115" t="n">
        <v>160000</v>
      </c>
      <c r="C17" s="115" t="n">
        <v>1115.1</v>
      </c>
    </row>
    <row r="18" customFormat="false" ht="15" hidden="false" customHeight="true" outlineLevel="0" collapsed="false">
      <c r="A18" s="114" t="n">
        <v>160000.01</v>
      </c>
      <c r="B18" s="114" t="n">
        <v>235000</v>
      </c>
      <c r="C18" s="114" t="n">
        <v>1805.16</v>
      </c>
    </row>
    <row r="19" customFormat="false" ht="15" hidden="false" customHeight="true" outlineLevel="0" collapsed="false">
      <c r="A19" s="115" t="n">
        <v>235000.01</v>
      </c>
      <c r="B19" s="115" t="n">
        <v>350000</v>
      </c>
      <c r="C19" s="115" t="n">
        <v>2708.06</v>
      </c>
    </row>
    <row r="20" customFormat="false" ht="15" hidden="false" customHeight="true" outlineLevel="0" collapsed="false">
      <c r="A20" s="114" t="n">
        <v>350000.01</v>
      </c>
      <c r="B20" s="114" t="n">
        <v>530000</v>
      </c>
      <c r="C20" s="114" t="n">
        <v>4067.28</v>
      </c>
    </row>
    <row r="21" customFormat="false" ht="15" hidden="false" customHeight="true" outlineLevel="0" collapsed="false">
      <c r="A21" s="115" t="n">
        <v>530000.01</v>
      </c>
      <c r="B21" s="115" t="n">
        <v>800000</v>
      </c>
      <c r="C21" s="115" t="n">
        <v>6099.38</v>
      </c>
    </row>
    <row r="22" customFormat="false" ht="15" hidden="false" customHeight="true" outlineLevel="0" collapsed="false">
      <c r="A22" s="114" t="n">
        <v>800000.01</v>
      </c>
      <c r="B22" s="114" t="n">
        <v>1200000</v>
      </c>
      <c r="C22" s="114" t="n">
        <v>9147.62</v>
      </c>
    </row>
    <row r="23" customFormat="false" ht="15" hidden="false" customHeight="true" outlineLevel="0" collapsed="false">
      <c r="A23" s="115" t="n">
        <v>1200000.01</v>
      </c>
      <c r="B23" s="115" t="n">
        <v>1800000</v>
      </c>
      <c r="C23" s="115" t="n">
        <v>10977.08</v>
      </c>
    </row>
    <row r="24" customFormat="false" ht="15" hidden="false" customHeight="true" outlineLevel="0" collapsed="false">
      <c r="A24" s="114" t="n">
        <v>1800000.01</v>
      </c>
      <c r="B24" s="114" t="n">
        <v>999999999</v>
      </c>
      <c r="C24" s="114" t="n">
        <v>18551.68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127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161</v>
      </c>
    </row>
    <row r="3" customFormat="false" ht="15" hidden="false" customHeight="true" outlineLevel="0" collapsed="false">
      <c r="A3" s="116" t="s">
        <v>162</v>
      </c>
      <c r="B3" s="116"/>
      <c r="C3" s="116"/>
    </row>
    <row r="4" customFormat="false" ht="15" hidden="false" customHeight="true" outlineLevel="0" collapsed="false">
      <c r="A4" s="117"/>
      <c r="B4" s="117"/>
      <c r="C4" s="117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104</v>
      </c>
      <c r="C6" s="114" t="n">
        <v>143.98</v>
      </c>
    </row>
    <row r="7" customFormat="false" ht="15" hidden="false" customHeight="true" outlineLevel="0" collapsed="false">
      <c r="A7" s="115" t="n">
        <v>104.01</v>
      </c>
      <c r="B7" s="115" t="n">
        <v>235</v>
      </c>
      <c r="C7" s="115" t="n">
        <v>344.11</v>
      </c>
    </row>
    <row r="8" customFormat="false" ht="15" hidden="false" customHeight="true" outlineLevel="0" collapsed="false">
      <c r="A8" s="114" t="n">
        <v>235.01</v>
      </c>
      <c r="B8" s="114" t="n">
        <v>784</v>
      </c>
      <c r="C8" s="114" t="n">
        <v>429.1</v>
      </c>
    </row>
    <row r="9" customFormat="false" ht="15" hidden="false" customHeight="true" outlineLevel="0" collapsed="false">
      <c r="A9" s="115" t="n">
        <v>784.01</v>
      </c>
      <c r="B9" s="115" t="n">
        <v>2376</v>
      </c>
      <c r="C9" s="115" t="n">
        <v>465.89</v>
      </c>
    </row>
    <row r="10" customFormat="false" ht="15" hidden="false" customHeight="true" outlineLevel="0" collapsed="false">
      <c r="A10" s="114" t="n">
        <v>2376.01</v>
      </c>
      <c r="B10" s="114" t="n">
        <v>4684</v>
      </c>
      <c r="C10" s="114" t="n">
        <v>597.11</v>
      </c>
    </row>
    <row r="11" customFormat="false" ht="15" hidden="false" customHeight="true" outlineLevel="0" collapsed="false">
      <c r="A11" s="115" t="n">
        <v>4684.01</v>
      </c>
      <c r="B11" s="115" t="n">
        <v>6540</v>
      </c>
      <c r="C11" s="115" t="n">
        <v>641.45</v>
      </c>
    </row>
    <row r="12" customFormat="false" ht="15" hidden="false" customHeight="true" outlineLevel="0" collapsed="false">
      <c r="A12" s="114" t="n">
        <v>6540.01</v>
      </c>
      <c r="B12" s="114" t="n">
        <v>9810</v>
      </c>
      <c r="C12" s="114" t="n">
        <v>729.29</v>
      </c>
    </row>
    <row r="13" customFormat="false" ht="15" hidden="false" customHeight="true" outlineLevel="0" collapsed="false">
      <c r="A13" s="115" t="n">
        <v>9810.01</v>
      </c>
      <c r="B13" s="115" t="n">
        <v>18527</v>
      </c>
      <c r="C13" s="115" t="n">
        <v>860.5</v>
      </c>
    </row>
    <row r="14" customFormat="false" ht="15" hidden="false" customHeight="true" outlineLevel="0" collapsed="false">
      <c r="A14" s="114" t="n">
        <v>18527.01</v>
      </c>
      <c r="B14" s="114" t="n">
        <v>23322.58</v>
      </c>
      <c r="C14" s="114" t="n">
        <v>964.3</v>
      </c>
    </row>
    <row r="15" customFormat="false" ht="15" hidden="false" customHeight="true" outlineLevel="0" collapsed="false">
      <c r="A15" s="115" t="n">
        <v>23322.59</v>
      </c>
      <c r="B15" s="115" t="n">
        <v>23522.58</v>
      </c>
      <c r="C15" s="115" t="n">
        <v>969.33</v>
      </c>
    </row>
    <row r="16" customFormat="false" ht="15" hidden="false" customHeight="true" outlineLevel="0" collapsed="false">
      <c r="A16" s="114" t="n">
        <v>23522.59</v>
      </c>
      <c r="B16" s="114" t="n">
        <v>23722.58</v>
      </c>
      <c r="C16" s="114" t="n">
        <v>974.08</v>
      </c>
    </row>
    <row r="17" customFormat="false" ht="15" hidden="false" customHeight="true" outlineLevel="0" collapsed="false">
      <c r="A17" s="115" t="n">
        <v>23722.59</v>
      </c>
      <c r="B17" s="115" t="n">
        <v>23922.58</v>
      </c>
      <c r="C17" s="115" t="n">
        <v>978.84</v>
      </c>
    </row>
    <row r="18" customFormat="false" ht="15" hidden="false" customHeight="true" outlineLevel="0" collapsed="false">
      <c r="A18" s="114" t="n">
        <v>23922.59</v>
      </c>
      <c r="B18" s="114" t="n">
        <v>24122.58</v>
      </c>
      <c r="C18" s="114" t="n">
        <v>983.61</v>
      </c>
    </row>
    <row r="19" customFormat="false" ht="15" hidden="false" customHeight="true" outlineLevel="0" collapsed="false">
      <c r="A19" s="115" t="n">
        <v>24122.59</v>
      </c>
      <c r="B19" s="115" t="n">
        <v>24322.58</v>
      </c>
      <c r="C19" s="115" t="n">
        <v>988.64</v>
      </c>
    </row>
    <row r="20" customFormat="false" ht="15" hidden="false" customHeight="true" outlineLevel="0" collapsed="false">
      <c r="A20" s="114" t="n">
        <v>24322.59</v>
      </c>
      <c r="B20" s="114" t="n">
        <v>24522.58</v>
      </c>
      <c r="C20" s="114" t="n">
        <v>993.39</v>
      </c>
    </row>
    <row r="21" customFormat="false" ht="15" hidden="false" customHeight="true" outlineLevel="0" collapsed="false">
      <c r="A21" s="115" t="n">
        <v>24522.59</v>
      </c>
      <c r="B21" s="115" t="n">
        <v>24722.58</v>
      </c>
      <c r="C21" s="115" t="n">
        <v>998.15</v>
      </c>
    </row>
    <row r="22" customFormat="false" ht="15" hidden="false" customHeight="true" outlineLevel="0" collapsed="false">
      <c r="A22" s="114" t="n">
        <v>24722.59</v>
      </c>
      <c r="B22" s="114" t="n">
        <v>24922.58</v>
      </c>
      <c r="C22" s="114" t="n">
        <v>1002.92</v>
      </c>
    </row>
    <row r="23" customFormat="false" ht="15" hidden="false" customHeight="true" outlineLevel="0" collapsed="false">
      <c r="A23" s="115" t="n">
        <v>24922.59</v>
      </c>
      <c r="B23" s="115" t="n">
        <v>25122.58</v>
      </c>
      <c r="C23" s="115" t="n">
        <v>1007.67</v>
      </c>
    </row>
    <row r="24" customFormat="false" ht="15" hidden="false" customHeight="true" outlineLevel="0" collapsed="false">
      <c r="A24" s="114" t="n">
        <v>25122.59</v>
      </c>
      <c r="B24" s="114" t="n">
        <v>25322.58</v>
      </c>
      <c r="C24" s="114" t="n">
        <v>1012.69</v>
      </c>
    </row>
    <row r="25" customFormat="false" ht="15" hidden="false" customHeight="true" outlineLevel="0" collapsed="false">
      <c r="A25" s="115" t="n">
        <v>25322.59</v>
      </c>
      <c r="B25" s="115" t="n">
        <v>25522.58</v>
      </c>
      <c r="C25" s="115" t="n">
        <v>1017.46</v>
      </c>
    </row>
    <row r="26" customFormat="false" ht="15" hidden="false" customHeight="true" outlineLevel="0" collapsed="false">
      <c r="A26" s="114" t="n">
        <v>25522.59</v>
      </c>
      <c r="B26" s="114" t="n">
        <v>25722.58</v>
      </c>
      <c r="C26" s="114" t="n">
        <v>1022.23</v>
      </c>
    </row>
    <row r="27" customFormat="false" ht="15" hidden="false" customHeight="true" outlineLevel="0" collapsed="false">
      <c r="A27" s="115" t="n">
        <v>25722.59</v>
      </c>
      <c r="B27" s="115" t="n">
        <v>25922.58</v>
      </c>
      <c r="C27" s="115" t="n">
        <v>1026.98</v>
      </c>
    </row>
    <row r="28" customFormat="false" ht="15" hidden="false" customHeight="true" outlineLevel="0" collapsed="false">
      <c r="A28" s="114" t="n">
        <v>25922.59</v>
      </c>
      <c r="B28" s="114" t="n">
        <v>26122.58</v>
      </c>
      <c r="C28" s="114" t="n">
        <v>1032</v>
      </c>
    </row>
    <row r="29" customFormat="false" ht="15" hidden="false" customHeight="true" outlineLevel="0" collapsed="false">
      <c r="A29" s="115" t="n">
        <v>26122.59</v>
      </c>
      <c r="B29" s="115" t="n">
        <v>26322.58</v>
      </c>
      <c r="C29" s="115" t="n">
        <v>1036.77</v>
      </c>
    </row>
    <row r="30" customFormat="false" ht="15" hidden="false" customHeight="true" outlineLevel="0" collapsed="false">
      <c r="A30" s="114" t="n">
        <v>26322.59</v>
      </c>
      <c r="B30" s="114" t="n">
        <v>26522.58</v>
      </c>
      <c r="C30" s="114" t="n">
        <v>1041.54</v>
      </c>
    </row>
    <row r="31" customFormat="false" ht="15" hidden="false" customHeight="true" outlineLevel="0" collapsed="false">
      <c r="A31" s="115" t="n">
        <v>26522.59</v>
      </c>
      <c r="B31" s="115" t="n">
        <v>26722.58</v>
      </c>
      <c r="C31" s="115" t="n">
        <v>1046.29</v>
      </c>
    </row>
    <row r="32" customFormat="false" ht="15" hidden="false" customHeight="true" outlineLevel="0" collapsed="false">
      <c r="A32" s="114" t="n">
        <v>26722.59</v>
      </c>
      <c r="B32" s="114" t="n">
        <v>26922.58</v>
      </c>
      <c r="C32" s="114" t="n">
        <v>1051.05</v>
      </c>
    </row>
    <row r="33" customFormat="false" ht="15" hidden="false" customHeight="true" outlineLevel="0" collapsed="false">
      <c r="A33" s="115" t="n">
        <v>26922.59</v>
      </c>
      <c r="B33" s="115" t="n">
        <v>27122.58</v>
      </c>
      <c r="C33" s="115" t="n">
        <v>1056.08</v>
      </c>
    </row>
    <row r="34" customFormat="false" ht="15" hidden="false" customHeight="true" outlineLevel="0" collapsed="false">
      <c r="A34" s="114" t="n">
        <v>27122.59</v>
      </c>
      <c r="B34" s="114" t="n">
        <v>27322.58</v>
      </c>
      <c r="C34" s="114" t="n">
        <v>1060.85</v>
      </c>
    </row>
    <row r="35" customFormat="false" ht="15" hidden="false" customHeight="true" outlineLevel="0" collapsed="false">
      <c r="A35" s="115" t="n">
        <v>27322.59</v>
      </c>
      <c r="B35" s="115" t="n">
        <v>27522.58</v>
      </c>
      <c r="C35" s="115" t="n">
        <v>1065.59</v>
      </c>
    </row>
    <row r="36" customFormat="false" ht="15" hidden="false" customHeight="true" outlineLevel="0" collapsed="false">
      <c r="A36" s="114" t="n">
        <v>27522.59</v>
      </c>
      <c r="B36" s="114" t="n">
        <v>27722.58</v>
      </c>
      <c r="C36" s="114" t="n">
        <v>1070.36</v>
      </c>
    </row>
    <row r="37" customFormat="false" ht="15" hidden="false" customHeight="true" outlineLevel="0" collapsed="false">
      <c r="A37" s="115" t="n">
        <v>27722.59</v>
      </c>
      <c r="B37" s="115" t="n">
        <v>27922.58</v>
      </c>
      <c r="C37" s="115" t="n">
        <v>1075.13</v>
      </c>
    </row>
    <row r="38" customFormat="false" ht="15" hidden="false" customHeight="true" outlineLevel="0" collapsed="false">
      <c r="A38" s="114" t="n">
        <v>27922.59</v>
      </c>
      <c r="B38" s="114" t="n">
        <v>28122.58</v>
      </c>
      <c r="C38" s="114" t="n">
        <v>1080.16</v>
      </c>
    </row>
    <row r="39" customFormat="false" ht="15" hidden="false" customHeight="true" outlineLevel="0" collapsed="false">
      <c r="A39" s="115" t="n">
        <v>28122.59</v>
      </c>
      <c r="B39" s="115" t="n">
        <v>28322.58</v>
      </c>
      <c r="C39" s="115" t="n">
        <v>1084.9</v>
      </c>
    </row>
    <row r="40" customFormat="false" ht="15" hidden="false" customHeight="true" outlineLevel="0" collapsed="false">
      <c r="A40" s="114" t="n">
        <v>28322.59</v>
      </c>
      <c r="B40" s="114" t="n">
        <v>28522.58</v>
      </c>
      <c r="C40" s="114" t="n">
        <v>1089.67</v>
      </c>
    </row>
    <row r="41" customFormat="false" ht="15" hidden="false" customHeight="true" outlineLevel="0" collapsed="false">
      <c r="A41" s="115" t="n">
        <v>28522.59</v>
      </c>
      <c r="B41" s="115" t="n">
        <v>28722.58</v>
      </c>
      <c r="C41" s="115" t="n">
        <v>1094.44</v>
      </c>
    </row>
    <row r="42" customFormat="false" ht="15" hidden="false" customHeight="true" outlineLevel="0" collapsed="false">
      <c r="A42" s="114" t="n">
        <v>28722.59</v>
      </c>
      <c r="B42" s="114" t="n">
        <v>28922.58</v>
      </c>
      <c r="C42" s="114" t="n">
        <v>1099.45</v>
      </c>
    </row>
    <row r="43" customFormat="false" ht="15" hidden="false" customHeight="true" outlineLevel="0" collapsed="false">
      <c r="A43" s="115" t="n">
        <v>28922.59</v>
      </c>
      <c r="B43" s="115" t="n">
        <v>29122.58</v>
      </c>
      <c r="C43" s="115" t="n">
        <v>1104.21</v>
      </c>
    </row>
    <row r="44" customFormat="false" ht="15" hidden="false" customHeight="true" outlineLevel="0" collapsed="false">
      <c r="A44" s="114" t="n">
        <v>29122.59</v>
      </c>
      <c r="B44" s="114" t="n">
        <v>29322.58</v>
      </c>
      <c r="C44" s="114" t="n">
        <v>1108.98</v>
      </c>
    </row>
    <row r="45" customFormat="false" ht="15" hidden="false" customHeight="true" outlineLevel="0" collapsed="false">
      <c r="A45" s="115" t="n">
        <v>29322.59</v>
      </c>
      <c r="B45" s="115" t="n">
        <v>29522.58</v>
      </c>
      <c r="C45" s="115" t="n">
        <v>1113.75</v>
      </c>
    </row>
    <row r="46" customFormat="false" ht="15" hidden="false" customHeight="true" outlineLevel="0" collapsed="false">
      <c r="A46" s="114" t="n">
        <v>29522.59</v>
      </c>
      <c r="B46" s="114" t="n">
        <v>29722.58</v>
      </c>
      <c r="C46" s="114" t="n">
        <v>1118.49</v>
      </c>
    </row>
    <row r="47" customFormat="false" ht="15" hidden="false" customHeight="true" outlineLevel="0" collapsed="false">
      <c r="A47" s="115" t="n">
        <v>29722.59</v>
      </c>
      <c r="B47" s="115" t="n">
        <v>29922.58</v>
      </c>
      <c r="C47" s="115" t="n">
        <v>1123.52</v>
      </c>
    </row>
    <row r="48" customFormat="false" ht="15" hidden="false" customHeight="true" outlineLevel="0" collapsed="false">
      <c r="A48" s="114" t="n">
        <v>29922.59</v>
      </c>
      <c r="B48" s="114" t="n">
        <v>30122.58</v>
      </c>
      <c r="C48" s="114" t="n">
        <v>1128.29</v>
      </c>
    </row>
    <row r="49" customFormat="false" ht="15" hidden="false" customHeight="true" outlineLevel="0" collapsed="false">
      <c r="A49" s="115" t="n">
        <v>30122.59</v>
      </c>
      <c r="B49" s="115" t="n">
        <v>30322.58</v>
      </c>
      <c r="C49" s="115" t="n">
        <v>1133.04</v>
      </c>
    </row>
    <row r="50" customFormat="false" ht="15" hidden="false" customHeight="true" outlineLevel="0" collapsed="false">
      <c r="A50" s="114" t="n">
        <v>30322.59</v>
      </c>
      <c r="B50" s="114" t="n">
        <v>30522.58</v>
      </c>
      <c r="C50" s="114" t="n">
        <v>1137.8</v>
      </c>
    </row>
    <row r="51" customFormat="false" ht="15" hidden="false" customHeight="true" outlineLevel="0" collapsed="false">
      <c r="A51" s="115" t="n">
        <v>30522.59</v>
      </c>
      <c r="B51" s="115" t="n">
        <v>30722.58</v>
      </c>
      <c r="C51" s="115" t="n">
        <v>1142.57</v>
      </c>
    </row>
    <row r="52" customFormat="false" ht="15" hidden="false" customHeight="true" outlineLevel="0" collapsed="false">
      <c r="A52" s="114" t="n">
        <v>30722.59</v>
      </c>
      <c r="B52" s="114" t="n">
        <v>30922.58</v>
      </c>
      <c r="C52" s="114" t="n">
        <v>1147.6</v>
      </c>
    </row>
    <row r="53" customFormat="false" ht="15" hidden="false" customHeight="true" outlineLevel="0" collapsed="false">
      <c r="A53" s="115" t="n">
        <v>30922.59</v>
      </c>
      <c r="B53" s="115" t="n">
        <v>31122.58</v>
      </c>
      <c r="C53" s="115" t="n">
        <v>1152.35</v>
      </c>
    </row>
    <row r="54" customFormat="false" ht="15" hidden="false" customHeight="true" outlineLevel="0" collapsed="false">
      <c r="A54" s="114" t="n">
        <v>31122.59</v>
      </c>
      <c r="B54" s="114" t="n">
        <v>31322.58</v>
      </c>
      <c r="C54" s="114" t="n">
        <v>1157.11</v>
      </c>
    </row>
    <row r="55" customFormat="false" ht="15" hidden="false" customHeight="true" outlineLevel="0" collapsed="false">
      <c r="A55" s="115" t="n">
        <v>31322.59</v>
      </c>
      <c r="B55" s="115" t="n">
        <v>31522.58</v>
      </c>
      <c r="C55" s="115" t="n">
        <v>1161.88</v>
      </c>
    </row>
    <row r="56" customFormat="false" ht="15" hidden="false" customHeight="true" outlineLevel="0" collapsed="false">
      <c r="A56" s="114" t="n">
        <v>31522.59</v>
      </c>
      <c r="B56" s="114" t="n">
        <v>31722.58</v>
      </c>
      <c r="C56" s="114" t="n">
        <v>1166.91</v>
      </c>
    </row>
    <row r="57" customFormat="false" ht="15" hidden="false" customHeight="true" outlineLevel="0" collapsed="false">
      <c r="A57" s="115" t="n">
        <v>31722.59</v>
      </c>
      <c r="B57" s="115" t="n">
        <v>31922.58</v>
      </c>
      <c r="C57" s="115" t="n">
        <v>1171.66</v>
      </c>
    </row>
    <row r="58" customFormat="false" ht="15" hidden="false" customHeight="true" outlineLevel="0" collapsed="false">
      <c r="A58" s="114" t="n">
        <v>31922.59</v>
      </c>
      <c r="B58" s="114" t="n">
        <v>32122.58</v>
      </c>
      <c r="C58" s="114" t="n">
        <v>1176.42</v>
      </c>
    </row>
    <row r="59" customFormat="false" ht="15" hidden="false" customHeight="true" outlineLevel="0" collapsed="false">
      <c r="A59" s="115" t="n">
        <v>32122.59</v>
      </c>
      <c r="B59" s="115" t="n">
        <v>32322.58</v>
      </c>
      <c r="C59" s="115" t="n">
        <v>1181.19</v>
      </c>
    </row>
    <row r="60" customFormat="false" ht="15" hidden="false" customHeight="true" outlineLevel="0" collapsed="false">
      <c r="A60" s="114" t="n">
        <v>32322.59</v>
      </c>
      <c r="B60" s="114" t="n">
        <v>32522.58</v>
      </c>
      <c r="C60" s="114" t="n">
        <v>1185.96</v>
      </c>
    </row>
    <row r="61" customFormat="false" ht="15" hidden="false" customHeight="true" outlineLevel="0" collapsed="false">
      <c r="A61" s="115" t="n">
        <v>32522.59</v>
      </c>
      <c r="B61" s="115" t="n">
        <v>32722.58</v>
      </c>
      <c r="C61" s="115" t="n">
        <v>1190.97</v>
      </c>
    </row>
    <row r="62" customFormat="false" ht="15" hidden="false" customHeight="true" outlineLevel="0" collapsed="false">
      <c r="A62" s="114" t="n">
        <v>32722.59</v>
      </c>
      <c r="B62" s="114" t="n">
        <v>32922.58</v>
      </c>
      <c r="C62" s="114" t="n">
        <v>1195.73</v>
      </c>
    </row>
    <row r="63" customFormat="false" ht="15" hidden="false" customHeight="true" outlineLevel="0" collapsed="false">
      <c r="A63" s="115" t="n">
        <v>32922.59</v>
      </c>
      <c r="B63" s="115" t="n">
        <v>33122.58</v>
      </c>
      <c r="C63" s="115" t="n">
        <v>1200.5</v>
      </c>
    </row>
    <row r="64" customFormat="false" ht="15" hidden="false" customHeight="true" outlineLevel="0" collapsed="false">
      <c r="A64" s="114" t="n">
        <v>33122.59</v>
      </c>
      <c r="B64" s="114" t="n">
        <v>33322.58</v>
      </c>
      <c r="C64" s="114" t="n">
        <v>1205.25</v>
      </c>
    </row>
    <row r="65" customFormat="false" ht="15" hidden="false" customHeight="true" outlineLevel="0" collapsed="false">
      <c r="A65" s="115" t="n">
        <v>33322.59</v>
      </c>
      <c r="B65" s="115" t="n">
        <v>33522.58</v>
      </c>
      <c r="C65" s="115" t="n">
        <v>1210.01</v>
      </c>
    </row>
    <row r="66" customFormat="false" ht="15" hidden="false" customHeight="true" outlineLevel="0" collapsed="false">
      <c r="A66" s="114" t="n">
        <v>33522.59</v>
      </c>
      <c r="B66" s="114" t="n">
        <v>33722.58</v>
      </c>
      <c r="C66" s="114" t="n">
        <v>1215.04</v>
      </c>
    </row>
    <row r="67" customFormat="false" ht="15" hidden="false" customHeight="true" outlineLevel="0" collapsed="false">
      <c r="A67" s="115" t="n">
        <v>33722.59</v>
      </c>
      <c r="B67" s="115" t="n">
        <v>33922.58</v>
      </c>
      <c r="C67" s="115" t="n">
        <v>1219.81</v>
      </c>
    </row>
    <row r="68" customFormat="false" ht="15" hidden="false" customHeight="true" outlineLevel="0" collapsed="false">
      <c r="A68" s="114" t="n">
        <v>33922.59</v>
      </c>
      <c r="B68" s="114" t="n">
        <v>34122.58</v>
      </c>
      <c r="C68" s="114" t="n">
        <v>1224.56</v>
      </c>
    </row>
    <row r="69" customFormat="false" ht="15" hidden="false" customHeight="true" outlineLevel="0" collapsed="false">
      <c r="A69" s="115" t="n">
        <v>34122.59</v>
      </c>
      <c r="B69" s="115" t="n">
        <v>34322.58</v>
      </c>
      <c r="C69" s="115" t="n">
        <v>1229.32</v>
      </c>
    </row>
    <row r="70" customFormat="false" ht="15" hidden="false" customHeight="true" outlineLevel="0" collapsed="false">
      <c r="A70" s="114" t="n">
        <v>34322.59</v>
      </c>
      <c r="B70" s="114" t="n">
        <v>34522.58</v>
      </c>
      <c r="C70" s="114" t="n">
        <v>1234.35</v>
      </c>
    </row>
    <row r="71" customFormat="false" ht="15" hidden="false" customHeight="true" outlineLevel="0" collapsed="false">
      <c r="A71" s="115" t="n">
        <v>34522.59</v>
      </c>
      <c r="B71" s="115" t="n">
        <v>34722.58</v>
      </c>
      <c r="C71" s="115" t="n">
        <v>1239.12</v>
      </c>
    </row>
    <row r="72" customFormat="false" ht="15" hidden="false" customHeight="true" outlineLevel="0" collapsed="false">
      <c r="A72" s="114" t="n">
        <v>34722.59</v>
      </c>
      <c r="B72" s="114" t="n">
        <v>34922.58</v>
      </c>
      <c r="C72" s="114" t="n">
        <v>1243.87</v>
      </c>
    </row>
    <row r="73" customFormat="false" ht="15" hidden="false" customHeight="true" outlineLevel="0" collapsed="false">
      <c r="A73" s="115" t="n">
        <v>34922.59</v>
      </c>
      <c r="B73" s="115" t="n">
        <v>35122.58</v>
      </c>
      <c r="C73" s="115" t="n">
        <v>1248.63</v>
      </c>
    </row>
    <row r="74" customFormat="false" ht="15" hidden="false" customHeight="true" outlineLevel="0" collapsed="false">
      <c r="A74" s="114" t="n">
        <v>35122.59</v>
      </c>
      <c r="B74" s="114" t="n">
        <v>35322.58</v>
      </c>
      <c r="C74" s="114" t="n">
        <v>1253.4</v>
      </c>
    </row>
    <row r="75" customFormat="false" ht="15" hidden="false" customHeight="true" outlineLevel="0" collapsed="false">
      <c r="A75" s="115" t="n">
        <v>35322.59</v>
      </c>
      <c r="B75" s="115" t="n">
        <v>35522.58</v>
      </c>
      <c r="C75" s="115" t="n">
        <v>1258.43</v>
      </c>
    </row>
    <row r="76" customFormat="false" ht="15" hidden="false" customHeight="true" outlineLevel="0" collapsed="false">
      <c r="A76" s="114" t="n">
        <v>35522.59</v>
      </c>
      <c r="B76" s="114" t="n">
        <v>35722.58</v>
      </c>
      <c r="C76" s="114" t="n">
        <v>1263.18</v>
      </c>
    </row>
    <row r="77" customFormat="false" ht="15" hidden="false" customHeight="true" outlineLevel="0" collapsed="false">
      <c r="A77" s="115" t="n">
        <v>35722.59</v>
      </c>
      <c r="B77" s="115" t="n">
        <v>35922.58</v>
      </c>
      <c r="C77" s="115" t="n">
        <v>1267.94</v>
      </c>
    </row>
    <row r="78" customFormat="false" ht="15" hidden="false" customHeight="true" outlineLevel="0" collapsed="false">
      <c r="A78" s="114" t="n">
        <v>35922.59</v>
      </c>
      <c r="B78" s="114" t="n">
        <v>36122.58</v>
      </c>
      <c r="C78" s="114" t="n">
        <v>1272.71</v>
      </c>
    </row>
    <row r="79" customFormat="false" ht="15" hidden="false" customHeight="true" outlineLevel="0" collapsed="false">
      <c r="A79" s="115" t="n">
        <v>36122.59</v>
      </c>
      <c r="B79" s="115" t="n">
        <v>36322.58</v>
      </c>
      <c r="C79" s="115" t="n">
        <v>1277.46</v>
      </c>
    </row>
    <row r="80" customFormat="false" ht="15" hidden="false" customHeight="true" outlineLevel="0" collapsed="false">
      <c r="A80" s="114" t="n">
        <v>36322.59</v>
      </c>
      <c r="B80" s="114" t="n">
        <v>36522.58</v>
      </c>
      <c r="C80" s="114" t="n">
        <v>1282.48</v>
      </c>
    </row>
    <row r="81" customFormat="false" ht="15" hidden="false" customHeight="true" outlineLevel="0" collapsed="false">
      <c r="A81" s="115" t="n">
        <v>36522.59</v>
      </c>
      <c r="B81" s="115" t="n">
        <v>36722.58</v>
      </c>
      <c r="C81" s="115" t="n">
        <v>1287.25</v>
      </c>
    </row>
    <row r="82" customFormat="false" ht="15" hidden="false" customHeight="true" outlineLevel="0" collapsed="false">
      <c r="A82" s="114" t="n">
        <v>36722.59</v>
      </c>
      <c r="B82" s="114" t="n">
        <v>36922.58</v>
      </c>
      <c r="C82" s="114" t="n">
        <v>1292.02</v>
      </c>
    </row>
    <row r="83" customFormat="false" ht="15" hidden="false" customHeight="true" outlineLevel="0" collapsed="false">
      <c r="A83" s="115" t="n">
        <v>36922.59</v>
      </c>
      <c r="B83" s="115" t="n">
        <v>37122.58</v>
      </c>
      <c r="C83" s="115" t="n">
        <v>1296.77</v>
      </c>
    </row>
    <row r="84" customFormat="false" ht="15" hidden="false" customHeight="true" outlineLevel="0" collapsed="false">
      <c r="A84" s="114" t="n">
        <v>37122.59</v>
      </c>
      <c r="B84" s="114" t="n">
        <v>37322.58</v>
      </c>
      <c r="C84" s="114" t="n">
        <v>1301.79</v>
      </c>
    </row>
    <row r="85" customFormat="false" ht="15" hidden="false" customHeight="true" outlineLevel="0" collapsed="false">
      <c r="A85" s="115" t="n">
        <v>37322.59</v>
      </c>
      <c r="B85" s="115" t="n">
        <v>37522.58</v>
      </c>
      <c r="C85" s="115" t="n">
        <v>1306.56</v>
      </c>
    </row>
    <row r="86" customFormat="false" ht="15" hidden="false" customHeight="true" outlineLevel="0" collapsed="false">
      <c r="A86" s="114" t="n">
        <v>37522.59</v>
      </c>
      <c r="B86" s="114" t="n">
        <v>37722.58</v>
      </c>
      <c r="C86" s="114" t="n">
        <v>1311.33</v>
      </c>
    </row>
    <row r="87" customFormat="false" ht="15" hidden="false" customHeight="true" outlineLevel="0" collapsed="false">
      <c r="A87" s="115" t="n">
        <v>37722.59</v>
      </c>
      <c r="B87" s="115" t="n">
        <v>37922.58</v>
      </c>
      <c r="C87" s="115" t="n">
        <v>1316.08</v>
      </c>
    </row>
    <row r="88" customFormat="false" ht="15" hidden="false" customHeight="true" outlineLevel="0" collapsed="false">
      <c r="A88" s="114" t="n">
        <v>37922.59</v>
      </c>
      <c r="B88" s="114" t="n">
        <v>38122.58</v>
      </c>
      <c r="C88" s="114" t="n">
        <v>1320.84</v>
      </c>
    </row>
    <row r="89" customFormat="false" ht="15" hidden="false" customHeight="true" outlineLevel="0" collapsed="false">
      <c r="A89" s="115" t="n">
        <v>38122.59</v>
      </c>
      <c r="B89" s="115" t="n">
        <v>38322.58</v>
      </c>
      <c r="C89" s="115" t="n">
        <v>1325.87</v>
      </c>
    </row>
    <row r="90" customFormat="false" ht="15" hidden="false" customHeight="true" outlineLevel="0" collapsed="false">
      <c r="A90" s="114" t="n">
        <v>38322.59</v>
      </c>
      <c r="B90" s="114" t="n">
        <v>38522.58</v>
      </c>
      <c r="C90" s="114" t="n">
        <v>1330.64</v>
      </c>
    </row>
    <row r="91" customFormat="false" ht="15" hidden="false" customHeight="true" outlineLevel="0" collapsed="false">
      <c r="A91" s="115" t="n">
        <v>38522.59</v>
      </c>
      <c r="B91" s="115" t="n">
        <v>38722.58</v>
      </c>
      <c r="C91" s="115" t="n">
        <v>1335.38</v>
      </c>
    </row>
    <row r="92" customFormat="false" ht="15" hidden="false" customHeight="true" outlineLevel="0" collapsed="false">
      <c r="A92" s="114" t="n">
        <v>38722.59</v>
      </c>
      <c r="B92" s="114" t="n">
        <v>38922.58</v>
      </c>
      <c r="C92" s="114" t="n">
        <v>1340.15</v>
      </c>
    </row>
    <row r="93" customFormat="false" ht="15" hidden="false" customHeight="true" outlineLevel="0" collapsed="false">
      <c r="A93" s="115" t="n">
        <v>38922.59</v>
      </c>
      <c r="B93" s="115" t="n">
        <v>39122.58</v>
      </c>
      <c r="C93" s="115" t="n">
        <v>1344.92</v>
      </c>
    </row>
    <row r="94" customFormat="false" ht="15" hidden="false" customHeight="true" outlineLevel="0" collapsed="false">
      <c r="A94" s="114" t="n">
        <v>39122.59</v>
      </c>
      <c r="B94" s="114" t="n">
        <v>39322.58</v>
      </c>
      <c r="C94" s="114" t="n">
        <v>1349.95</v>
      </c>
    </row>
    <row r="95" customFormat="false" ht="15" hidden="false" customHeight="true" outlineLevel="0" collapsed="false">
      <c r="A95" s="115" t="n">
        <v>39322.59</v>
      </c>
      <c r="B95" s="115" t="n">
        <v>39522.58</v>
      </c>
      <c r="C95" s="115" t="n">
        <v>1354.69</v>
      </c>
    </row>
    <row r="96" customFormat="false" ht="15" hidden="false" customHeight="true" outlineLevel="0" collapsed="false">
      <c r="A96" s="114" t="n">
        <v>39522.59</v>
      </c>
      <c r="B96" s="114" t="n">
        <v>39722.58</v>
      </c>
      <c r="C96" s="114" t="n">
        <v>1359.46</v>
      </c>
    </row>
    <row r="97" customFormat="false" ht="15" hidden="false" customHeight="true" outlineLevel="0" collapsed="false">
      <c r="A97" s="115" t="n">
        <v>39722.59</v>
      </c>
      <c r="B97" s="115" t="n">
        <v>39922.58</v>
      </c>
      <c r="C97" s="115" t="n">
        <v>1364.23</v>
      </c>
    </row>
    <row r="98" customFormat="false" ht="15" hidden="false" customHeight="true" outlineLevel="0" collapsed="false">
      <c r="A98" s="114" t="n">
        <v>39922.59</v>
      </c>
      <c r="B98" s="114" t="n">
        <v>40122.58</v>
      </c>
      <c r="C98" s="114" t="n">
        <v>1369.24</v>
      </c>
    </row>
    <row r="99" customFormat="false" ht="15" hidden="false" customHeight="true" outlineLevel="0" collapsed="false">
      <c r="A99" s="115" t="n">
        <v>40122.59</v>
      </c>
      <c r="B99" s="115" t="n">
        <v>40322.58</v>
      </c>
      <c r="C99" s="115" t="n">
        <v>1374</v>
      </c>
    </row>
    <row r="100" customFormat="false" ht="15" hidden="false" customHeight="true" outlineLevel="0" collapsed="false">
      <c r="A100" s="114" t="n">
        <v>40322.59</v>
      </c>
      <c r="B100" s="114" t="n">
        <v>40522.58</v>
      </c>
      <c r="C100" s="114" t="n">
        <v>1378.77</v>
      </c>
    </row>
    <row r="101" customFormat="false" ht="15" hidden="false" customHeight="true" outlineLevel="0" collapsed="false">
      <c r="A101" s="115" t="n">
        <v>40522.59</v>
      </c>
      <c r="B101" s="115" t="n">
        <v>40722.58</v>
      </c>
      <c r="C101" s="115" t="n">
        <v>1383.54</v>
      </c>
    </row>
    <row r="102" customFormat="false" ht="15" hidden="false" customHeight="true" outlineLevel="0" collapsed="false">
      <c r="A102" s="114" t="n">
        <v>40722.59</v>
      </c>
      <c r="B102" s="114" t="n">
        <v>40922.58</v>
      </c>
      <c r="C102" s="114" t="n">
        <v>1388.28</v>
      </c>
    </row>
    <row r="103" customFormat="false" ht="15" hidden="false" customHeight="true" outlineLevel="0" collapsed="false">
      <c r="A103" s="115" t="n">
        <v>40922.59</v>
      </c>
      <c r="B103" s="115" t="n">
        <v>41122.58</v>
      </c>
      <c r="C103" s="115" t="n">
        <v>1393.31</v>
      </c>
    </row>
    <row r="104" customFormat="false" ht="15" hidden="false" customHeight="true" outlineLevel="0" collapsed="false">
      <c r="A104" s="114" t="n">
        <v>41122.59</v>
      </c>
      <c r="B104" s="114" t="n">
        <v>41322.58</v>
      </c>
      <c r="C104" s="114" t="n">
        <v>1398.08</v>
      </c>
    </row>
    <row r="105" customFormat="false" ht="15" hidden="false" customHeight="true" outlineLevel="0" collapsed="false">
      <c r="A105" s="115" t="n">
        <v>41322.59</v>
      </c>
      <c r="B105" s="115" t="n">
        <v>41522.58</v>
      </c>
      <c r="C105" s="115" t="n">
        <v>1402.85</v>
      </c>
    </row>
    <row r="106" customFormat="false" ht="15" hidden="false" customHeight="true" outlineLevel="0" collapsed="false">
      <c r="A106" s="114" t="n">
        <v>41522.59</v>
      </c>
      <c r="B106" s="114" t="n">
        <v>41722.58</v>
      </c>
      <c r="C106" s="114" t="n">
        <v>1407.59</v>
      </c>
    </row>
    <row r="107" customFormat="false" ht="15" hidden="false" customHeight="true" outlineLevel="0" collapsed="false">
      <c r="A107" s="115" t="n">
        <v>41722.59</v>
      </c>
      <c r="B107" s="115" t="n">
        <v>41922.58</v>
      </c>
      <c r="C107" s="115" t="n">
        <v>1412.36</v>
      </c>
    </row>
    <row r="108" customFormat="false" ht="15" hidden="false" customHeight="true" outlineLevel="0" collapsed="false">
      <c r="A108" s="114" t="n">
        <v>41922.59</v>
      </c>
      <c r="B108" s="114" t="n">
        <v>42122.58</v>
      </c>
      <c r="C108" s="114" t="n">
        <v>1417.39</v>
      </c>
    </row>
    <row r="109" customFormat="false" ht="15" hidden="false" customHeight="true" outlineLevel="0" collapsed="false">
      <c r="A109" s="115" t="n">
        <v>42122.59</v>
      </c>
      <c r="B109" s="115" t="n">
        <v>42322.58</v>
      </c>
      <c r="C109" s="115" t="n">
        <v>1422.14</v>
      </c>
    </row>
    <row r="110" customFormat="false" ht="15" hidden="false" customHeight="true" outlineLevel="0" collapsed="false">
      <c r="A110" s="114" t="n">
        <v>42322.59</v>
      </c>
      <c r="B110" s="114" t="n">
        <v>42522.58</v>
      </c>
      <c r="C110" s="114" t="n">
        <v>1426.9</v>
      </c>
    </row>
    <row r="111" customFormat="false" ht="15" hidden="false" customHeight="true" outlineLevel="0" collapsed="false">
      <c r="A111" s="115" t="n">
        <v>42522.59</v>
      </c>
      <c r="B111" s="115" t="n">
        <v>42722.58</v>
      </c>
      <c r="C111" s="115" t="n">
        <v>1431.67</v>
      </c>
    </row>
    <row r="112" customFormat="false" ht="15" hidden="false" customHeight="true" outlineLevel="0" collapsed="false">
      <c r="A112" s="114" t="n">
        <v>42722.59</v>
      </c>
      <c r="B112" s="114" t="n">
        <v>42922.58</v>
      </c>
      <c r="C112" s="114" t="n">
        <v>1436.7</v>
      </c>
    </row>
    <row r="113" customFormat="false" ht="15" hidden="false" customHeight="true" outlineLevel="0" collapsed="false">
      <c r="A113" s="115" t="n">
        <v>42922.59</v>
      </c>
      <c r="B113" s="115" t="n">
        <v>43122.58</v>
      </c>
      <c r="C113" s="115" t="n">
        <v>1441.45</v>
      </c>
    </row>
    <row r="114" customFormat="false" ht="15" hidden="false" customHeight="true" outlineLevel="0" collapsed="false">
      <c r="A114" s="114" t="n">
        <v>43122.59</v>
      </c>
      <c r="B114" s="114" t="n">
        <v>43322.58</v>
      </c>
      <c r="C114" s="114" t="n">
        <v>1446.21</v>
      </c>
    </row>
    <row r="115" customFormat="false" ht="15" hidden="false" customHeight="true" outlineLevel="0" collapsed="false">
      <c r="A115" s="115" t="n">
        <v>43322.59</v>
      </c>
      <c r="B115" s="115" t="n">
        <v>43522.58</v>
      </c>
      <c r="C115" s="115" t="n">
        <v>1450.98</v>
      </c>
    </row>
    <row r="116" customFormat="false" ht="15" hidden="false" customHeight="true" outlineLevel="0" collapsed="false">
      <c r="A116" s="114" t="n">
        <v>43522.59</v>
      </c>
      <c r="B116" s="114" t="n">
        <v>43722.58</v>
      </c>
      <c r="C116" s="114" t="n">
        <v>1455.75</v>
      </c>
    </row>
    <row r="117" customFormat="false" ht="15" hidden="false" customHeight="true" outlineLevel="0" collapsed="false">
      <c r="A117" s="115" t="n">
        <v>43722.59</v>
      </c>
      <c r="B117" s="115" t="n">
        <v>43922.58</v>
      </c>
      <c r="C117" s="115" t="n">
        <v>1460.76</v>
      </c>
    </row>
    <row r="118" customFormat="false" ht="15" hidden="false" customHeight="true" outlineLevel="0" collapsed="false">
      <c r="A118" s="114" t="n">
        <v>43922.59</v>
      </c>
      <c r="B118" s="114" t="n">
        <v>44122.58</v>
      </c>
      <c r="C118" s="114" t="n">
        <v>1465.52</v>
      </c>
    </row>
    <row r="119" customFormat="false" ht="15" hidden="false" customHeight="true" outlineLevel="0" collapsed="false">
      <c r="A119" s="115" t="n">
        <v>44122.59</v>
      </c>
      <c r="B119" s="115" t="n">
        <v>44322.58</v>
      </c>
      <c r="C119" s="115" t="n">
        <v>1470.29</v>
      </c>
    </row>
    <row r="120" customFormat="false" ht="15" hidden="false" customHeight="true" outlineLevel="0" collapsed="false">
      <c r="A120" s="114" t="n">
        <v>44322.59</v>
      </c>
      <c r="B120" s="114" t="n">
        <v>44522.58</v>
      </c>
      <c r="C120" s="114" t="n">
        <v>1475.04</v>
      </c>
    </row>
    <row r="121" customFormat="false" ht="15" hidden="false" customHeight="true" outlineLevel="0" collapsed="false">
      <c r="A121" s="115" t="n">
        <v>44522.59</v>
      </c>
      <c r="B121" s="115" t="n">
        <v>44722.58</v>
      </c>
      <c r="C121" s="115" t="n">
        <v>1479.8</v>
      </c>
    </row>
    <row r="122" customFormat="false" ht="15" hidden="false" customHeight="true" outlineLevel="0" collapsed="false">
      <c r="A122" s="114" t="n">
        <v>44722.59</v>
      </c>
      <c r="B122" s="114" t="n">
        <v>44922.58</v>
      </c>
      <c r="C122" s="114" t="n">
        <v>1484.83</v>
      </c>
    </row>
    <row r="123" customFormat="false" ht="15" hidden="false" customHeight="true" outlineLevel="0" collapsed="false">
      <c r="A123" s="115" t="n">
        <v>44922.59</v>
      </c>
      <c r="B123" s="115" t="n">
        <v>45122.58</v>
      </c>
      <c r="C123" s="115" t="n">
        <v>1489.6</v>
      </c>
    </row>
    <row r="124" customFormat="false" ht="15" hidden="false" customHeight="true" outlineLevel="0" collapsed="false">
      <c r="A124" s="114" t="n">
        <v>45122.59</v>
      </c>
      <c r="B124" s="114" t="n">
        <v>45322.58</v>
      </c>
      <c r="C124" s="114" t="n">
        <v>1494.35</v>
      </c>
    </row>
    <row r="125" customFormat="false" ht="15" hidden="false" customHeight="true" outlineLevel="0" collapsed="false">
      <c r="A125" s="115" t="n">
        <v>45322.59</v>
      </c>
      <c r="B125" s="115" t="n">
        <v>45522.58</v>
      </c>
      <c r="C125" s="115" t="n">
        <v>1499.11</v>
      </c>
    </row>
    <row r="126" customFormat="false" ht="15" hidden="false" customHeight="true" outlineLevel="0" collapsed="false">
      <c r="A126" s="114" t="n">
        <v>45522.59</v>
      </c>
      <c r="B126" s="114" t="n">
        <v>45722.58</v>
      </c>
      <c r="C126" s="114" t="n">
        <v>1504.14</v>
      </c>
    </row>
    <row r="127" customFormat="false" ht="15" hidden="false" customHeight="true" outlineLevel="0" collapsed="false">
      <c r="A127" s="115" t="n">
        <v>45722.59</v>
      </c>
      <c r="B127" s="115" t="n">
        <v>45922.58</v>
      </c>
      <c r="C127" s="115" t="n">
        <v>1508.91</v>
      </c>
    </row>
    <row r="128" customFormat="false" ht="15" hidden="false" customHeight="true" outlineLevel="0" collapsed="false">
      <c r="A128" s="114" t="n">
        <v>45922.59</v>
      </c>
      <c r="B128" s="114" t="n">
        <v>46122.58</v>
      </c>
      <c r="C128" s="114" t="n">
        <v>1513.66</v>
      </c>
    </row>
    <row r="129" customFormat="false" ht="15" hidden="false" customHeight="true" outlineLevel="0" collapsed="false">
      <c r="A129" s="115" t="n">
        <v>46122.59</v>
      </c>
      <c r="B129" s="115" t="n">
        <v>46322.58</v>
      </c>
      <c r="C129" s="115" t="n">
        <v>1518.42</v>
      </c>
    </row>
    <row r="130" customFormat="false" ht="15" hidden="false" customHeight="true" outlineLevel="0" collapsed="false">
      <c r="A130" s="114" t="n">
        <v>46322.59</v>
      </c>
      <c r="B130" s="114" t="n">
        <v>46522.58</v>
      </c>
      <c r="C130" s="114" t="n">
        <v>1523.19</v>
      </c>
    </row>
    <row r="131" customFormat="false" ht="15" hidden="false" customHeight="true" outlineLevel="0" collapsed="false">
      <c r="A131" s="115" t="n">
        <v>46522.59</v>
      </c>
      <c r="B131" s="115" t="n">
        <v>46722.58</v>
      </c>
      <c r="C131" s="115" t="n">
        <v>1528.22</v>
      </c>
    </row>
    <row r="132" customFormat="false" ht="15" hidden="false" customHeight="true" outlineLevel="0" collapsed="false">
      <c r="A132" s="114" t="n">
        <v>46722.59</v>
      </c>
      <c r="B132" s="114" t="n">
        <v>46922.58</v>
      </c>
      <c r="C132" s="114" t="n">
        <v>1532.96</v>
      </c>
    </row>
    <row r="133" customFormat="false" ht="15" hidden="false" customHeight="true" outlineLevel="0" collapsed="false">
      <c r="A133" s="115" t="n">
        <v>46922.59</v>
      </c>
      <c r="B133" s="115" t="n">
        <v>47122.58</v>
      </c>
      <c r="C133" s="115" t="n">
        <v>1537.73</v>
      </c>
    </row>
    <row r="134" customFormat="false" ht="15" hidden="false" customHeight="true" outlineLevel="0" collapsed="false">
      <c r="A134" s="114" t="n">
        <v>47122.59</v>
      </c>
      <c r="B134" s="114" t="n">
        <v>47322.58</v>
      </c>
      <c r="C134" s="114" t="n">
        <v>1542.5</v>
      </c>
    </row>
    <row r="135" customFormat="false" ht="15" hidden="false" customHeight="true" outlineLevel="0" collapsed="false">
      <c r="A135" s="115" t="n">
        <v>47322.59</v>
      </c>
      <c r="B135" s="115" t="n">
        <v>47522.58</v>
      </c>
      <c r="C135" s="115" t="n">
        <v>1547.53</v>
      </c>
    </row>
    <row r="136" customFormat="false" ht="15" hidden="false" customHeight="true" outlineLevel="0" collapsed="false">
      <c r="A136" s="114" t="n">
        <v>47522.59</v>
      </c>
      <c r="B136" s="114" t="n">
        <v>47722.58</v>
      </c>
      <c r="C136" s="114" t="n">
        <v>1552.27</v>
      </c>
    </row>
    <row r="137" customFormat="false" ht="15" hidden="false" customHeight="true" outlineLevel="0" collapsed="false">
      <c r="A137" s="115" t="n">
        <v>47722.59</v>
      </c>
      <c r="B137" s="115" t="n">
        <v>47922.58</v>
      </c>
      <c r="C137" s="115" t="n">
        <v>1557.04</v>
      </c>
    </row>
    <row r="138" customFormat="false" ht="15" hidden="false" customHeight="true" outlineLevel="0" collapsed="false">
      <c r="A138" s="114" t="n">
        <v>47922.59</v>
      </c>
      <c r="B138" s="114" t="n">
        <v>48122.58</v>
      </c>
      <c r="C138" s="114" t="n">
        <v>1561.81</v>
      </c>
    </row>
    <row r="139" customFormat="false" ht="15" hidden="false" customHeight="true" outlineLevel="0" collapsed="false">
      <c r="A139" s="115" t="n">
        <v>48122.59</v>
      </c>
      <c r="B139" s="115" t="n">
        <v>48322.58</v>
      </c>
      <c r="C139" s="115" t="n">
        <v>1566.56</v>
      </c>
    </row>
    <row r="140" customFormat="false" ht="15" hidden="false" customHeight="true" outlineLevel="0" collapsed="false">
      <c r="A140" s="114" t="n">
        <v>48322.59</v>
      </c>
      <c r="B140" s="114" t="n">
        <v>48522.58</v>
      </c>
      <c r="C140" s="114" t="n">
        <v>1571.58</v>
      </c>
    </row>
    <row r="141" customFormat="false" ht="15" hidden="false" customHeight="true" outlineLevel="0" collapsed="false">
      <c r="A141" s="115" t="n">
        <v>48522.59</v>
      </c>
      <c r="B141" s="115" t="n">
        <v>48722.58</v>
      </c>
      <c r="C141" s="115" t="n">
        <v>1576.35</v>
      </c>
    </row>
    <row r="142" customFormat="false" ht="15" hidden="false" customHeight="true" outlineLevel="0" collapsed="false">
      <c r="A142" s="114" t="n">
        <v>48722.59</v>
      </c>
      <c r="B142" s="114" t="n">
        <v>48922.58</v>
      </c>
      <c r="C142" s="114" t="n">
        <v>1581.12</v>
      </c>
    </row>
    <row r="143" customFormat="false" ht="15" hidden="false" customHeight="true" outlineLevel="0" collapsed="false">
      <c r="A143" s="115" t="n">
        <v>48922.59</v>
      </c>
      <c r="B143" s="115" t="n">
        <v>49122.58</v>
      </c>
      <c r="C143" s="115" t="n">
        <v>1585.86</v>
      </c>
    </row>
    <row r="144" customFormat="false" ht="15" hidden="false" customHeight="true" outlineLevel="0" collapsed="false">
      <c r="A144" s="114" t="n">
        <v>49122.59</v>
      </c>
      <c r="B144" s="114" t="n">
        <v>49322.58</v>
      </c>
      <c r="C144" s="114" t="n">
        <v>1590.63</v>
      </c>
    </row>
    <row r="145" customFormat="false" ht="15" hidden="false" customHeight="true" outlineLevel="0" collapsed="false">
      <c r="A145" s="115" t="n">
        <v>49322.59</v>
      </c>
      <c r="B145" s="115" t="n">
        <v>49522.58</v>
      </c>
      <c r="C145" s="115" t="n">
        <v>1595.66</v>
      </c>
    </row>
    <row r="146" customFormat="false" ht="15" hidden="false" customHeight="true" outlineLevel="0" collapsed="false">
      <c r="A146" s="114" t="n">
        <v>49522.59</v>
      </c>
      <c r="B146" s="114" t="n">
        <v>49722.58</v>
      </c>
      <c r="C146" s="114" t="n">
        <v>1600.43</v>
      </c>
    </row>
    <row r="147" customFormat="false" ht="15" hidden="false" customHeight="true" outlineLevel="0" collapsed="false">
      <c r="A147" s="115" t="n">
        <v>49722.59</v>
      </c>
      <c r="B147" s="115" t="n">
        <v>49922.58</v>
      </c>
      <c r="C147" s="115" t="n">
        <v>1605.17</v>
      </c>
    </row>
    <row r="148" customFormat="false" ht="15" hidden="false" customHeight="true" outlineLevel="0" collapsed="false">
      <c r="A148" s="114" t="n">
        <v>49922.59</v>
      </c>
      <c r="B148" s="114" t="n">
        <v>50122.58</v>
      </c>
      <c r="C148" s="114" t="n">
        <v>1609.94</v>
      </c>
    </row>
    <row r="149" customFormat="false" ht="15" hidden="false" customHeight="true" outlineLevel="0" collapsed="false">
      <c r="A149" s="115" t="n">
        <v>50122.59</v>
      </c>
      <c r="B149" s="115" t="n">
        <v>50322.58</v>
      </c>
      <c r="C149" s="115" t="n">
        <v>1614.97</v>
      </c>
    </row>
    <row r="150" customFormat="false" ht="15" hidden="false" customHeight="true" outlineLevel="0" collapsed="false">
      <c r="A150" s="114" t="n">
        <v>50322.59</v>
      </c>
      <c r="B150" s="114" t="n">
        <v>50522.58</v>
      </c>
      <c r="C150" s="114" t="n">
        <v>1619.72</v>
      </c>
    </row>
    <row r="151" customFormat="false" ht="15" hidden="false" customHeight="true" outlineLevel="0" collapsed="false">
      <c r="A151" s="115" t="n">
        <v>50522.59</v>
      </c>
      <c r="B151" s="115" t="n">
        <v>50722.58</v>
      </c>
      <c r="C151" s="115" t="n">
        <v>1624.48</v>
      </c>
    </row>
    <row r="152" customFormat="false" ht="15" hidden="false" customHeight="true" outlineLevel="0" collapsed="false">
      <c r="A152" s="114" t="n">
        <v>50722.59</v>
      </c>
      <c r="B152" s="114" t="n">
        <v>50922.58</v>
      </c>
      <c r="C152" s="114" t="n">
        <v>1629.25</v>
      </c>
    </row>
    <row r="153" customFormat="false" ht="15" hidden="false" customHeight="true" outlineLevel="0" collapsed="false">
      <c r="A153" s="115" t="n">
        <v>50922.59</v>
      </c>
      <c r="B153" s="115" t="n">
        <v>51122.58</v>
      </c>
      <c r="C153" s="115" t="n">
        <v>1634.02</v>
      </c>
    </row>
    <row r="154" customFormat="false" ht="15" hidden="false" customHeight="true" outlineLevel="0" collapsed="false">
      <c r="A154" s="114" t="n">
        <v>51122.59</v>
      </c>
      <c r="B154" s="114" t="n">
        <v>51322.58</v>
      </c>
      <c r="C154" s="114" t="n">
        <v>1639.03</v>
      </c>
    </row>
    <row r="155" customFormat="false" ht="15" hidden="false" customHeight="true" outlineLevel="0" collapsed="false">
      <c r="A155" s="115" t="n">
        <v>51322.59</v>
      </c>
      <c r="B155" s="115" t="n">
        <v>51522.58</v>
      </c>
      <c r="C155" s="115" t="n">
        <v>1643.79</v>
      </c>
    </row>
    <row r="156" customFormat="false" ht="15" hidden="false" customHeight="true" outlineLevel="0" collapsed="false">
      <c r="A156" s="114" t="n">
        <v>51522.59</v>
      </c>
      <c r="B156" s="114" t="n">
        <v>51722.58</v>
      </c>
      <c r="C156" s="114" t="n">
        <v>1648.56</v>
      </c>
    </row>
    <row r="157" customFormat="false" ht="15" hidden="false" customHeight="true" outlineLevel="0" collapsed="false">
      <c r="A157" s="115" t="n">
        <v>51722.59</v>
      </c>
      <c r="B157" s="115" t="n">
        <v>51922.58</v>
      </c>
      <c r="C157" s="115" t="n">
        <v>1653.33</v>
      </c>
    </row>
    <row r="158" customFormat="false" ht="15" hidden="false" customHeight="true" outlineLevel="0" collapsed="false">
      <c r="A158" s="114" t="n">
        <v>51922.59</v>
      </c>
      <c r="B158" s="114" t="n">
        <v>52122.58</v>
      </c>
      <c r="C158" s="114" t="n">
        <v>1658.07</v>
      </c>
    </row>
    <row r="159" customFormat="false" ht="15" hidden="false" customHeight="true" outlineLevel="0" collapsed="false">
      <c r="A159" s="115" t="n">
        <v>52122.59</v>
      </c>
      <c r="B159" s="115" t="n">
        <v>52322.58</v>
      </c>
      <c r="C159" s="115" t="n">
        <v>1663.1</v>
      </c>
    </row>
    <row r="160" customFormat="false" ht="15" hidden="false" customHeight="true" outlineLevel="0" collapsed="false">
      <c r="A160" s="114" t="n">
        <v>52322.59</v>
      </c>
      <c r="B160" s="114" t="n">
        <v>52522.58</v>
      </c>
      <c r="C160" s="114" t="n">
        <v>1667.87</v>
      </c>
    </row>
    <row r="161" customFormat="false" ht="15" hidden="false" customHeight="true" outlineLevel="0" collapsed="false">
      <c r="A161" s="115" t="n">
        <v>52522.59</v>
      </c>
      <c r="B161" s="115" t="n">
        <v>52722.58</v>
      </c>
      <c r="C161" s="115" t="n">
        <v>1672.62</v>
      </c>
    </row>
    <row r="162" customFormat="false" ht="15" hidden="false" customHeight="true" outlineLevel="0" collapsed="false">
      <c r="A162" s="114" t="n">
        <v>52722.59</v>
      </c>
      <c r="B162" s="114" t="n">
        <v>52922.58</v>
      </c>
      <c r="C162" s="114" t="n">
        <v>1677.38</v>
      </c>
    </row>
    <row r="163" customFormat="false" ht="15" hidden="false" customHeight="true" outlineLevel="0" collapsed="false">
      <c r="A163" s="115" t="n">
        <v>52922.59</v>
      </c>
      <c r="B163" s="115" t="n">
        <v>53122.58</v>
      </c>
      <c r="C163" s="115" t="n">
        <v>1682.41</v>
      </c>
    </row>
    <row r="164" customFormat="false" ht="15" hidden="false" customHeight="true" outlineLevel="0" collapsed="false">
      <c r="A164" s="114" t="n">
        <v>53122.59</v>
      </c>
      <c r="B164" s="114" t="n">
        <v>53322.58</v>
      </c>
      <c r="C164" s="114" t="n">
        <v>1687.18</v>
      </c>
    </row>
    <row r="165" customFormat="false" ht="15" hidden="false" customHeight="true" outlineLevel="0" collapsed="false">
      <c r="A165" s="115" t="n">
        <v>53322.59</v>
      </c>
      <c r="B165" s="115" t="n">
        <v>53522.58</v>
      </c>
      <c r="C165" s="115" t="n">
        <v>1691.93</v>
      </c>
    </row>
    <row r="166" customFormat="false" ht="15" hidden="false" customHeight="true" outlineLevel="0" collapsed="false">
      <c r="A166" s="114" t="n">
        <v>53522.59</v>
      </c>
      <c r="B166" s="114" t="n">
        <v>53722.58</v>
      </c>
      <c r="C166" s="114" t="n">
        <v>1696.69</v>
      </c>
    </row>
    <row r="167" customFormat="false" ht="15" hidden="false" customHeight="true" outlineLevel="0" collapsed="false">
      <c r="A167" s="115" t="n">
        <v>53722.59</v>
      </c>
      <c r="B167" s="115" t="n">
        <v>53922.58</v>
      </c>
      <c r="C167" s="115" t="n">
        <v>1701.46</v>
      </c>
    </row>
    <row r="168" customFormat="false" ht="15" hidden="false" customHeight="true" outlineLevel="0" collapsed="false">
      <c r="A168" s="114" t="n">
        <v>53922.59</v>
      </c>
      <c r="B168" s="114" t="n">
        <v>54122.58</v>
      </c>
      <c r="C168" s="114" t="n">
        <v>1706.49</v>
      </c>
    </row>
    <row r="169" customFormat="false" ht="15" hidden="false" customHeight="true" outlineLevel="0" collapsed="false">
      <c r="A169" s="115" t="n">
        <v>54122.59</v>
      </c>
      <c r="B169" s="115" t="n">
        <v>54322.58</v>
      </c>
      <c r="C169" s="115" t="n">
        <v>1711.24</v>
      </c>
    </row>
    <row r="170" customFormat="false" ht="15" hidden="false" customHeight="true" outlineLevel="0" collapsed="false">
      <c r="A170" s="114" t="n">
        <v>54322.59</v>
      </c>
      <c r="B170" s="114" t="n">
        <v>54522.58</v>
      </c>
      <c r="C170" s="114" t="n">
        <v>1716</v>
      </c>
    </row>
    <row r="171" customFormat="false" ht="15" hidden="false" customHeight="true" outlineLevel="0" collapsed="false">
      <c r="A171" s="115" t="n">
        <v>54522.59</v>
      </c>
      <c r="B171" s="115" t="n">
        <v>54722.58</v>
      </c>
      <c r="C171" s="115" t="n">
        <v>1720.77</v>
      </c>
    </row>
    <row r="172" customFormat="false" ht="15" hidden="false" customHeight="true" outlineLevel="0" collapsed="false">
      <c r="A172" s="114" t="n">
        <v>54722.59</v>
      </c>
      <c r="B172" s="114" t="n">
        <v>54922.58</v>
      </c>
      <c r="C172" s="114" t="n">
        <v>1725.54</v>
      </c>
    </row>
    <row r="173" customFormat="false" ht="15" hidden="false" customHeight="true" outlineLevel="0" collapsed="false">
      <c r="A173" s="115" t="n">
        <v>54922.59</v>
      </c>
      <c r="B173" s="115" t="n">
        <v>55122.58</v>
      </c>
      <c r="C173" s="115" t="n">
        <v>1730.55</v>
      </c>
    </row>
    <row r="174" customFormat="false" ht="15" hidden="false" customHeight="true" outlineLevel="0" collapsed="false">
      <c r="A174" s="114" t="n">
        <v>55122.59</v>
      </c>
      <c r="B174" s="114" t="n">
        <v>55322.58</v>
      </c>
      <c r="C174" s="114" t="n">
        <v>1735.31</v>
      </c>
    </row>
    <row r="175" customFormat="false" ht="15" hidden="false" customHeight="true" outlineLevel="0" collapsed="false">
      <c r="A175" s="115" t="n">
        <v>55322.59</v>
      </c>
      <c r="B175" s="115" t="n">
        <v>55522.58</v>
      </c>
      <c r="C175" s="115" t="n">
        <v>1740.08</v>
      </c>
    </row>
    <row r="176" customFormat="false" ht="15" hidden="false" customHeight="true" outlineLevel="0" collapsed="false">
      <c r="A176" s="114" t="n">
        <v>55522.59</v>
      </c>
      <c r="B176" s="114" t="n">
        <v>55722.58</v>
      </c>
      <c r="C176" s="114" t="n">
        <v>1744.83</v>
      </c>
    </row>
    <row r="177" customFormat="false" ht="15" hidden="false" customHeight="true" outlineLevel="0" collapsed="false">
      <c r="A177" s="115" t="n">
        <v>55722.59</v>
      </c>
      <c r="B177" s="115" t="n">
        <v>55922.58</v>
      </c>
      <c r="C177" s="115" t="n">
        <v>1749.86</v>
      </c>
    </row>
    <row r="178" customFormat="false" ht="15" hidden="false" customHeight="true" outlineLevel="0" collapsed="false">
      <c r="A178" s="114" t="n">
        <v>55922.59</v>
      </c>
      <c r="B178" s="114" t="n">
        <v>56122.58</v>
      </c>
      <c r="C178" s="114" t="n">
        <v>1754.62</v>
      </c>
    </row>
    <row r="179" customFormat="false" ht="15" hidden="false" customHeight="true" outlineLevel="0" collapsed="false">
      <c r="A179" s="115" t="n">
        <v>56122.59</v>
      </c>
      <c r="B179" s="115" t="n">
        <v>56322.58</v>
      </c>
      <c r="C179" s="115" t="n">
        <v>1759.39</v>
      </c>
    </row>
    <row r="180" customFormat="false" ht="15" hidden="false" customHeight="true" outlineLevel="0" collapsed="false">
      <c r="A180" s="114" t="n">
        <v>56322.59</v>
      </c>
      <c r="B180" s="114" t="n">
        <v>56522.58</v>
      </c>
      <c r="C180" s="114" t="n">
        <v>1764.14</v>
      </c>
    </row>
    <row r="181" customFormat="false" ht="15" hidden="false" customHeight="true" outlineLevel="0" collapsed="false">
      <c r="A181" s="115" t="n">
        <v>56522.59</v>
      </c>
      <c r="B181" s="115" t="n">
        <v>56722.58</v>
      </c>
      <c r="C181" s="115" t="n">
        <v>1768.9</v>
      </c>
    </row>
    <row r="182" customFormat="false" ht="15" hidden="false" customHeight="true" outlineLevel="0" collapsed="false">
      <c r="A182" s="114" t="n">
        <v>56722.59</v>
      </c>
      <c r="B182" s="114" t="n">
        <v>56922.58</v>
      </c>
      <c r="C182" s="114" t="n">
        <v>1773.93</v>
      </c>
    </row>
    <row r="183" customFormat="false" ht="15" hidden="false" customHeight="true" outlineLevel="0" collapsed="false">
      <c r="A183" s="115" t="n">
        <v>56922.59</v>
      </c>
      <c r="B183" s="115" t="n">
        <v>57122.58</v>
      </c>
      <c r="C183" s="115" t="n">
        <v>1778.7</v>
      </c>
    </row>
    <row r="184" customFormat="false" ht="15" hidden="false" customHeight="true" outlineLevel="0" collapsed="false">
      <c r="A184" s="114" t="n">
        <v>57122.59</v>
      </c>
      <c r="B184" s="114" t="n">
        <v>57322.58</v>
      </c>
      <c r="C184" s="114" t="n">
        <v>1783.45</v>
      </c>
    </row>
    <row r="185" customFormat="false" ht="15" hidden="false" customHeight="true" outlineLevel="0" collapsed="false">
      <c r="A185" s="115" t="n">
        <v>57322.59</v>
      </c>
      <c r="B185" s="115" t="n">
        <v>57522.58</v>
      </c>
      <c r="C185" s="115" t="n">
        <v>1788.21</v>
      </c>
    </row>
    <row r="186" customFormat="false" ht="15" hidden="false" customHeight="true" outlineLevel="0" collapsed="false">
      <c r="A186" s="114" t="n">
        <v>57522.59</v>
      </c>
      <c r="B186" s="114" t="n">
        <v>57722.58</v>
      </c>
      <c r="C186" s="114" t="n">
        <v>1792.98</v>
      </c>
    </row>
    <row r="187" customFormat="false" ht="15" hidden="false" customHeight="true" outlineLevel="0" collapsed="false">
      <c r="A187" s="115" t="n">
        <v>57722.59</v>
      </c>
      <c r="B187" s="115" t="n">
        <v>57922.58</v>
      </c>
      <c r="C187" s="115" t="n">
        <v>1798.01</v>
      </c>
    </row>
    <row r="188" customFormat="false" ht="15" hidden="false" customHeight="true" outlineLevel="0" collapsed="false">
      <c r="A188" s="114" t="n">
        <v>57922.59</v>
      </c>
      <c r="B188" s="114" t="n">
        <v>58122.58</v>
      </c>
      <c r="C188" s="114" t="n">
        <v>1802.76</v>
      </c>
    </row>
    <row r="189" customFormat="false" ht="15" hidden="false" customHeight="true" outlineLevel="0" collapsed="false">
      <c r="A189" s="115" t="n">
        <v>58122.59</v>
      </c>
      <c r="B189" s="115" t="n">
        <v>58322.58</v>
      </c>
      <c r="C189" s="115" t="n">
        <v>1807.52</v>
      </c>
    </row>
    <row r="190" customFormat="false" ht="15" hidden="false" customHeight="true" outlineLevel="0" collapsed="false">
      <c r="A190" s="114" t="n">
        <v>58322.59</v>
      </c>
      <c r="B190" s="114" t="n">
        <v>58522.58</v>
      </c>
      <c r="C190" s="114" t="n">
        <v>1812.29</v>
      </c>
    </row>
    <row r="191" customFormat="false" ht="15" hidden="false" customHeight="true" outlineLevel="0" collapsed="false">
      <c r="A191" s="115" t="n">
        <v>58522.59</v>
      </c>
      <c r="B191" s="115" t="n">
        <v>58722.58</v>
      </c>
      <c r="C191" s="115" t="n">
        <v>1817.32</v>
      </c>
    </row>
    <row r="192" customFormat="false" ht="15" hidden="false" customHeight="true" outlineLevel="0" collapsed="false">
      <c r="A192" s="114" t="n">
        <v>58722.59</v>
      </c>
      <c r="B192" s="114" t="n">
        <v>58922.58</v>
      </c>
      <c r="C192" s="114" t="n">
        <v>1822.06</v>
      </c>
    </row>
    <row r="193" customFormat="false" ht="15" hidden="false" customHeight="true" outlineLevel="0" collapsed="false">
      <c r="A193" s="115" t="n">
        <v>58922.59</v>
      </c>
      <c r="B193" s="115" t="n">
        <v>59122.58</v>
      </c>
      <c r="C193" s="115" t="n">
        <v>1826.83</v>
      </c>
    </row>
    <row r="194" customFormat="false" ht="15" hidden="false" customHeight="true" outlineLevel="0" collapsed="false">
      <c r="A194" s="114" t="n">
        <v>59122.59</v>
      </c>
      <c r="B194" s="114" t="n">
        <v>59322.58</v>
      </c>
      <c r="C194" s="114" t="n">
        <v>1831.6</v>
      </c>
    </row>
    <row r="195" customFormat="false" ht="15" hidden="false" customHeight="true" outlineLevel="0" collapsed="false">
      <c r="A195" s="115" t="n">
        <v>59322.59</v>
      </c>
      <c r="B195" s="115" t="n">
        <v>59522.58</v>
      </c>
      <c r="C195" s="115" t="n">
        <v>1836.35</v>
      </c>
    </row>
    <row r="196" customFormat="false" ht="15" hidden="false" customHeight="true" outlineLevel="0" collapsed="false">
      <c r="A196" s="114" t="n">
        <v>59522.59</v>
      </c>
      <c r="B196" s="114" t="n">
        <v>59722.58</v>
      </c>
      <c r="C196" s="114" t="n">
        <v>1841.37</v>
      </c>
    </row>
    <row r="197" customFormat="false" ht="15" hidden="false" customHeight="true" outlineLevel="0" collapsed="false">
      <c r="A197" s="115" t="n">
        <v>59722.59</v>
      </c>
      <c r="B197" s="115" t="n">
        <v>59922.58</v>
      </c>
      <c r="C197" s="115" t="n">
        <v>1846.14</v>
      </c>
    </row>
    <row r="198" customFormat="false" ht="15" hidden="false" customHeight="true" outlineLevel="0" collapsed="false">
      <c r="A198" s="114" t="n">
        <v>59922.59</v>
      </c>
      <c r="B198" s="114" t="n">
        <v>60122.58</v>
      </c>
      <c r="C198" s="114" t="n">
        <v>1850.91</v>
      </c>
    </row>
    <row r="199" customFormat="false" ht="15" hidden="false" customHeight="true" outlineLevel="0" collapsed="false">
      <c r="A199" s="115" t="n">
        <v>60122.59</v>
      </c>
      <c r="B199" s="115" t="n">
        <v>60322.58</v>
      </c>
      <c r="C199" s="115" t="n">
        <v>1855.65</v>
      </c>
    </row>
    <row r="200" customFormat="false" ht="15" hidden="false" customHeight="true" outlineLevel="0" collapsed="false">
      <c r="A200" s="114" t="n">
        <v>60322.59</v>
      </c>
      <c r="B200" s="114" t="n">
        <v>60522.58</v>
      </c>
      <c r="C200" s="114" t="n">
        <v>1860.42</v>
      </c>
    </row>
    <row r="201" customFormat="false" ht="15" hidden="false" customHeight="true" outlineLevel="0" collapsed="false">
      <c r="A201" s="115" t="n">
        <v>60522.59</v>
      </c>
      <c r="B201" s="115" t="n">
        <v>60722.58</v>
      </c>
      <c r="C201" s="115" t="n">
        <v>1865.45</v>
      </c>
    </row>
    <row r="202" customFormat="false" ht="15" hidden="false" customHeight="true" outlineLevel="0" collapsed="false">
      <c r="A202" s="114" t="n">
        <v>60722.59</v>
      </c>
      <c r="B202" s="114" t="n">
        <v>60922.58</v>
      </c>
      <c r="C202" s="114" t="n">
        <v>1870.22</v>
      </c>
    </row>
    <row r="203" customFormat="false" ht="15" hidden="false" customHeight="true" outlineLevel="0" collapsed="false">
      <c r="A203" s="115" t="n">
        <v>60922.59</v>
      </c>
      <c r="B203" s="115" t="n">
        <v>61122.58</v>
      </c>
      <c r="C203" s="115" t="n">
        <v>1874.96</v>
      </c>
    </row>
    <row r="204" customFormat="false" ht="15" hidden="false" customHeight="true" outlineLevel="0" collapsed="false">
      <c r="A204" s="114" t="n">
        <v>61122.59</v>
      </c>
      <c r="B204" s="114" t="n">
        <v>61322.58</v>
      </c>
      <c r="C204" s="114" t="n">
        <v>1879.73</v>
      </c>
    </row>
    <row r="205" customFormat="false" ht="15" hidden="false" customHeight="true" outlineLevel="0" collapsed="false">
      <c r="A205" s="115" t="n">
        <v>61322.59</v>
      </c>
      <c r="B205" s="115" t="n">
        <v>61522.58</v>
      </c>
      <c r="C205" s="115" t="n">
        <v>1884.76</v>
      </c>
    </row>
    <row r="206" customFormat="false" ht="15" hidden="false" customHeight="true" outlineLevel="0" collapsed="false">
      <c r="A206" s="114" t="n">
        <v>61522.59</v>
      </c>
      <c r="B206" s="114" t="n">
        <v>61722.58</v>
      </c>
      <c r="C206" s="114" t="n">
        <v>1889.53</v>
      </c>
    </row>
    <row r="207" customFormat="false" ht="15" hidden="false" customHeight="true" outlineLevel="0" collapsed="false">
      <c r="A207" s="115" t="n">
        <v>61722.59</v>
      </c>
      <c r="B207" s="115" t="n">
        <v>61922.58</v>
      </c>
      <c r="C207" s="115" t="n">
        <v>1894.27</v>
      </c>
    </row>
    <row r="208" customFormat="false" ht="15" hidden="false" customHeight="true" outlineLevel="0" collapsed="false">
      <c r="A208" s="114" t="n">
        <v>61922.59</v>
      </c>
      <c r="B208" s="114" t="n">
        <v>62122.58</v>
      </c>
      <c r="C208" s="114" t="n">
        <v>1899.04</v>
      </c>
    </row>
    <row r="209" customFormat="false" ht="15" hidden="false" customHeight="true" outlineLevel="0" collapsed="false">
      <c r="A209" s="115" t="n">
        <v>62122.59</v>
      </c>
      <c r="B209" s="115" t="n">
        <v>62322.58</v>
      </c>
      <c r="C209" s="115" t="n">
        <v>1903.81</v>
      </c>
    </row>
    <row r="210" customFormat="false" ht="15" hidden="false" customHeight="true" outlineLevel="0" collapsed="false">
      <c r="A210" s="114" t="n">
        <v>62322.59</v>
      </c>
      <c r="B210" s="114" t="n">
        <v>62522.58</v>
      </c>
      <c r="C210" s="114" t="n">
        <v>1908.82</v>
      </c>
    </row>
    <row r="211" customFormat="false" ht="15" hidden="false" customHeight="true" outlineLevel="0" collapsed="false">
      <c r="A211" s="115" t="n">
        <v>62522.59</v>
      </c>
      <c r="B211" s="115" t="n">
        <v>62722.58</v>
      </c>
      <c r="C211" s="115" t="n">
        <v>1913.58</v>
      </c>
    </row>
    <row r="212" customFormat="false" ht="15" hidden="false" customHeight="true" outlineLevel="0" collapsed="false">
      <c r="A212" s="114" t="n">
        <v>62722.59</v>
      </c>
      <c r="B212" s="114" t="n">
        <v>62922.58</v>
      </c>
      <c r="C212" s="114" t="n">
        <v>1918.35</v>
      </c>
    </row>
    <row r="213" customFormat="false" ht="15" hidden="false" customHeight="true" outlineLevel="0" collapsed="false">
      <c r="A213" s="115" t="n">
        <v>62922.59</v>
      </c>
      <c r="B213" s="115" t="n">
        <v>63122.58</v>
      </c>
      <c r="C213" s="115" t="n">
        <v>1923.12</v>
      </c>
    </row>
    <row r="214" customFormat="false" ht="15" hidden="false" customHeight="true" outlineLevel="0" collapsed="false">
      <c r="A214" s="114" t="n">
        <v>63122.59</v>
      </c>
      <c r="B214" s="114" t="n">
        <v>63322.58</v>
      </c>
      <c r="C214" s="114" t="n">
        <v>1927.86</v>
      </c>
    </row>
    <row r="215" customFormat="false" ht="15" hidden="false" customHeight="true" outlineLevel="0" collapsed="false">
      <c r="A215" s="115" t="n">
        <v>63322.59</v>
      </c>
      <c r="B215" s="115" t="n">
        <v>63522.58</v>
      </c>
      <c r="C215" s="115" t="n">
        <v>1932.89</v>
      </c>
    </row>
    <row r="216" customFormat="false" ht="15" hidden="false" customHeight="true" outlineLevel="0" collapsed="false">
      <c r="A216" s="114" t="n">
        <v>63522.59</v>
      </c>
      <c r="B216" s="114" t="n">
        <v>63722.58</v>
      </c>
      <c r="C216" s="114" t="n">
        <v>1937.66</v>
      </c>
    </row>
    <row r="217" customFormat="false" ht="15" hidden="false" customHeight="true" outlineLevel="0" collapsed="false">
      <c r="A217" s="115" t="n">
        <v>63722.59</v>
      </c>
      <c r="B217" s="115" t="n">
        <v>63922.58</v>
      </c>
      <c r="C217" s="115" t="n">
        <v>1942.43</v>
      </c>
    </row>
    <row r="218" customFormat="false" ht="15" hidden="false" customHeight="true" outlineLevel="0" collapsed="false">
      <c r="A218" s="114" t="n">
        <v>63922.59</v>
      </c>
      <c r="B218" s="114" t="n">
        <v>64122.58</v>
      </c>
      <c r="C218" s="114" t="n">
        <v>1947.17</v>
      </c>
    </row>
    <row r="219" customFormat="false" ht="15" hidden="false" customHeight="true" outlineLevel="0" collapsed="false">
      <c r="A219" s="115" t="n">
        <v>64122.59</v>
      </c>
      <c r="B219" s="115" t="n">
        <v>64322.58</v>
      </c>
      <c r="C219" s="115" t="n">
        <v>1952.2</v>
      </c>
    </row>
    <row r="220" customFormat="false" ht="15" hidden="false" customHeight="true" outlineLevel="0" collapsed="false">
      <c r="A220" s="114" t="n">
        <v>64322.59</v>
      </c>
      <c r="B220" s="114" t="n">
        <v>64522.58</v>
      </c>
      <c r="C220" s="114" t="n">
        <v>1956.97</v>
      </c>
    </row>
    <row r="221" customFormat="false" ht="15" hidden="false" customHeight="true" outlineLevel="0" collapsed="false">
      <c r="A221" s="115" t="n">
        <v>64522.59</v>
      </c>
      <c r="B221" s="115" t="n">
        <v>64722.58</v>
      </c>
      <c r="C221" s="115" t="n">
        <v>1961.72</v>
      </c>
    </row>
    <row r="222" customFormat="false" ht="15" hidden="false" customHeight="true" outlineLevel="0" collapsed="false">
      <c r="A222" s="114" t="n">
        <v>64722.59</v>
      </c>
      <c r="B222" s="114" t="n">
        <v>64922.58</v>
      </c>
      <c r="C222" s="114" t="n">
        <v>1966.48</v>
      </c>
    </row>
    <row r="223" customFormat="false" ht="15" hidden="false" customHeight="true" outlineLevel="0" collapsed="false">
      <c r="A223" s="115" t="n">
        <v>64922.59</v>
      </c>
      <c r="B223" s="115" t="n">
        <v>65122.58</v>
      </c>
      <c r="C223" s="115" t="n">
        <v>1971.25</v>
      </c>
    </row>
    <row r="224" customFormat="false" ht="15" hidden="false" customHeight="true" outlineLevel="0" collapsed="false">
      <c r="A224" s="114" t="n">
        <v>65122.59</v>
      </c>
      <c r="B224" s="114" t="n">
        <v>65322.58</v>
      </c>
      <c r="C224" s="114" t="n">
        <v>1976.28</v>
      </c>
    </row>
    <row r="225" customFormat="false" ht="15" hidden="false" customHeight="true" outlineLevel="0" collapsed="false">
      <c r="A225" s="115" t="n">
        <v>65322.59</v>
      </c>
      <c r="B225" s="115" t="n">
        <v>65522.58</v>
      </c>
      <c r="C225" s="115" t="n">
        <v>1981.03</v>
      </c>
    </row>
    <row r="226" customFormat="false" ht="15" hidden="false" customHeight="true" outlineLevel="0" collapsed="false">
      <c r="A226" s="114" t="n">
        <v>65522.59</v>
      </c>
      <c r="B226" s="114" t="n">
        <v>65722.58</v>
      </c>
      <c r="C226" s="114" t="n">
        <v>1985.79</v>
      </c>
    </row>
    <row r="227" customFormat="false" ht="15" hidden="false" customHeight="true" outlineLevel="0" collapsed="false">
      <c r="A227" s="115" t="n">
        <v>65722.59</v>
      </c>
      <c r="B227" s="115" t="n">
        <v>65922.58</v>
      </c>
      <c r="C227" s="115" t="n">
        <v>1990.56</v>
      </c>
    </row>
    <row r="228" customFormat="false" ht="15" hidden="false" customHeight="true" outlineLevel="0" collapsed="false">
      <c r="A228" s="114" t="n">
        <v>65922.59</v>
      </c>
      <c r="B228" s="114" t="n">
        <v>66122.58</v>
      </c>
      <c r="C228" s="114" t="n">
        <v>1995.33</v>
      </c>
    </row>
    <row r="229" customFormat="false" ht="15" hidden="false" customHeight="true" outlineLevel="0" collapsed="false">
      <c r="A229" s="115" t="n">
        <v>66122.59</v>
      </c>
      <c r="B229" s="115" t="n">
        <v>66322.58</v>
      </c>
      <c r="C229" s="115" t="n">
        <v>2000.34</v>
      </c>
    </row>
    <row r="230" customFormat="false" ht="15" hidden="false" customHeight="true" outlineLevel="0" collapsed="false">
      <c r="A230" s="114" t="n">
        <v>66322.59</v>
      </c>
      <c r="B230" s="114" t="n">
        <v>66522.58</v>
      </c>
      <c r="C230" s="114" t="n">
        <v>2005.1</v>
      </c>
    </row>
    <row r="231" customFormat="false" ht="15" hidden="false" customHeight="true" outlineLevel="0" collapsed="false">
      <c r="A231" s="115" t="n">
        <v>66522.59</v>
      </c>
      <c r="B231" s="115" t="n">
        <v>66722.58</v>
      </c>
      <c r="C231" s="115" t="n">
        <v>2009.87</v>
      </c>
    </row>
    <row r="232" customFormat="false" ht="15" hidden="false" customHeight="true" outlineLevel="0" collapsed="false">
      <c r="A232" s="114" t="n">
        <v>66722.59</v>
      </c>
      <c r="B232" s="114" t="n">
        <v>66922.58</v>
      </c>
      <c r="C232" s="114" t="n">
        <v>2014.62</v>
      </c>
    </row>
    <row r="233" customFormat="false" ht="15" hidden="false" customHeight="true" outlineLevel="0" collapsed="false">
      <c r="A233" s="115" t="n">
        <v>66922.59</v>
      </c>
      <c r="B233" s="115" t="n">
        <v>67122.58</v>
      </c>
      <c r="C233" s="115" t="n">
        <v>2019.65</v>
      </c>
    </row>
    <row r="234" customFormat="false" ht="15" hidden="false" customHeight="true" outlineLevel="0" collapsed="false">
      <c r="A234" s="114" t="n">
        <v>67122.59</v>
      </c>
      <c r="B234" s="114" t="n">
        <v>67322.58</v>
      </c>
      <c r="C234" s="114" t="n">
        <v>2024.41</v>
      </c>
    </row>
    <row r="235" customFormat="false" ht="15" hidden="false" customHeight="true" outlineLevel="0" collapsed="false">
      <c r="A235" s="115" t="n">
        <v>67322.59</v>
      </c>
      <c r="B235" s="115" t="n">
        <v>67522.58</v>
      </c>
      <c r="C235" s="115" t="n">
        <v>2029.18</v>
      </c>
    </row>
    <row r="236" customFormat="false" ht="15" hidden="false" customHeight="true" outlineLevel="0" collapsed="false">
      <c r="A236" s="114" t="n">
        <v>67522.59</v>
      </c>
      <c r="B236" s="114" t="n">
        <v>67722.58</v>
      </c>
      <c r="C236" s="114" t="n">
        <v>2033.93</v>
      </c>
    </row>
    <row r="237" customFormat="false" ht="15" hidden="false" customHeight="true" outlineLevel="0" collapsed="false">
      <c r="A237" s="115" t="n">
        <v>67722.59</v>
      </c>
      <c r="B237" s="115" t="n">
        <v>67922.58</v>
      </c>
      <c r="C237" s="115" t="n">
        <v>2038.69</v>
      </c>
    </row>
    <row r="238" customFormat="false" ht="15" hidden="false" customHeight="true" outlineLevel="0" collapsed="false">
      <c r="A238" s="114" t="n">
        <v>67922.59</v>
      </c>
      <c r="B238" s="114" t="n">
        <v>68122.58</v>
      </c>
      <c r="C238" s="114" t="n">
        <v>2043.72</v>
      </c>
    </row>
    <row r="239" customFormat="false" ht="15" hidden="false" customHeight="true" outlineLevel="0" collapsed="false">
      <c r="A239" s="115" t="n">
        <v>68122.59</v>
      </c>
      <c r="B239" s="115" t="n">
        <v>68322.58</v>
      </c>
      <c r="C239" s="115" t="n">
        <v>2048.49</v>
      </c>
    </row>
    <row r="240" customFormat="false" ht="15" hidden="false" customHeight="true" outlineLevel="0" collapsed="false">
      <c r="A240" s="114" t="n">
        <v>68322.59</v>
      </c>
      <c r="B240" s="114" t="n">
        <v>68522.58</v>
      </c>
      <c r="C240" s="114" t="n">
        <v>2053.24</v>
      </c>
    </row>
    <row r="241" customFormat="false" ht="15" hidden="false" customHeight="true" outlineLevel="0" collapsed="false">
      <c r="A241" s="115" t="n">
        <v>68522.59</v>
      </c>
      <c r="B241" s="115" t="n">
        <v>68722.58</v>
      </c>
      <c r="C241" s="115" t="n">
        <v>2058</v>
      </c>
    </row>
    <row r="242" customFormat="false" ht="15" hidden="false" customHeight="true" outlineLevel="0" collapsed="false">
      <c r="A242" s="114" t="n">
        <v>68722.59</v>
      </c>
      <c r="B242" s="114" t="n">
        <v>68922.58</v>
      </c>
      <c r="C242" s="114" t="n">
        <v>2063.03</v>
      </c>
    </row>
    <row r="243" customFormat="false" ht="15" hidden="false" customHeight="true" outlineLevel="0" collapsed="false">
      <c r="A243" s="115" t="n">
        <v>68922.59</v>
      </c>
      <c r="B243" s="115" t="n">
        <v>69122.58</v>
      </c>
      <c r="C243" s="115" t="n">
        <v>2067.8</v>
      </c>
    </row>
    <row r="244" customFormat="false" ht="15" hidden="false" customHeight="true" outlineLevel="0" collapsed="false">
      <c r="A244" s="114" t="n">
        <v>69122.59</v>
      </c>
      <c r="B244" s="114" t="n">
        <v>69322.58</v>
      </c>
      <c r="C244" s="114" t="n">
        <v>2072.55</v>
      </c>
    </row>
    <row r="245" customFormat="false" ht="15" hidden="false" customHeight="true" outlineLevel="0" collapsed="false">
      <c r="A245" s="115" t="n">
        <v>69322.59</v>
      </c>
      <c r="B245" s="115" t="n">
        <v>69522.58</v>
      </c>
      <c r="C245" s="115" t="n">
        <v>2077.31</v>
      </c>
    </row>
    <row r="246" customFormat="false" ht="15" hidden="false" customHeight="true" outlineLevel="0" collapsed="false">
      <c r="A246" s="114" t="n">
        <v>69522.59</v>
      </c>
      <c r="B246" s="114" t="n">
        <v>69722.58</v>
      </c>
      <c r="C246" s="114" t="n">
        <v>2082.08</v>
      </c>
    </row>
    <row r="247" customFormat="false" ht="15" hidden="false" customHeight="true" outlineLevel="0" collapsed="false">
      <c r="A247" s="115" t="n">
        <v>69722.59</v>
      </c>
      <c r="B247" s="115" t="n">
        <v>69922.58</v>
      </c>
      <c r="C247" s="115" t="n">
        <v>2087.11</v>
      </c>
    </row>
    <row r="248" customFormat="false" ht="15" hidden="false" customHeight="true" outlineLevel="0" collapsed="false">
      <c r="A248" s="114" t="n">
        <v>69922.59</v>
      </c>
      <c r="B248" s="114" t="n">
        <v>70122.58</v>
      </c>
      <c r="C248" s="114" t="n">
        <v>2091.85</v>
      </c>
    </row>
    <row r="249" customFormat="false" ht="15" hidden="false" customHeight="true" outlineLevel="0" collapsed="false">
      <c r="A249" s="115" t="n">
        <v>70122.59</v>
      </c>
      <c r="B249" s="115" t="n">
        <v>70322.58</v>
      </c>
      <c r="C249" s="115" t="n">
        <v>2096.62</v>
      </c>
    </row>
    <row r="250" customFormat="false" ht="15" hidden="false" customHeight="true" outlineLevel="0" collapsed="false">
      <c r="A250" s="114" t="n">
        <v>70322.59</v>
      </c>
      <c r="B250" s="114" t="n">
        <v>70522.58</v>
      </c>
      <c r="C250" s="114" t="n">
        <v>2101.39</v>
      </c>
    </row>
    <row r="251" customFormat="false" ht="15" hidden="false" customHeight="true" outlineLevel="0" collapsed="false">
      <c r="A251" s="115" t="n">
        <v>70522.59</v>
      </c>
      <c r="B251" s="115" t="n">
        <v>70722.58</v>
      </c>
      <c r="C251" s="115" t="n">
        <v>2106.14</v>
      </c>
    </row>
    <row r="252" customFormat="false" ht="15" hidden="false" customHeight="true" outlineLevel="0" collapsed="false">
      <c r="A252" s="114" t="n">
        <v>70722.59</v>
      </c>
      <c r="B252" s="114" t="n">
        <v>70922.58</v>
      </c>
      <c r="C252" s="114" t="n">
        <v>2111.16</v>
      </c>
    </row>
    <row r="253" customFormat="false" ht="15" hidden="false" customHeight="true" outlineLevel="0" collapsed="false">
      <c r="A253" s="115" t="n">
        <v>70922.59</v>
      </c>
      <c r="B253" s="115" t="n">
        <v>71122.58</v>
      </c>
      <c r="C253" s="115" t="n">
        <v>2115.93</v>
      </c>
    </row>
    <row r="254" customFormat="false" ht="15" hidden="false" customHeight="true" outlineLevel="0" collapsed="false">
      <c r="A254" s="114" t="n">
        <v>71122.59</v>
      </c>
      <c r="B254" s="114" t="n">
        <v>71322.58</v>
      </c>
      <c r="C254" s="114" t="n">
        <v>2120.7</v>
      </c>
    </row>
    <row r="255" customFormat="false" ht="15" hidden="false" customHeight="true" outlineLevel="0" collapsed="false">
      <c r="A255" s="115" t="n">
        <v>71322.59</v>
      </c>
      <c r="B255" s="115" t="n">
        <v>71522.58</v>
      </c>
      <c r="C255" s="115" t="n">
        <v>2125.45</v>
      </c>
    </row>
    <row r="256" customFormat="false" ht="15" hidden="false" customHeight="true" outlineLevel="0" collapsed="false">
      <c r="A256" s="114" t="n">
        <v>71522.59</v>
      </c>
      <c r="B256" s="114" t="n">
        <v>71722.58</v>
      </c>
      <c r="C256" s="114" t="n">
        <v>2130.47</v>
      </c>
    </row>
    <row r="257" customFormat="false" ht="15" hidden="false" customHeight="true" outlineLevel="0" collapsed="false">
      <c r="A257" s="115" t="n">
        <v>71722.59</v>
      </c>
      <c r="B257" s="115" t="n">
        <v>71922.58</v>
      </c>
      <c r="C257" s="115" t="n">
        <v>2135.24</v>
      </c>
    </row>
    <row r="258" customFormat="false" ht="15" hidden="false" customHeight="true" outlineLevel="0" collapsed="false">
      <c r="A258" s="114" t="n">
        <v>71922.59</v>
      </c>
      <c r="B258" s="114" t="n">
        <v>72122.58</v>
      </c>
      <c r="C258" s="114" t="n">
        <v>2140.01</v>
      </c>
    </row>
    <row r="259" customFormat="false" ht="15" hidden="false" customHeight="true" outlineLevel="0" collapsed="false">
      <c r="A259" s="115" t="n">
        <v>72122.59</v>
      </c>
      <c r="B259" s="115" t="n">
        <v>72322.58</v>
      </c>
      <c r="C259" s="115" t="n">
        <v>2144.75</v>
      </c>
    </row>
    <row r="260" customFormat="false" ht="15" hidden="false" customHeight="true" outlineLevel="0" collapsed="false">
      <c r="A260" s="114" t="n">
        <v>72322.59</v>
      </c>
      <c r="B260" s="114" t="n">
        <v>72522.58</v>
      </c>
      <c r="C260" s="114" t="n">
        <v>2149.52</v>
      </c>
    </row>
    <row r="261" customFormat="false" ht="15" hidden="false" customHeight="true" outlineLevel="0" collapsed="false">
      <c r="A261" s="115" t="n">
        <v>72522.59</v>
      </c>
      <c r="B261" s="115" t="n">
        <v>72722.58</v>
      </c>
      <c r="C261" s="115" t="n">
        <v>2154.55</v>
      </c>
    </row>
    <row r="262" customFormat="false" ht="15" hidden="false" customHeight="true" outlineLevel="0" collapsed="false">
      <c r="A262" s="114" t="n">
        <v>72722.59</v>
      </c>
      <c r="B262" s="114" t="n">
        <v>72922.58</v>
      </c>
      <c r="C262" s="114" t="n">
        <v>2159.32</v>
      </c>
    </row>
    <row r="263" customFormat="false" ht="15" hidden="false" customHeight="true" outlineLevel="0" collapsed="false">
      <c r="A263" s="115" t="n">
        <v>72922.59</v>
      </c>
      <c r="B263" s="115" t="n">
        <v>73122.58</v>
      </c>
      <c r="C263" s="115" t="n">
        <v>2164.06</v>
      </c>
    </row>
    <row r="264" customFormat="false" ht="15" hidden="false" customHeight="true" outlineLevel="0" collapsed="false">
      <c r="A264" s="114" t="n">
        <v>73122.59</v>
      </c>
      <c r="B264" s="114" t="n">
        <v>73322.58</v>
      </c>
      <c r="C264" s="114" t="n">
        <v>2168.83</v>
      </c>
    </row>
    <row r="265" customFormat="false" ht="15" hidden="false" customHeight="true" outlineLevel="0" collapsed="false">
      <c r="A265" s="115" t="n">
        <v>73322.59</v>
      </c>
      <c r="B265" s="115" t="n">
        <v>73522.58</v>
      </c>
      <c r="C265" s="115" t="n">
        <v>2173.6</v>
      </c>
    </row>
    <row r="266" customFormat="false" ht="15" hidden="false" customHeight="true" outlineLevel="0" collapsed="false">
      <c r="A266" s="114" t="n">
        <v>73522.59</v>
      </c>
      <c r="B266" s="114" t="n">
        <v>73722.58</v>
      </c>
      <c r="C266" s="114" t="n">
        <v>2178.61</v>
      </c>
    </row>
    <row r="267" customFormat="false" ht="15" hidden="false" customHeight="true" outlineLevel="0" collapsed="false">
      <c r="A267" s="115" t="n">
        <v>73722.59</v>
      </c>
      <c r="B267" s="115" t="n">
        <v>73922.58</v>
      </c>
      <c r="C267" s="115" t="n">
        <v>2183.37</v>
      </c>
    </row>
    <row r="268" customFormat="false" ht="15" hidden="false" customHeight="true" outlineLevel="0" collapsed="false">
      <c r="A268" s="114" t="n">
        <v>73922.59</v>
      </c>
      <c r="B268" s="114" t="n">
        <v>74122.58</v>
      </c>
      <c r="C268" s="114" t="n">
        <v>2188.14</v>
      </c>
    </row>
    <row r="269" customFormat="false" ht="15" hidden="false" customHeight="true" outlineLevel="0" collapsed="false">
      <c r="A269" s="115" t="n">
        <v>74122.59</v>
      </c>
      <c r="B269" s="115" t="n">
        <v>74322.58</v>
      </c>
      <c r="C269" s="115" t="n">
        <v>2192.91</v>
      </c>
    </row>
    <row r="270" customFormat="false" ht="15" hidden="false" customHeight="true" outlineLevel="0" collapsed="false">
      <c r="A270" s="114" t="n">
        <v>74322.59</v>
      </c>
      <c r="B270" s="114" t="n">
        <v>74522.58</v>
      </c>
      <c r="C270" s="114" t="n">
        <v>2197.92</v>
      </c>
    </row>
    <row r="271" customFormat="false" ht="15" hidden="false" customHeight="true" outlineLevel="0" collapsed="false">
      <c r="A271" s="115" t="n">
        <v>74522.59</v>
      </c>
      <c r="B271" s="115" t="n">
        <v>74722.58</v>
      </c>
      <c r="C271" s="115" t="n">
        <v>2202.68</v>
      </c>
    </row>
    <row r="272" customFormat="false" ht="15" hidden="false" customHeight="true" outlineLevel="0" collapsed="false">
      <c r="A272" s="114" t="n">
        <v>74722.59</v>
      </c>
      <c r="B272" s="114" t="n">
        <v>74922.58</v>
      </c>
      <c r="C272" s="114" t="n">
        <v>2207.45</v>
      </c>
    </row>
    <row r="273" customFormat="false" ht="15" hidden="false" customHeight="true" outlineLevel="0" collapsed="false">
      <c r="A273" s="115" t="n">
        <v>74922.59</v>
      </c>
      <c r="B273" s="115" t="n">
        <v>75122.58</v>
      </c>
      <c r="C273" s="115" t="n">
        <v>2212.22</v>
      </c>
    </row>
    <row r="274" customFormat="false" ht="15" hidden="false" customHeight="true" outlineLevel="0" collapsed="false">
      <c r="A274" s="114" t="n">
        <v>75122.59</v>
      </c>
      <c r="B274" s="114" t="n">
        <v>75322.58</v>
      </c>
      <c r="C274" s="114" t="n">
        <v>2216.96</v>
      </c>
    </row>
    <row r="275" customFormat="false" ht="15" hidden="false" customHeight="true" outlineLevel="0" collapsed="false">
      <c r="A275" s="115" t="n">
        <v>75322.59</v>
      </c>
      <c r="B275" s="115" t="n">
        <v>75522.58</v>
      </c>
      <c r="C275" s="115" t="n">
        <v>2221.99</v>
      </c>
    </row>
    <row r="276" customFormat="false" ht="15" hidden="false" customHeight="true" outlineLevel="0" collapsed="false">
      <c r="A276" s="114" t="n">
        <v>75522.59</v>
      </c>
      <c r="B276" s="114" t="n">
        <v>75722.58</v>
      </c>
      <c r="C276" s="114" t="n">
        <v>2226.76</v>
      </c>
    </row>
    <row r="277" customFormat="false" ht="15" hidden="false" customHeight="true" outlineLevel="0" collapsed="false">
      <c r="A277" s="115" t="n">
        <v>75722.59</v>
      </c>
      <c r="B277" s="115" t="n">
        <v>75922.58</v>
      </c>
      <c r="C277" s="115" t="n">
        <v>2231.51</v>
      </c>
    </row>
    <row r="278" customFormat="false" ht="15" hidden="false" customHeight="true" outlineLevel="0" collapsed="false">
      <c r="A278" s="114" t="n">
        <v>75922.59</v>
      </c>
      <c r="B278" s="114" t="n">
        <v>76122.58</v>
      </c>
      <c r="C278" s="114" t="n">
        <v>2236.27</v>
      </c>
    </row>
    <row r="279" customFormat="false" ht="15" hidden="false" customHeight="true" outlineLevel="0" collapsed="false">
      <c r="A279" s="115" t="n">
        <v>76122.59</v>
      </c>
      <c r="B279" s="115" t="n">
        <v>76322.58</v>
      </c>
      <c r="C279" s="115" t="n">
        <v>2241.04</v>
      </c>
    </row>
    <row r="280" customFormat="false" ht="15" hidden="false" customHeight="true" outlineLevel="0" collapsed="false">
      <c r="A280" s="114" t="n">
        <v>76322.59</v>
      </c>
      <c r="B280" s="114" t="n">
        <v>76522.58</v>
      </c>
      <c r="C280" s="114" t="n">
        <v>2246.07</v>
      </c>
    </row>
    <row r="281" customFormat="false" ht="15" hidden="false" customHeight="true" outlineLevel="0" collapsed="false">
      <c r="A281" s="115" t="n">
        <v>76522.59</v>
      </c>
      <c r="B281" s="115" t="n">
        <v>76722.58</v>
      </c>
      <c r="C281" s="115" t="n">
        <v>2250.82</v>
      </c>
    </row>
    <row r="282" customFormat="false" ht="15" hidden="false" customHeight="true" outlineLevel="0" collapsed="false">
      <c r="A282" s="114" t="n">
        <v>76722.59</v>
      </c>
      <c r="B282" s="114" t="n">
        <v>76922.58</v>
      </c>
      <c r="C282" s="114" t="n">
        <v>2255.58</v>
      </c>
    </row>
    <row r="283" customFormat="false" ht="15" hidden="false" customHeight="true" outlineLevel="0" collapsed="false">
      <c r="A283" s="115" t="n">
        <v>76922.59</v>
      </c>
      <c r="B283" s="115" t="n">
        <v>77122.58</v>
      </c>
      <c r="C283" s="115" t="n">
        <v>2260.35</v>
      </c>
    </row>
    <row r="284" customFormat="false" ht="15" hidden="false" customHeight="true" outlineLevel="0" collapsed="false">
      <c r="A284" s="114" t="n">
        <v>77122.59</v>
      </c>
      <c r="B284" s="114" t="n">
        <v>77322.58</v>
      </c>
      <c r="C284" s="114" t="n">
        <v>2265.38</v>
      </c>
    </row>
    <row r="285" customFormat="false" ht="15" hidden="false" customHeight="true" outlineLevel="0" collapsed="false">
      <c r="A285" s="115" t="n">
        <v>77322.59</v>
      </c>
      <c r="B285" s="115" t="n">
        <v>77522.58</v>
      </c>
      <c r="C285" s="115" t="n">
        <v>2270.13</v>
      </c>
    </row>
    <row r="286" customFormat="false" ht="15" hidden="false" customHeight="true" outlineLevel="0" collapsed="false">
      <c r="A286" s="114" t="n">
        <v>77522.59</v>
      </c>
      <c r="B286" s="114" t="n">
        <v>77722.58</v>
      </c>
      <c r="C286" s="114" t="n">
        <v>2274.89</v>
      </c>
    </row>
    <row r="287" customFormat="false" ht="15" hidden="false" customHeight="true" outlineLevel="0" collapsed="false">
      <c r="A287" s="115" t="n">
        <v>77722.59</v>
      </c>
      <c r="B287" s="115" t="n">
        <v>77922.58</v>
      </c>
      <c r="C287" s="115" t="n">
        <v>2279.66</v>
      </c>
    </row>
    <row r="288" customFormat="false" ht="15" hidden="false" customHeight="true" outlineLevel="0" collapsed="false">
      <c r="A288" s="114" t="n">
        <v>77922.59</v>
      </c>
      <c r="B288" s="114" t="n">
        <v>78122.58</v>
      </c>
      <c r="C288" s="114" t="n">
        <v>2284.41</v>
      </c>
    </row>
    <row r="289" customFormat="false" ht="15" hidden="false" customHeight="true" outlineLevel="0" collapsed="false">
      <c r="A289" s="115" t="n">
        <v>78122.59</v>
      </c>
      <c r="B289" s="115" t="n">
        <v>78322.58</v>
      </c>
      <c r="C289" s="115" t="n">
        <v>2289.44</v>
      </c>
    </row>
    <row r="290" customFormat="false" ht="15" hidden="false" customHeight="true" outlineLevel="0" collapsed="false">
      <c r="A290" s="114" t="n">
        <v>78322.59</v>
      </c>
      <c r="B290" s="114" t="n">
        <v>78522.58</v>
      </c>
      <c r="C290" s="114" t="n">
        <v>2294.2</v>
      </c>
    </row>
    <row r="291" customFormat="false" ht="15" hidden="false" customHeight="true" outlineLevel="0" collapsed="false">
      <c r="A291" s="115" t="n">
        <v>78522.59</v>
      </c>
      <c r="B291" s="115" t="n">
        <v>78722.58</v>
      </c>
      <c r="C291" s="115" t="n">
        <v>2298.97</v>
      </c>
    </row>
    <row r="292" customFormat="false" ht="15" hidden="false" customHeight="true" outlineLevel="0" collapsed="false">
      <c r="A292" s="114" t="n">
        <v>78722.59</v>
      </c>
      <c r="B292" s="114" t="n">
        <v>78922.58</v>
      </c>
      <c r="C292" s="114" t="n">
        <v>2303.72</v>
      </c>
    </row>
    <row r="293" customFormat="false" ht="15" hidden="false" customHeight="true" outlineLevel="0" collapsed="false">
      <c r="A293" s="115" t="n">
        <v>78922.59</v>
      </c>
      <c r="B293" s="115" t="n">
        <v>79122.58</v>
      </c>
      <c r="C293" s="115" t="n">
        <v>2308.48</v>
      </c>
    </row>
    <row r="294" customFormat="false" ht="15" hidden="false" customHeight="true" outlineLevel="0" collapsed="false">
      <c r="A294" s="114" t="n">
        <v>79122.59</v>
      </c>
      <c r="B294" s="114" t="n">
        <v>79322.58</v>
      </c>
      <c r="C294" s="114" t="n">
        <v>2313.51</v>
      </c>
    </row>
    <row r="295" customFormat="false" ht="15" hidden="false" customHeight="true" outlineLevel="0" collapsed="false">
      <c r="A295" s="115" t="n">
        <v>79322.59</v>
      </c>
      <c r="B295" s="115" t="n">
        <v>79522.58</v>
      </c>
      <c r="C295" s="115" t="n">
        <v>2318.28</v>
      </c>
    </row>
    <row r="296" customFormat="false" ht="15" hidden="false" customHeight="true" outlineLevel="0" collapsed="false">
      <c r="A296" s="114" t="n">
        <v>79522.59</v>
      </c>
      <c r="B296" s="114" t="n">
        <v>79722.58</v>
      </c>
      <c r="C296" s="114" t="n">
        <v>2323.03</v>
      </c>
    </row>
    <row r="297" customFormat="false" ht="15" hidden="false" customHeight="true" outlineLevel="0" collapsed="false">
      <c r="A297" s="115" t="n">
        <v>79722.59</v>
      </c>
      <c r="B297" s="115" t="n">
        <v>79922.58</v>
      </c>
      <c r="C297" s="115" t="n">
        <v>2327.79</v>
      </c>
    </row>
    <row r="298" customFormat="false" ht="15" hidden="false" customHeight="true" outlineLevel="0" collapsed="false">
      <c r="A298" s="114" t="n">
        <v>79922.59</v>
      </c>
      <c r="B298" s="114" t="n">
        <v>80122.58</v>
      </c>
      <c r="C298" s="114" t="n">
        <v>2332.82</v>
      </c>
    </row>
    <row r="299" customFormat="false" ht="15" hidden="false" customHeight="true" outlineLevel="0" collapsed="false">
      <c r="A299" s="115" t="n">
        <v>80122.59</v>
      </c>
      <c r="B299" s="115" t="n">
        <v>80322.58</v>
      </c>
      <c r="C299" s="115" t="n">
        <v>2337.59</v>
      </c>
    </row>
    <row r="300" customFormat="false" ht="15" hidden="false" customHeight="true" outlineLevel="0" collapsed="false">
      <c r="A300" s="114" t="n">
        <v>80322.59</v>
      </c>
      <c r="B300" s="114" t="n">
        <v>80522.58</v>
      </c>
      <c r="C300" s="114" t="n">
        <v>2342.34</v>
      </c>
    </row>
    <row r="301" customFormat="false" ht="15" hidden="false" customHeight="true" outlineLevel="0" collapsed="false">
      <c r="A301" s="115" t="n">
        <v>80522.59</v>
      </c>
      <c r="B301" s="115" t="n">
        <v>80722.58</v>
      </c>
      <c r="C301" s="115" t="n">
        <v>2347.1</v>
      </c>
    </row>
    <row r="302" customFormat="false" ht="15" hidden="false" customHeight="true" outlineLevel="0" collapsed="false">
      <c r="A302" s="114" t="n">
        <v>80722.59</v>
      </c>
      <c r="B302" s="114" t="n">
        <v>80922.58</v>
      </c>
      <c r="C302" s="114" t="n">
        <v>2351.87</v>
      </c>
    </row>
    <row r="303" customFormat="false" ht="15" hidden="false" customHeight="true" outlineLevel="0" collapsed="false">
      <c r="A303" s="115" t="n">
        <v>80922.59</v>
      </c>
      <c r="B303" s="115" t="n">
        <v>81122.58</v>
      </c>
      <c r="C303" s="115" t="n">
        <v>2356.9</v>
      </c>
    </row>
    <row r="304" customFormat="false" ht="15" hidden="false" customHeight="true" outlineLevel="0" collapsed="false">
      <c r="A304" s="114" t="n">
        <v>81122.59</v>
      </c>
      <c r="B304" s="114" t="n">
        <v>81322.58</v>
      </c>
      <c r="C304" s="114" t="n">
        <v>2361.64</v>
      </c>
    </row>
    <row r="305" customFormat="false" ht="15" hidden="false" customHeight="true" outlineLevel="0" collapsed="false">
      <c r="A305" s="115" t="n">
        <v>81322.59</v>
      </c>
      <c r="B305" s="115" t="n">
        <v>81522.58</v>
      </c>
      <c r="C305" s="115" t="n">
        <v>2366.41</v>
      </c>
    </row>
    <row r="306" customFormat="false" ht="15" hidden="false" customHeight="true" outlineLevel="0" collapsed="false">
      <c r="A306" s="114" t="n">
        <v>81522.59</v>
      </c>
      <c r="B306" s="114" t="n">
        <v>81722.58</v>
      </c>
      <c r="C306" s="114" t="n">
        <v>2371.18</v>
      </c>
    </row>
    <row r="307" customFormat="false" ht="15" hidden="false" customHeight="true" outlineLevel="0" collapsed="false">
      <c r="A307" s="115" t="n">
        <v>81722.59</v>
      </c>
      <c r="B307" s="115" t="n">
        <v>81922.58</v>
      </c>
      <c r="C307" s="115" t="n">
        <v>2375.93</v>
      </c>
    </row>
    <row r="308" customFormat="false" ht="15" hidden="false" customHeight="true" outlineLevel="0" collapsed="false">
      <c r="A308" s="114" t="n">
        <v>81922.59</v>
      </c>
      <c r="B308" s="114" t="n">
        <v>82122.58</v>
      </c>
      <c r="C308" s="114" t="n">
        <v>2380.95</v>
      </c>
    </row>
    <row r="309" customFormat="false" ht="15" hidden="false" customHeight="true" outlineLevel="0" collapsed="false">
      <c r="A309" s="115" t="n">
        <v>82122.59</v>
      </c>
      <c r="B309" s="115" t="n">
        <v>82322.58</v>
      </c>
      <c r="C309" s="115" t="n">
        <v>2385.72</v>
      </c>
    </row>
    <row r="310" customFormat="false" ht="15" hidden="false" customHeight="true" outlineLevel="0" collapsed="false">
      <c r="A310" s="114" t="n">
        <v>82322.59</v>
      </c>
      <c r="B310" s="114" t="n">
        <v>82522.58</v>
      </c>
      <c r="C310" s="114" t="n">
        <v>2390.49</v>
      </c>
    </row>
    <row r="311" customFormat="false" ht="15" hidden="false" customHeight="true" outlineLevel="0" collapsed="false">
      <c r="A311" s="115" t="n">
        <v>82522.59</v>
      </c>
      <c r="B311" s="115" t="n">
        <v>82722.58</v>
      </c>
      <c r="C311" s="115" t="n">
        <v>2395.24</v>
      </c>
    </row>
    <row r="312" customFormat="false" ht="15" hidden="false" customHeight="true" outlineLevel="0" collapsed="false">
      <c r="A312" s="114" t="n">
        <v>82722.59</v>
      </c>
      <c r="B312" s="114" t="n">
        <v>82922.58</v>
      </c>
      <c r="C312" s="114" t="n">
        <v>2400.26</v>
      </c>
    </row>
    <row r="313" customFormat="false" ht="15" hidden="false" customHeight="true" outlineLevel="0" collapsed="false">
      <c r="A313" s="115" t="n">
        <v>82922.59</v>
      </c>
      <c r="B313" s="115" t="n">
        <v>83122.58</v>
      </c>
      <c r="C313" s="115" t="n">
        <v>2405.03</v>
      </c>
    </row>
    <row r="314" customFormat="false" ht="15" hidden="false" customHeight="true" outlineLevel="0" collapsed="false">
      <c r="A314" s="114" t="n">
        <v>83122.59</v>
      </c>
      <c r="B314" s="114" t="n">
        <v>83322.58</v>
      </c>
      <c r="C314" s="114" t="n">
        <v>2409.8</v>
      </c>
    </row>
    <row r="315" customFormat="false" ht="15" hidden="false" customHeight="true" outlineLevel="0" collapsed="false">
      <c r="A315" s="115" t="n">
        <v>83322.59</v>
      </c>
      <c r="B315" s="115" t="n">
        <v>83522.58</v>
      </c>
      <c r="C315" s="115" t="n">
        <v>2414.54</v>
      </c>
    </row>
    <row r="316" customFormat="false" ht="15" hidden="false" customHeight="true" outlineLevel="0" collapsed="false">
      <c r="A316" s="114" t="n">
        <v>83522.59</v>
      </c>
      <c r="B316" s="114" t="n">
        <v>83722.58</v>
      </c>
      <c r="C316" s="114" t="n">
        <v>2419.31</v>
      </c>
    </row>
    <row r="317" customFormat="false" ht="15" hidden="false" customHeight="true" outlineLevel="0" collapsed="false">
      <c r="A317" s="115" t="n">
        <v>83722.59</v>
      </c>
      <c r="B317" s="115" t="n">
        <v>83922.58</v>
      </c>
      <c r="C317" s="115" t="n">
        <v>2424.34</v>
      </c>
    </row>
    <row r="318" customFormat="false" ht="15" hidden="false" customHeight="true" outlineLevel="0" collapsed="false">
      <c r="A318" s="114" t="n">
        <v>83922.59</v>
      </c>
      <c r="B318" s="114" t="n">
        <v>84122.58</v>
      </c>
      <c r="C318" s="114" t="n">
        <v>2429.11</v>
      </c>
    </row>
    <row r="319" customFormat="false" ht="15" hidden="false" customHeight="true" outlineLevel="0" collapsed="false">
      <c r="A319" s="115" t="n">
        <v>84122.59</v>
      </c>
      <c r="B319" s="115" t="n">
        <v>84322.58</v>
      </c>
      <c r="C319" s="115" t="n">
        <v>2433.85</v>
      </c>
    </row>
    <row r="320" customFormat="false" ht="15" hidden="false" customHeight="true" outlineLevel="0" collapsed="false">
      <c r="A320" s="114" t="n">
        <v>84322.59</v>
      </c>
      <c r="B320" s="114" t="n">
        <v>84522.58</v>
      </c>
      <c r="C320" s="114" t="n">
        <v>2438.62</v>
      </c>
    </row>
    <row r="321" customFormat="false" ht="15" hidden="false" customHeight="true" outlineLevel="0" collapsed="false">
      <c r="A321" s="115" t="n">
        <v>84522.59</v>
      </c>
      <c r="B321" s="115" t="n">
        <v>84722.58</v>
      </c>
      <c r="C321" s="115" t="n">
        <v>2443.39</v>
      </c>
    </row>
    <row r="322" customFormat="false" ht="15" hidden="false" customHeight="true" outlineLevel="0" collapsed="false">
      <c r="A322" s="114" t="n">
        <v>84722.59</v>
      </c>
      <c r="B322" s="114" t="n">
        <v>84922.58</v>
      </c>
      <c r="C322" s="114" t="n">
        <v>2448.4</v>
      </c>
    </row>
    <row r="323" customFormat="false" ht="15" hidden="false" customHeight="true" outlineLevel="0" collapsed="false">
      <c r="A323" s="115" t="n">
        <v>84922.59</v>
      </c>
      <c r="B323" s="115" t="n">
        <v>85122.58</v>
      </c>
      <c r="C323" s="115" t="n">
        <v>2453.16</v>
      </c>
    </row>
    <row r="324" customFormat="false" ht="15" hidden="false" customHeight="true" outlineLevel="0" collapsed="false">
      <c r="A324" s="114" t="n">
        <v>85122.59</v>
      </c>
      <c r="B324" s="114" t="n">
        <v>85322.58</v>
      </c>
      <c r="C324" s="114" t="n">
        <v>2457.93</v>
      </c>
    </row>
    <row r="325" customFormat="false" ht="15" hidden="false" customHeight="true" outlineLevel="0" collapsed="false">
      <c r="A325" s="115" t="n">
        <v>85322.59</v>
      </c>
      <c r="B325" s="115" t="n">
        <v>85522.58</v>
      </c>
      <c r="C325" s="115" t="n">
        <v>2462.7</v>
      </c>
    </row>
    <row r="326" customFormat="false" ht="15" hidden="false" customHeight="true" outlineLevel="0" collapsed="false">
      <c r="A326" s="114" t="n">
        <v>85522.59</v>
      </c>
      <c r="B326" s="114" t="n">
        <v>85722.58</v>
      </c>
      <c r="C326" s="114" t="n">
        <v>2467.71</v>
      </c>
    </row>
    <row r="327" customFormat="false" ht="15" hidden="false" customHeight="true" outlineLevel="0" collapsed="false">
      <c r="A327" s="115" t="n">
        <v>85722.59</v>
      </c>
      <c r="B327" s="115" t="n">
        <v>85922.58</v>
      </c>
      <c r="C327" s="115" t="n">
        <v>2472.47</v>
      </c>
    </row>
    <row r="328" customFormat="false" ht="15" hidden="false" customHeight="true" outlineLevel="0" collapsed="false">
      <c r="A328" s="114" t="n">
        <v>85922.59</v>
      </c>
      <c r="B328" s="114" t="n">
        <v>86122.58</v>
      </c>
      <c r="C328" s="114" t="n">
        <v>2477.24</v>
      </c>
    </row>
    <row r="329" customFormat="false" ht="15" hidden="false" customHeight="true" outlineLevel="0" collapsed="false">
      <c r="A329" s="115" t="n">
        <v>86122.59</v>
      </c>
      <c r="B329" s="115" t="n">
        <v>86322.58</v>
      </c>
      <c r="C329" s="115" t="n">
        <v>2482.01</v>
      </c>
    </row>
    <row r="330" customFormat="false" ht="15" hidden="false" customHeight="true" outlineLevel="0" collapsed="false">
      <c r="A330" s="114" t="n">
        <v>86322.59</v>
      </c>
      <c r="B330" s="114" t="n">
        <v>86522.58</v>
      </c>
      <c r="C330" s="114" t="n">
        <v>2486.75</v>
      </c>
    </row>
    <row r="331" customFormat="false" ht="15" hidden="false" customHeight="true" outlineLevel="0" collapsed="false">
      <c r="A331" s="115" t="n">
        <v>86522.59</v>
      </c>
      <c r="B331" s="115" t="n">
        <v>86722.58</v>
      </c>
      <c r="C331" s="115" t="n">
        <v>2491.78</v>
      </c>
    </row>
    <row r="332" customFormat="false" ht="15" hidden="false" customHeight="true" outlineLevel="0" collapsed="false">
      <c r="A332" s="114" t="n">
        <v>86722.59</v>
      </c>
      <c r="B332" s="114" t="n">
        <v>86922.58</v>
      </c>
      <c r="C332" s="114" t="n">
        <v>2496.55</v>
      </c>
    </row>
    <row r="333" customFormat="false" ht="15" hidden="false" customHeight="true" outlineLevel="0" collapsed="false">
      <c r="A333" s="115" t="n">
        <v>86922.59</v>
      </c>
      <c r="B333" s="115" t="n">
        <v>87122.58</v>
      </c>
      <c r="C333" s="115" t="n">
        <v>2501.3</v>
      </c>
    </row>
    <row r="334" customFormat="false" ht="15" hidden="false" customHeight="true" outlineLevel="0" collapsed="false">
      <c r="A334" s="114" t="n">
        <v>87122.59</v>
      </c>
      <c r="B334" s="114" t="n">
        <v>87322.58</v>
      </c>
      <c r="C334" s="114" t="n">
        <v>2506.06</v>
      </c>
    </row>
    <row r="335" customFormat="false" ht="15" hidden="false" customHeight="true" outlineLevel="0" collapsed="false">
      <c r="A335" s="115" t="n">
        <v>87322.59</v>
      </c>
      <c r="B335" s="115" t="n">
        <v>87522.58</v>
      </c>
      <c r="C335" s="115" t="n">
        <v>2510.83</v>
      </c>
    </row>
    <row r="336" customFormat="false" ht="15" hidden="false" customHeight="true" outlineLevel="0" collapsed="false">
      <c r="A336" s="114" t="n">
        <v>87522.59</v>
      </c>
      <c r="B336" s="114" t="n">
        <v>87722.58</v>
      </c>
      <c r="C336" s="114" t="n">
        <v>2515.86</v>
      </c>
    </row>
    <row r="337" customFormat="false" ht="15" hidden="false" customHeight="true" outlineLevel="0" collapsed="false">
      <c r="A337" s="115" t="n">
        <v>87722.59</v>
      </c>
      <c r="B337" s="115" t="n">
        <v>87922.58</v>
      </c>
      <c r="C337" s="115" t="n">
        <v>2520.61</v>
      </c>
    </row>
    <row r="338" customFormat="false" ht="15" hidden="false" customHeight="true" outlineLevel="0" collapsed="false">
      <c r="A338" s="114" t="n">
        <v>87922.59</v>
      </c>
      <c r="B338" s="114" t="n">
        <v>88122.58</v>
      </c>
      <c r="C338" s="114" t="n">
        <v>2525.37</v>
      </c>
    </row>
    <row r="339" customFormat="false" ht="15" hidden="false" customHeight="true" outlineLevel="0" collapsed="false">
      <c r="A339" s="115" t="n">
        <v>88122.59</v>
      </c>
      <c r="B339" s="115" t="n">
        <v>88322.58</v>
      </c>
      <c r="C339" s="115" t="n">
        <v>2530.14</v>
      </c>
    </row>
    <row r="340" customFormat="false" ht="15" hidden="false" customHeight="true" outlineLevel="0" collapsed="false">
      <c r="A340" s="114" t="n">
        <v>88322.59</v>
      </c>
      <c r="B340" s="114" t="n">
        <v>88522.58</v>
      </c>
      <c r="C340" s="114" t="n">
        <v>2535.17</v>
      </c>
    </row>
    <row r="341" customFormat="false" ht="15" hidden="false" customHeight="true" outlineLevel="0" collapsed="false">
      <c r="A341" s="115" t="n">
        <v>88522.59</v>
      </c>
      <c r="B341" s="115" t="n">
        <v>88722.58</v>
      </c>
      <c r="C341" s="115" t="n">
        <v>2539.92</v>
      </c>
    </row>
    <row r="342" customFormat="false" ht="15" hidden="false" customHeight="true" outlineLevel="0" collapsed="false">
      <c r="A342" s="114" t="n">
        <v>88722.59</v>
      </c>
      <c r="B342" s="114" t="n">
        <v>88922.58</v>
      </c>
      <c r="C342" s="114" t="n">
        <v>2544.68</v>
      </c>
    </row>
    <row r="343" customFormat="false" ht="15" hidden="false" customHeight="true" outlineLevel="0" collapsed="false">
      <c r="A343" s="115" t="n">
        <v>88922.59</v>
      </c>
      <c r="B343" s="115" t="n">
        <v>89122.58</v>
      </c>
      <c r="C343" s="115" t="n">
        <v>2549.45</v>
      </c>
    </row>
    <row r="344" customFormat="false" ht="15" hidden="false" customHeight="true" outlineLevel="0" collapsed="false">
      <c r="A344" s="114" t="n">
        <v>89122.59</v>
      </c>
      <c r="B344" s="114" t="n">
        <v>89322.58</v>
      </c>
      <c r="C344" s="114" t="n">
        <v>2554.2</v>
      </c>
    </row>
    <row r="345" customFormat="false" ht="15" hidden="false" customHeight="true" outlineLevel="0" collapsed="false">
      <c r="A345" s="115" t="n">
        <v>89322.59</v>
      </c>
      <c r="B345" s="115" t="n">
        <v>89522.58</v>
      </c>
      <c r="C345" s="115" t="n">
        <v>2559.23</v>
      </c>
    </row>
    <row r="346" customFormat="false" ht="15" hidden="false" customHeight="true" outlineLevel="0" collapsed="false">
      <c r="A346" s="114" t="n">
        <v>89522.59</v>
      </c>
      <c r="B346" s="114" t="n">
        <v>89722.58</v>
      </c>
      <c r="C346" s="114" t="n">
        <v>2563.99</v>
      </c>
    </row>
    <row r="347" customFormat="false" ht="15" hidden="false" customHeight="true" outlineLevel="0" collapsed="false">
      <c r="A347" s="115" t="n">
        <v>89722.59</v>
      </c>
      <c r="B347" s="115" t="n">
        <v>89922.58</v>
      </c>
      <c r="C347" s="115" t="n">
        <v>2568.76</v>
      </c>
    </row>
    <row r="348" customFormat="false" ht="15" hidden="false" customHeight="true" outlineLevel="0" collapsed="false">
      <c r="A348" s="114" t="n">
        <v>89922.59</v>
      </c>
      <c r="B348" s="114" t="n">
        <v>90122.58</v>
      </c>
      <c r="C348" s="114" t="n">
        <v>2573.51</v>
      </c>
    </row>
    <row r="349" customFormat="false" ht="15" hidden="false" customHeight="true" outlineLevel="0" collapsed="false">
      <c r="A349" s="115" t="n">
        <v>90122.59</v>
      </c>
      <c r="B349" s="115" t="n">
        <v>90322.58</v>
      </c>
      <c r="C349" s="115" t="n">
        <v>2578.53</v>
      </c>
    </row>
    <row r="350" customFormat="false" ht="15" hidden="false" customHeight="true" outlineLevel="0" collapsed="false">
      <c r="A350" s="114" t="n">
        <v>90322.59</v>
      </c>
      <c r="B350" s="114" t="n">
        <v>90522.58</v>
      </c>
      <c r="C350" s="114" t="n">
        <v>2583.3</v>
      </c>
    </row>
    <row r="351" customFormat="false" ht="15" hidden="false" customHeight="true" outlineLevel="0" collapsed="false">
      <c r="A351" s="115" t="n">
        <v>90522.59</v>
      </c>
      <c r="B351" s="115" t="n">
        <v>90722.58</v>
      </c>
      <c r="C351" s="115" t="n">
        <v>2588.07</v>
      </c>
    </row>
    <row r="352" customFormat="false" ht="15" hidden="false" customHeight="true" outlineLevel="0" collapsed="false">
      <c r="A352" s="114" t="n">
        <v>90722.59</v>
      </c>
      <c r="B352" s="114" t="n">
        <v>90922.58</v>
      </c>
      <c r="C352" s="114" t="n">
        <v>2592.82</v>
      </c>
    </row>
    <row r="353" customFormat="false" ht="15" hidden="false" customHeight="true" outlineLevel="0" collapsed="false">
      <c r="A353" s="115" t="n">
        <v>90922.59</v>
      </c>
      <c r="B353" s="115" t="n">
        <v>91122.58</v>
      </c>
      <c r="C353" s="115" t="n">
        <v>2597.58</v>
      </c>
    </row>
    <row r="354" customFormat="false" ht="15" hidden="false" customHeight="true" outlineLevel="0" collapsed="false">
      <c r="A354" s="114" t="n">
        <v>91122.59</v>
      </c>
      <c r="B354" s="114" t="n">
        <v>91322.58</v>
      </c>
      <c r="C354" s="114" t="n">
        <v>2602.61</v>
      </c>
    </row>
    <row r="355" customFormat="false" ht="15" hidden="false" customHeight="true" outlineLevel="0" collapsed="false">
      <c r="A355" s="115" t="n">
        <v>91322.59</v>
      </c>
      <c r="B355" s="115" t="n">
        <v>91522.58</v>
      </c>
      <c r="C355" s="115" t="n">
        <v>2607.38</v>
      </c>
    </row>
    <row r="356" customFormat="false" ht="15" hidden="false" customHeight="true" outlineLevel="0" collapsed="false">
      <c r="A356" s="114" t="n">
        <v>91522.59</v>
      </c>
      <c r="B356" s="114" t="n">
        <v>91722.58</v>
      </c>
      <c r="C356" s="114" t="n">
        <v>2612.13</v>
      </c>
    </row>
    <row r="357" customFormat="false" ht="15" hidden="false" customHeight="true" outlineLevel="0" collapsed="false">
      <c r="A357" s="115" t="n">
        <v>91722.59</v>
      </c>
      <c r="B357" s="115" t="n">
        <v>91922.58</v>
      </c>
      <c r="C357" s="115" t="n">
        <v>2616.89</v>
      </c>
    </row>
    <row r="358" customFormat="false" ht="15" hidden="false" customHeight="true" outlineLevel="0" collapsed="false">
      <c r="A358" s="114" t="n">
        <v>91922.59</v>
      </c>
      <c r="B358" s="114" t="n">
        <v>92122.58</v>
      </c>
      <c r="C358" s="114" t="n">
        <v>2621.66</v>
      </c>
    </row>
    <row r="359" customFormat="false" ht="15" hidden="false" customHeight="true" outlineLevel="0" collapsed="false">
      <c r="A359" s="115" t="n">
        <v>92122.59</v>
      </c>
      <c r="B359" s="115" t="n">
        <v>92322.58</v>
      </c>
      <c r="C359" s="115" t="n">
        <v>2626.69</v>
      </c>
    </row>
    <row r="360" customFormat="false" ht="15" hidden="false" customHeight="true" outlineLevel="0" collapsed="false">
      <c r="A360" s="114" t="n">
        <v>92322.59</v>
      </c>
      <c r="B360" s="114" t="n">
        <v>92522.58</v>
      </c>
      <c r="C360" s="114" t="n">
        <v>2631.43</v>
      </c>
    </row>
    <row r="361" customFormat="false" ht="15" hidden="false" customHeight="true" outlineLevel="0" collapsed="false">
      <c r="A361" s="115" t="n">
        <v>92522.59</v>
      </c>
      <c r="B361" s="115" t="n">
        <v>92722.58</v>
      </c>
      <c r="C361" s="115" t="n">
        <v>2636.2</v>
      </c>
    </row>
    <row r="362" customFormat="false" ht="15" hidden="false" customHeight="true" outlineLevel="0" collapsed="false">
      <c r="A362" s="114" t="n">
        <v>92722.59</v>
      </c>
      <c r="B362" s="114" t="n">
        <v>92922.58</v>
      </c>
      <c r="C362" s="114" t="n">
        <v>2640.97</v>
      </c>
    </row>
    <row r="363" customFormat="false" ht="15" hidden="false" customHeight="true" outlineLevel="0" collapsed="false">
      <c r="A363" s="115" t="n">
        <v>92922.59</v>
      </c>
      <c r="B363" s="115" t="n">
        <v>93122.58</v>
      </c>
      <c r="C363" s="115" t="n">
        <v>2645.98</v>
      </c>
    </row>
    <row r="364" customFormat="false" ht="15" hidden="false" customHeight="true" outlineLevel="0" collapsed="false">
      <c r="A364" s="114" t="n">
        <v>93122.59</v>
      </c>
      <c r="B364" s="114" t="n">
        <v>93322.58</v>
      </c>
      <c r="C364" s="114" t="n">
        <v>2650.74</v>
      </c>
    </row>
    <row r="365" customFormat="false" ht="15" hidden="false" customHeight="true" outlineLevel="0" collapsed="false">
      <c r="A365" s="115" t="n">
        <v>93322.59</v>
      </c>
      <c r="B365" s="115" t="n">
        <v>93522.58</v>
      </c>
      <c r="C365" s="115" t="n">
        <v>2655.51</v>
      </c>
    </row>
    <row r="366" customFormat="false" ht="15" hidden="false" customHeight="true" outlineLevel="0" collapsed="false">
      <c r="A366" s="114" t="n">
        <v>93522.59</v>
      </c>
      <c r="B366" s="114" t="n">
        <v>93722.58</v>
      </c>
      <c r="C366" s="114" t="n">
        <v>2660.28</v>
      </c>
    </row>
    <row r="367" customFormat="false" ht="15" hidden="false" customHeight="true" outlineLevel="0" collapsed="false">
      <c r="A367" s="115" t="n">
        <v>93722.59</v>
      </c>
      <c r="B367" s="115" t="n">
        <v>93922.58</v>
      </c>
      <c r="C367" s="115" t="n">
        <v>2665.03</v>
      </c>
    </row>
    <row r="368" customFormat="false" ht="15" hidden="false" customHeight="true" outlineLevel="0" collapsed="false">
      <c r="A368" s="114" t="n">
        <v>93922.59</v>
      </c>
      <c r="B368" s="114" t="n">
        <v>94122.58</v>
      </c>
      <c r="C368" s="114" t="n">
        <v>2670.05</v>
      </c>
    </row>
    <row r="369" customFormat="false" ht="15" hidden="false" customHeight="true" outlineLevel="0" collapsed="false">
      <c r="A369" s="115" t="n">
        <v>94122.59</v>
      </c>
      <c r="B369" s="115" t="n">
        <v>94322.58</v>
      </c>
      <c r="C369" s="115" t="n">
        <v>2674.82</v>
      </c>
    </row>
    <row r="370" customFormat="false" ht="15" hidden="false" customHeight="true" outlineLevel="0" collapsed="false">
      <c r="A370" s="114" t="n">
        <v>94322.59</v>
      </c>
      <c r="B370" s="114" t="n">
        <v>94522.58</v>
      </c>
      <c r="C370" s="114" t="n">
        <v>2679.59</v>
      </c>
    </row>
    <row r="371" customFormat="false" ht="15" hidden="false" customHeight="true" outlineLevel="0" collapsed="false">
      <c r="A371" s="115" t="n">
        <v>94522.59</v>
      </c>
      <c r="B371" s="115" t="n">
        <v>94722.58</v>
      </c>
      <c r="C371" s="115" t="n">
        <v>2684.33</v>
      </c>
    </row>
    <row r="372" customFormat="false" ht="15" hidden="false" customHeight="true" outlineLevel="0" collapsed="false">
      <c r="A372" s="114" t="n">
        <v>94722.59</v>
      </c>
      <c r="B372" s="114" t="n">
        <v>94922.58</v>
      </c>
      <c r="C372" s="114" t="n">
        <v>2689.1</v>
      </c>
    </row>
    <row r="373" customFormat="false" ht="15" hidden="false" customHeight="true" outlineLevel="0" collapsed="false">
      <c r="A373" s="115" t="n">
        <v>94922.59</v>
      </c>
      <c r="B373" s="115" t="n">
        <v>95122.58</v>
      </c>
      <c r="C373" s="115" t="n">
        <v>2694.13</v>
      </c>
    </row>
    <row r="374" customFormat="false" ht="15" hidden="false" customHeight="true" outlineLevel="0" collapsed="false">
      <c r="A374" s="114" t="n">
        <v>95122.59</v>
      </c>
      <c r="B374" s="114" t="n">
        <v>95322.58</v>
      </c>
      <c r="C374" s="114" t="n">
        <v>2698.9</v>
      </c>
    </row>
    <row r="375" customFormat="false" ht="15" hidden="false" customHeight="true" outlineLevel="0" collapsed="false">
      <c r="A375" s="115" t="n">
        <v>95322.59</v>
      </c>
      <c r="B375" s="115" t="n">
        <v>95522.58</v>
      </c>
      <c r="C375" s="115" t="n">
        <v>2703.64</v>
      </c>
    </row>
    <row r="376" customFormat="false" ht="15" hidden="false" customHeight="true" outlineLevel="0" collapsed="false">
      <c r="A376" s="114" t="n">
        <v>95522.59</v>
      </c>
      <c r="B376" s="114" t="n">
        <v>95722.58</v>
      </c>
      <c r="C376" s="114" t="n">
        <v>2708.41</v>
      </c>
    </row>
    <row r="377" customFormat="false" ht="15" hidden="false" customHeight="true" outlineLevel="0" collapsed="false">
      <c r="A377" s="115" t="n">
        <v>95722.59</v>
      </c>
      <c r="B377" s="115" t="n">
        <v>95922.58</v>
      </c>
      <c r="C377" s="115" t="n">
        <v>2713.44</v>
      </c>
    </row>
    <row r="378" customFormat="false" ht="15" hidden="false" customHeight="true" outlineLevel="0" collapsed="false">
      <c r="A378" s="114" t="n">
        <v>95922.59</v>
      </c>
      <c r="B378" s="114" t="n">
        <v>96122.58</v>
      </c>
      <c r="C378" s="114" t="n">
        <v>2718.19</v>
      </c>
    </row>
    <row r="379" customFormat="false" ht="15" hidden="false" customHeight="true" outlineLevel="0" collapsed="false">
      <c r="A379" s="115" t="n">
        <v>96122.59</v>
      </c>
      <c r="B379" s="115" t="n">
        <v>96322.58</v>
      </c>
      <c r="C379" s="115" t="n">
        <v>2722.95</v>
      </c>
    </row>
    <row r="380" customFormat="false" ht="15" hidden="false" customHeight="true" outlineLevel="0" collapsed="false">
      <c r="A380" s="114" t="n">
        <v>96322.59</v>
      </c>
      <c r="B380" s="114" t="n">
        <v>96522.58</v>
      </c>
      <c r="C380" s="114" t="n">
        <v>2727.72</v>
      </c>
    </row>
    <row r="381" customFormat="false" ht="15" hidden="false" customHeight="true" outlineLevel="0" collapsed="false">
      <c r="A381" s="115" t="n">
        <v>96522.59</v>
      </c>
      <c r="B381" s="115" t="n">
        <v>96722.58</v>
      </c>
      <c r="C381" s="115" t="n">
        <v>2732.49</v>
      </c>
    </row>
    <row r="382" customFormat="false" ht="15" hidden="false" customHeight="true" outlineLevel="0" collapsed="false">
      <c r="A382" s="114" t="n">
        <v>96722.59</v>
      </c>
      <c r="B382" s="114" t="n">
        <v>96922.58</v>
      </c>
      <c r="C382" s="114" t="n">
        <v>2737.5</v>
      </c>
    </row>
    <row r="383" customFormat="false" ht="15" hidden="false" customHeight="true" outlineLevel="0" collapsed="false">
      <c r="A383" s="115" t="n">
        <v>96922.59</v>
      </c>
      <c r="B383" s="115" t="n">
        <v>97122.58</v>
      </c>
      <c r="C383" s="115" t="n">
        <v>2742.26</v>
      </c>
    </row>
    <row r="384" customFormat="false" ht="15" hidden="false" customHeight="true" outlineLevel="0" collapsed="false">
      <c r="A384" s="114" t="n">
        <v>97122.59</v>
      </c>
      <c r="B384" s="114" t="n">
        <v>97322.58</v>
      </c>
      <c r="C384" s="114" t="n">
        <v>2747.03</v>
      </c>
    </row>
    <row r="385" customFormat="false" ht="15" hidden="false" customHeight="true" outlineLevel="0" collapsed="false">
      <c r="A385" s="115" t="n">
        <v>97322.59</v>
      </c>
      <c r="B385" s="115" t="n">
        <v>97522.58</v>
      </c>
      <c r="C385" s="115" t="n">
        <v>2751.8</v>
      </c>
    </row>
    <row r="386" customFormat="false" ht="15" hidden="false" customHeight="true" outlineLevel="0" collapsed="false">
      <c r="A386" s="114" t="n">
        <v>97522.59</v>
      </c>
      <c r="B386" s="114" t="n">
        <v>97722.58</v>
      </c>
      <c r="C386" s="114" t="n">
        <v>2756.54</v>
      </c>
    </row>
    <row r="387" customFormat="false" ht="15" hidden="false" customHeight="true" outlineLevel="0" collapsed="false">
      <c r="A387" s="115" t="n">
        <v>97722.59</v>
      </c>
      <c r="B387" s="115" t="n">
        <v>97922.58</v>
      </c>
      <c r="C387" s="115" t="n">
        <v>2761.57</v>
      </c>
    </row>
    <row r="388" customFormat="false" ht="15" hidden="false" customHeight="true" outlineLevel="0" collapsed="false">
      <c r="A388" s="114" t="n">
        <v>97922.59</v>
      </c>
      <c r="B388" s="114" t="n">
        <v>98122.58</v>
      </c>
      <c r="C388" s="114" t="n">
        <v>2766.34</v>
      </c>
    </row>
    <row r="389" customFormat="false" ht="15" hidden="false" customHeight="true" outlineLevel="0" collapsed="false">
      <c r="A389" s="115" t="n">
        <v>98122.59</v>
      </c>
      <c r="B389" s="115" t="n">
        <v>98322.58</v>
      </c>
      <c r="C389" s="115" t="n">
        <v>2771.09</v>
      </c>
    </row>
    <row r="390" customFormat="false" ht="15" hidden="false" customHeight="true" outlineLevel="0" collapsed="false">
      <c r="A390" s="114" t="n">
        <v>98322.59</v>
      </c>
      <c r="B390" s="114" t="n">
        <v>98522.58</v>
      </c>
      <c r="C390" s="114" t="n">
        <v>2775.85</v>
      </c>
    </row>
    <row r="391" customFormat="false" ht="15" hidden="false" customHeight="true" outlineLevel="0" collapsed="false">
      <c r="A391" s="115" t="n">
        <v>98522.59</v>
      </c>
      <c r="B391" s="115" t="n">
        <v>98722.58</v>
      </c>
      <c r="C391" s="115" t="n">
        <v>2780.88</v>
      </c>
    </row>
    <row r="392" customFormat="false" ht="15" hidden="false" customHeight="true" outlineLevel="0" collapsed="false">
      <c r="A392" s="114" t="n">
        <v>98722.59</v>
      </c>
      <c r="B392" s="114" t="n">
        <v>98922.58</v>
      </c>
      <c r="C392" s="114" t="n">
        <v>2785.65</v>
      </c>
    </row>
    <row r="393" customFormat="false" ht="15" hidden="false" customHeight="true" outlineLevel="0" collapsed="false">
      <c r="A393" s="115" t="n">
        <v>98922.59</v>
      </c>
      <c r="B393" s="115" t="n">
        <v>99122.58</v>
      </c>
      <c r="C393" s="115" t="n">
        <v>2790.4</v>
      </c>
    </row>
    <row r="394" customFormat="false" ht="15" hidden="false" customHeight="true" outlineLevel="0" collapsed="false">
      <c r="A394" s="114" t="n">
        <v>99122.59</v>
      </c>
      <c r="B394" s="114" t="n">
        <v>99322.58</v>
      </c>
      <c r="C394" s="114" t="n">
        <v>2795.16</v>
      </c>
    </row>
    <row r="395" customFormat="false" ht="15" hidden="false" customHeight="true" outlineLevel="0" collapsed="false">
      <c r="A395" s="115" t="n">
        <v>99322.59</v>
      </c>
      <c r="B395" s="115" t="n">
        <v>99522.58</v>
      </c>
      <c r="C395" s="115" t="n">
        <v>2799.93</v>
      </c>
    </row>
    <row r="396" customFormat="false" ht="15" hidden="false" customHeight="true" outlineLevel="0" collapsed="false">
      <c r="A396" s="114" t="n">
        <v>99522.59</v>
      </c>
      <c r="B396" s="114" t="n">
        <v>99722.58</v>
      </c>
      <c r="C396" s="114" t="n">
        <v>2804.96</v>
      </c>
    </row>
    <row r="397" customFormat="false" ht="15" hidden="false" customHeight="true" outlineLevel="0" collapsed="false">
      <c r="A397" s="115" t="n">
        <v>99722.59</v>
      </c>
      <c r="B397" s="115" t="n">
        <v>99922.58</v>
      </c>
      <c r="C397" s="115" t="n">
        <v>2809.71</v>
      </c>
    </row>
    <row r="398" customFormat="false" ht="15" hidden="false" customHeight="true" outlineLevel="0" collapsed="false">
      <c r="A398" s="114" t="n">
        <v>99922.59</v>
      </c>
      <c r="B398" s="114" t="n">
        <v>100122.58</v>
      </c>
      <c r="C398" s="114" t="n">
        <v>2814.47</v>
      </c>
    </row>
    <row r="399" customFormat="false" ht="15" hidden="false" customHeight="true" outlineLevel="0" collapsed="false">
      <c r="A399" s="115" t="n">
        <v>100122.59</v>
      </c>
      <c r="B399" s="115" t="n">
        <v>100322.58</v>
      </c>
      <c r="C399" s="115" t="n">
        <v>2819.24</v>
      </c>
    </row>
    <row r="400" customFormat="false" ht="15" hidden="false" customHeight="true" outlineLevel="0" collapsed="false">
      <c r="A400" s="114" t="n">
        <v>100322.59</v>
      </c>
      <c r="B400" s="114" t="n">
        <v>100522.58</v>
      </c>
      <c r="C400" s="114" t="n">
        <v>2823.99</v>
      </c>
    </row>
    <row r="401" customFormat="false" ht="15" hidden="false" customHeight="true" outlineLevel="0" collapsed="false">
      <c r="A401" s="115" t="n">
        <v>100522.59</v>
      </c>
      <c r="B401" s="115" t="n">
        <v>100722.58</v>
      </c>
      <c r="C401" s="115" t="n">
        <v>2829.02</v>
      </c>
    </row>
    <row r="402" customFormat="false" ht="15" hidden="false" customHeight="true" outlineLevel="0" collapsed="false">
      <c r="A402" s="114" t="n">
        <v>100722.59</v>
      </c>
      <c r="B402" s="114" t="n">
        <v>100922.58</v>
      </c>
      <c r="C402" s="114" t="n">
        <v>2833.78</v>
      </c>
    </row>
    <row r="403" customFormat="false" ht="15" hidden="false" customHeight="true" outlineLevel="0" collapsed="false">
      <c r="A403" s="115" t="n">
        <v>100922.59</v>
      </c>
      <c r="B403" s="115" t="n">
        <v>101122.58</v>
      </c>
      <c r="C403" s="115" t="n">
        <v>2838.55</v>
      </c>
    </row>
    <row r="404" customFormat="false" ht="15" hidden="false" customHeight="true" outlineLevel="0" collapsed="false">
      <c r="A404" s="114" t="n">
        <v>101122.59</v>
      </c>
      <c r="B404" s="114" t="n">
        <v>101322.58</v>
      </c>
      <c r="C404" s="114" t="n">
        <v>2843.3</v>
      </c>
    </row>
    <row r="405" customFormat="false" ht="15" hidden="false" customHeight="true" outlineLevel="0" collapsed="false">
      <c r="A405" s="115" t="n">
        <v>101322.59</v>
      </c>
      <c r="B405" s="115" t="n">
        <v>101522.58</v>
      </c>
      <c r="C405" s="115" t="n">
        <v>2848.32</v>
      </c>
    </row>
    <row r="406" customFormat="false" ht="15" hidden="false" customHeight="true" outlineLevel="0" collapsed="false">
      <c r="A406" s="114" t="n">
        <v>101522.59</v>
      </c>
      <c r="B406" s="114" t="n">
        <v>101722.58</v>
      </c>
      <c r="C406" s="114" t="n">
        <v>2853.09</v>
      </c>
    </row>
    <row r="407" customFormat="false" ht="15" hidden="false" customHeight="true" outlineLevel="0" collapsed="false">
      <c r="A407" s="115" t="n">
        <v>101722.59</v>
      </c>
      <c r="B407" s="115" t="n">
        <v>101922.58</v>
      </c>
      <c r="C407" s="115" t="n">
        <v>2857.86</v>
      </c>
    </row>
    <row r="408" customFormat="false" ht="15" hidden="false" customHeight="true" outlineLevel="0" collapsed="false">
      <c r="A408" s="114" t="n">
        <v>101922.59</v>
      </c>
      <c r="B408" s="114" t="n">
        <v>102122.58</v>
      </c>
      <c r="C408" s="114" t="n">
        <v>2862.61</v>
      </c>
    </row>
    <row r="409" customFormat="false" ht="15" hidden="false" customHeight="true" outlineLevel="0" collapsed="false">
      <c r="A409" s="115" t="n">
        <v>102122.59</v>
      </c>
      <c r="B409" s="115" t="n">
        <v>102322.58</v>
      </c>
      <c r="C409" s="115" t="n">
        <v>2867.37</v>
      </c>
    </row>
    <row r="410" customFormat="false" ht="15" hidden="false" customHeight="true" outlineLevel="0" collapsed="false">
      <c r="A410" s="114" t="n">
        <v>102322.59</v>
      </c>
      <c r="B410" s="114" t="n">
        <v>102522.58</v>
      </c>
      <c r="C410" s="114" t="n">
        <v>2872.4</v>
      </c>
    </row>
    <row r="411" customFormat="false" ht="15" hidden="false" customHeight="true" outlineLevel="0" collapsed="false">
      <c r="A411" s="115" t="n">
        <v>102522.59</v>
      </c>
      <c r="B411" s="115" t="n">
        <v>102722.58</v>
      </c>
      <c r="C411" s="115" t="n">
        <v>2877.17</v>
      </c>
    </row>
    <row r="412" customFormat="false" ht="15" hidden="false" customHeight="true" outlineLevel="0" collapsed="false">
      <c r="A412" s="114" t="n">
        <v>102722.59</v>
      </c>
      <c r="B412" s="114" t="n">
        <v>102922.58</v>
      </c>
      <c r="C412" s="114" t="n">
        <v>2881.92</v>
      </c>
    </row>
    <row r="413" customFormat="false" ht="15" hidden="false" customHeight="true" outlineLevel="0" collapsed="false">
      <c r="A413" s="115" t="n">
        <v>102922.59</v>
      </c>
      <c r="B413" s="115" t="n">
        <v>103122.58</v>
      </c>
      <c r="C413" s="115" t="n">
        <v>2886.68</v>
      </c>
    </row>
    <row r="414" customFormat="false" ht="15" hidden="false" customHeight="true" outlineLevel="0" collapsed="false">
      <c r="A414" s="114" t="n">
        <v>103122.59</v>
      </c>
      <c r="B414" s="114" t="n">
        <v>103322.58</v>
      </c>
      <c r="C414" s="114" t="n">
        <v>2891.45</v>
      </c>
    </row>
    <row r="415" customFormat="false" ht="15" hidden="false" customHeight="true" outlineLevel="0" collapsed="false">
      <c r="A415" s="115" t="n">
        <v>103322.59</v>
      </c>
      <c r="B415" s="115" t="n">
        <v>103522.58</v>
      </c>
      <c r="C415" s="115" t="n">
        <v>2896.48</v>
      </c>
    </row>
    <row r="416" customFormat="false" ht="15" hidden="false" customHeight="true" outlineLevel="0" collapsed="false">
      <c r="A416" s="114" t="n">
        <v>103522.59</v>
      </c>
      <c r="B416" s="114" t="n">
        <v>103722.58</v>
      </c>
      <c r="C416" s="114" t="n">
        <v>2901.22</v>
      </c>
    </row>
    <row r="417" customFormat="false" ht="15" hidden="false" customHeight="true" outlineLevel="0" collapsed="false">
      <c r="A417" s="115" t="n">
        <v>103722.59</v>
      </c>
      <c r="B417" s="115" t="n">
        <v>103922.58</v>
      </c>
      <c r="C417" s="115" t="n">
        <v>2905.99</v>
      </c>
    </row>
    <row r="418" customFormat="false" ht="15" hidden="false" customHeight="true" outlineLevel="0" collapsed="false">
      <c r="A418" s="114" t="n">
        <v>103922.59</v>
      </c>
      <c r="B418" s="114" t="n">
        <v>104122.58</v>
      </c>
      <c r="C418" s="114" t="n">
        <v>2910.76</v>
      </c>
    </row>
    <row r="419" customFormat="false" ht="15" hidden="false" customHeight="true" outlineLevel="0" collapsed="false">
      <c r="A419" s="115" t="n">
        <v>104122.59</v>
      </c>
      <c r="B419" s="115" t="n">
        <v>104322.58</v>
      </c>
      <c r="C419" s="115" t="n">
        <v>2915.79</v>
      </c>
    </row>
    <row r="420" customFormat="false" ht="15" hidden="false" customHeight="true" outlineLevel="0" collapsed="false">
      <c r="A420" s="114" t="n">
        <v>104322.59</v>
      </c>
      <c r="B420" s="114" t="n">
        <v>104522.58</v>
      </c>
      <c r="C420" s="114" t="n">
        <v>2920.53</v>
      </c>
    </row>
    <row r="421" customFormat="false" ht="15" hidden="false" customHeight="true" outlineLevel="0" collapsed="false">
      <c r="A421" s="115" t="n">
        <v>104522.59</v>
      </c>
      <c r="B421" s="115" t="n">
        <v>104722.58</v>
      </c>
      <c r="C421" s="115" t="n">
        <v>2925.3</v>
      </c>
    </row>
    <row r="422" customFormat="false" ht="15" hidden="false" customHeight="true" outlineLevel="0" collapsed="false">
      <c r="A422" s="114" t="n">
        <v>104722.59</v>
      </c>
      <c r="B422" s="114" t="n">
        <v>104922.58</v>
      </c>
      <c r="C422" s="114" t="n">
        <v>2930.07</v>
      </c>
    </row>
    <row r="423" customFormat="false" ht="15" hidden="false" customHeight="true" outlineLevel="0" collapsed="false">
      <c r="A423" s="115" t="n">
        <v>104922.59</v>
      </c>
      <c r="B423" s="115" t="n">
        <v>105122.58</v>
      </c>
      <c r="C423" s="115" t="n">
        <v>2934.82</v>
      </c>
    </row>
    <row r="424" customFormat="false" ht="15" hidden="false" customHeight="true" outlineLevel="0" collapsed="false">
      <c r="A424" s="114" t="n">
        <v>105122.59</v>
      </c>
      <c r="B424" s="114" t="n">
        <v>105322.58</v>
      </c>
      <c r="C424" s="114" t="n">
        <v>2939.84</v>
      </c>
    </row>
    <row r="425" customFormat="false" ht="15" hidden="false" customHeight="true" outlineLevel="0" collapsed="false">
      <c r="A425" s="115" t="n">
        <v>105322.59</v>
      </c>
      <c r="B425" s="115" t="n">
        <v>105522.58</v>
      </c>
      <c r="C425" s="115" t="n">
        <v>2944.61</v>
      </c>
    </row>
    <row r="426" customFormat="false" ht="15" hidden="false" customHeight="true" outlineLevel="0" collapsed="false">
      <c r="A426" s="114" t="n">
        <v>105522.59</v>
      </c>
      <c r="B426" s="114" t="n">
        <v>105722.58</v>
      </c>
      <c r="C426" s="114" t="n">
        <v>2949.38</v>
      </c>
    </row>
    <row r="427" customFormat="false" ht="15" hidden="false" customHeight="true" outlineLevel="0" collapsed="false">
      <c r="A427" s="115" t="n">
        <v>105722.59</v>
      </c>
      <c r="B427" s="115" t="n">
        <v>105922.58</v>
      </c>
      <c r="C427" s="115" t="n">
        <v>2954.12</v>
      </c>
    </row>
    <row r="428" customFormat="false" ht="15" hidden="false" customHeight="true" outlineLevel="0" collapsed="false">
      <c r="A428" s="114" t="n">
        <v>105922.59</v>
      </c>
      <c r="B428" s="114" t="n">
        <v>106122.58</v>
      </c>
      <c r="C428" s="114" t="n">
        <v>2958.89</v>
      </c>
    </row>
    <row r="429" customFormat="false" ht="15" hidden="false" customHeight="true" outlineLevel="0" collapsed="false">
      <c r="A429" s="115" t="n">
        <v>106122.59</v>
      </c>
      <c r="B429" s="115" t="n">
        <v>106322.58</v>
      </c>
      <c r="C429" s="115" t="n">
        <v>2963.92</v>
      </c>
    </row>
    <row r="430" customFormat="false" ht="15" hidden="false" customHeight="true" outlineLevel="0" collapsed="false">
      <c r="A430" s="114" t="n">
        <v>106322.59</v>
      </c>
      <c r="B430" s="114" t="n">
        <v>106522.58</v>
      </c>
      <c r="C430" s="114" t="n">
        <v>2968.69</v>
      </c>
    </row>
    <row r="431" customFormat="false" ht="15" hidden="false" customHeight="true" outlineLevel="0" collapsed="false">
      <c r="A431" s="115" t="n">
        <v>106522.59</v>
      </c>
      <c r="B431" s="115" t="n">
        <v>106722.58</v>
      </c>
      <c r="C431" s="115" t="n">
        <v>2973.43</v>
      </c>
    </row>
    <row r="432" customFormat="false" ht="15" hidden="false" customHeight="true" outlineLevel="0" collapsed="false">
      <c r="A432" s="114" t="n">
        <v>106722.59</v>
      </c>
      <c r="B432" s="114" t="n">
        <v>106922.58</v>
      </c>
      <c r="C432" s="114" t="n">
        <v>2978.2</v>
      </c>
    </row>
    <row r="433" customFormat="false" ht="15" hidden="false" customHeight="true" outlineLevel="0" collapsed="false">
      <c r="A433" s="115" t="n">
        <v>106922.59</v>
      </c>
      <c r="B433" s="115" t="n">
        <v>107122.58</v>
      </c>
      <c r="C433" s="115" t="n">
        <v>2983.23</v>
      </c>
    </row>
    <row r="434" customFormat="false" ht="15" hidden="false" customHeight="true" outlineLevel="0" collapsed="false">
      <c r="A434" s="114" t="n">
        <v>107122.59</v>
      </c>
      <c r="B434" s="114" t="n">
        <v>107322.58</v>
      </c>
      <c r="C434" s="114" t="n">
        <v>2987.98</v>
      </c>
    </row>
    <row r="435" customFormat="false" ht="15" hidden="false" customHeight="true" outlineLevel="0" collapsed="false">
      <c r="A435" s="115" t="n">
        <v>107322.59</v>
      </c>
      <c r="B435" s="115" t="n">
        <v>107522.58</v>
      </c>
      <c r="C435" s="115" t="n">
        <v>2992.74</v>
      </c>
    </row>
    <row r="436" customFormat="false" ht="15" hidden="false" customHeight="true" outlineLevel="0" collapsed="false">
      <c r="A436" s="114" t="n">
        <v>107522.59</v>
      </c>
      <c r="B436" s="114" t="n">
        <v>107722.58</v>
      </c>
      <c r="C436" s="114" t="n">
        <v>2997.51</v>
      </c>
    </row>
    <row r="437" customFormat="false" ht="15" hidden="false" customHeight="true" outlineLevel="0" collapsed="false">
      <c r="A437" s="115" t="n">
        <v>107722.59</v>
      </c>
      <c r="B437" s="115" t="n">
        <v>107922.58</v>
      </c>
      <c r="C437" s="115" t="n">
        <v>3002.28</v>
      </c>
    </row>
    <row r="438" customFormat="false" ht="15" hidden="false" customHeight="true" outlineLevel="0" collapsed="false">
      <c r="A438" s="114" t="n">
        <v>107922.59</v>
      </c>
      <c r="B438" s="114" t="n">
        <v>108122.58</v>
      </c>
      <c r="C438" s="114" t="n">
        <v>3007.29</v>
      </c>
    </row>
    <row r="439" customFormat="false" ht="15" hidden="false" customHeight="true" outlineLevel="0" collapsed="false">
      <c r="A439" s="115" t="n">
        <v>108122.59</v>
      </c>
      <c r="B439" s="115" t="n">
        <v>108322.58</v>
      </c>
      <c r="C439" s="115" t="n">
        <v>3012.05</v>
      </c>
    </row>
    <row r="440" customFormat="false" ht="15" hidden="false" customHeight="true" outlineLevel="0" collapsed="false">
      <c r="A440" s="114" t="n">
        <v>108322.59</v>
      </c>
      <c r="B440" s="114" t="n">
        <v>108522.58</v>
      </c>
      <c r="C440" s="114" t="n">
        <v>3016.82</v>
      </c>
    </row>
    <row r="441" customFormat="false" ht="15" hidden="false" customHeight="true" outlineLevel="0" collapsed="false">
      <c r="A441" s="115" t="n">
        <v>108522.59</v>
      </c>
      <c r="B441" s="115" t="n">
        <v>108722.58</v>
      </c>
      <c r="C441" s="115" t="n">
        <v>3021.59</v>
      </c>
    </row>
    <row r="442" customFormat="false" ht="15" hidden="false" customHeight="true" outlineLevel="0" collapsed="false">
      <c r="A442" s="114" t="n">
        <v>108722.59</v>
      </c>
      <c r="B442" s="114" t="n">
        <v>108922.58</v>
      </c>
      <c r="C442" s="114" t="n">
        <v>3026.33</v>
      </c>
    </row>
    <row r="443" customFormat="false" ht="15" hidden="false" customHeight="true" outlineLevel="0" collapsed="false">
      <c r="A443" s="115" t="n">
        <v>108922.59</v>
      </c>
      <c r="B443" s="115" t="n">
        <v>109122.58</v>
      </c>
      <c r="C443" s="115" t="n">
        <v>3031.36</v>
      </c>
    </row>
    <row r="444" customFormat="false" ht="15" hidden="false" customHeight="true" outlineLevel="0" collapsed="false">
      <c r="A444" s="114" t="n">
        <v>109122.59</v>
      </c>
      <c r="B444" s="114" t="n">
        <v>109322.58</v>
      </c>
      <c r="C444" s="114" t="n">
        <v>3036.13</v>
      </c>
    </row>
    <row r="445" customFormat="false" ht="15" hidden="false" customHeight="true" outlineLevel="0" collapsed="false">
      <c r="A445" s="115" t="n">
        <v>109322.59</v>
      </c>
      <c r="B445" s="115" t="n">
        <v>109522.58</v>
      </c>
      <c r="C445" s="115" t="n">
        <v>3040.88</v>
      </c>
    </row>
    <row r="446" customFormat="false" ht="15" hidden="false" customHeight="true" outlineLevel="0" collapsed="false">
      <c r="A446" s="114" t="n">
        <v>109522.59</v>
      </c>
      <c r="B446" s="114" t="n">
        <v>109722.58</v>
      </c>
      <c r="C446" s="114" t="n">
        <v>3045.64</v>
      </c>
    </row>
    <row r="447" customFormat="false" ht="15" hidden="false" customHeight="true" outlineLevel="0" collapsed="false">
      <c r="A447" s="115" t="n">
        <v>109722.59</v>
      </c>
      <c r="B447" s="115" t="n">
        <v>109922.58</v>
      </c>
      <c r="C447" s="115" t="n">
        <v>3050.67</v>
      </c>
    </row>
    <row r="448" customFormat="false" ht="15" hidden="false" customHeight="true" outlineLevel="0" collapsed="false">
      <c r="A448" s="114" t="n">
        <v>109922.59</v>
      </c>
      <c r="B448" s="114" t="n">
        <v>110122.58</v>
      </c>
      <c r="C448" s="114" t="n">
        <v>3055.44</v>
      </c>
    </row>
    <row r="449" customFormat="false" ht="15" hidden="false" customHeight="true" outlineLevel="0" collapsed="false">
      <c r="A449" s="115" t="n">
        <v>110122.59</v>
      </c>
      <c r="B449" s="115" t="n">
        <v>110322.58</v>
      </c>
      <c r="C449" s="115" t="n">
        <v>3060.19</v>
      </c>
    </row>
    <row r="450" customFormat="false" ht="15" hidden="false" customHeight="true" outlineLevel="0" collapsed="false">
      <c r="A450" s="114" t="n">
        <v>110322.59</v>
      </c>
      <c r="B450" s="114" t="n">
        <v>110522.58</v>
      </c>
      <c r="C450" s="114" t="n">
        <v>3064.95</v>
      </c>
    </row>
    <row r="451" customFormat="false" ht="15" hidden="false" customHeight="true" outlineLevel="0" collapsed="false">
      <c r="A451" s="115" t="n">
        <v>110522.59</v>
      </c>
      <c r="B451" s="115" t="n">
        <v>110722.58</v>
      </c>
      <c r="C451" s="115" t="n">
        <v>3069.72</v>
      </c>
    </row>
    <row r="452" customFormat="false" ht="15" hidden="false" customHeight="true" outlineLevel="0" collapsed="false">
      <c r="A452" s="114" t="n">
        <v>110722.59</v>
      </c>
      <c r="B452" s="114" t="n">
        <v>110922.58</v>
      </c>
      <c r="C452" s="114" t="n">
        <v>3074.75</v>
      </c>
    </row>
    <row r="453" customFormat="false" ht="15" hidden="false" customHeight="true" outlineLevel="0" collapsed="false">
      <c r="A453" s="115" t="n">
        <v>110922.59</v>
      </c>
      <c r="B453" s="115" t="n">
        <v>111122.58</v>
      </c>
      <c r="C453" s="115" t="n">
        <v>3079.5</v>
      </c>
    </row>
    <row r="454" customFormat="false" ht="15" hidden="false" customHeight="true" outlineLevel="0" collapsed="false">
      <c r="A454" s="114" t="n">
        <v>111122.59</v>
      </c>
      <c r="B454" s="114" t="n">
        <v>111322.58</v>
      </c>
      <c r="C454" s="114" t="n">
        <v>3084.26</v>
      </c>
    </row>
    <row r="455" customFormat="false" ht="15" hidden="false" customHeight="true" outlineLevel="0" collapsed="false">
      <c r="A455" s="115" t="n">
        <v>111322.59</v>
      </c>
      <c r="B455" s="115" t="n">
        <v>111522.58</v>
      </c>
      <c r="C455" s="115" t="n">
        <v>3089.03</v>
      </c>
    </row>
    <row r="456" customFormat="false" ht="15" hidden="false" customHeight="true" outlineLevel="0" collapsed="false">
      <c r="A456" s="114" t="n">
        <v>111522.59</v>
      </c>
      <c r="B456" s="114" t="n">
        <v>111722.58</v>
      </c>
      <c r="C456" s="114" t="n">
        <v>3094.06</v>
      </c>
    </row>
    <row r="457" customFormat="false" ht="15" hidden="false" customHeight="true" outlineLevel="0" collapsed="false">
      <c r="A457" s="115" t="n">
        <v>111722.59</v>
      </c>
      <c r="B457" s="115" t="n">
        <v>111922.58</v>
      </c>
      <c r="C457" s="115" t="n">
        <v>3098.81</v>
      </c>
    </row>
    <row r="458" customFormat="false" ht="15" hidden="false" customHeight="true" outlineLevel="0" collapsed="false">
      <c r="A458" s="114" t="n">
        <v>111922.59</v>
      </c>
      <c r="B458" s="114" t="n">
        <v>112122.58</v>
      </c>
      <c r="C458" s="114" t="n">
        <v>3103.57</v>
      </c>
    </row>
    <row r="459" customFormat="false" ht="15" hidden="false" customHeight="true" outlineLevel="0" collapsed="false">
      <c r="A459" s="115" t="n">
        <v>112122.59</v>
      </c>
      <c r="B459" s="115" t="n">
        <v>112322.58</v>
      </c>
      <c r="C459" s="115" t="n">
        <v>3108.34</v>
      </c>
    </row>
    <row r="460" customFormat="false" ht="15" hidden="false" customHeight="true" outlineLevel="0" collapsed="false">
      <c r="A460" s="114" t="n">
        <v>112322.59</v>
      </c>
      <c r="B460" s="114" t="n">
        <v>112522.58</v>
      </c>
      <c r="C460" s="114" t="n">
        <v>3113.09</v>
      </c>
    </row>
    <row r="461" customFormat="false" ht="15" hidden="false" customHeight="true" outlineLevel="0" collapsed="false">
      <c r="A461" s="115" t="n">
        <v>112522.59</v>
      </c>
      <c r="B461" s="115" t="n">
        <v>112722.58</v>
      </c>
      <c r="C461" s="115" t="n">
        <v>3118.11</v>
      </c>
    </row>
    <row r="462" customFormat="false" ht="15" hidden="false" customHeight="true" outlineLevel="0" collapsed="false">
      <c r="A462" s="114" t="n">
        <v>112722.59</v>
      </c>
      <c r="B462" s="114" t="n">
        <v>112922.58</v>
      </c>
      <c r="C462" s="114" t="n">
        <v>3122.88</v>
      </c>
    </row>
    <row r="463" customFormat="false" ht="15" hidden="false" customHeight="true" outlineLevel="0" collapsed="false">
      <c r="A463" s="115" t="n">
        <v>112922.59</v>
      </c>
      <c r="B463" s="115" t="n">
        <v>113122.58</v>
      </c>
      <c r="C463" s="115" t="n">
        <v>3127.65</v>
      </c>
    </row>
    <row r="464" customFormat="false" ht="15" hidden="false" customHeight="true" outlineLevel="0" collapsed="false">
      <c r="A464" s="114" t="n">
        <v>113122.59</v>
      </c>
      <c r="B464" s="114" t="n">
        <v>113322.58</v>
      </c>
      <c r="C464" s="114" t="n">
        <v>3132.4</v>
      </c>
    </row>
    <row r="465" customFormat="false" ht="15" hidden="false" customHeight="true" outlineLevel="0" collapsed="false">
      <c r="A465" s="115" t="n">
        <v>113322.59</v>
      </c>
      <c r="B465" s="115" t="n">
        <v>113522.58</v>
      </c>
      <c r="C465" s="115" t="n">
        <v>3137.16</v>
      </c>
    </row>
    <row r="466" customFormat="false" ht="15" hidden="false" customHeight="true" outlineLevel="0" collapsed="false">
      <c r="A466" s="114" t="n">
        <v>113522.59</v>
      </c>
      <c r="B466" s="114" t="n">
        <v>113722.58</v>
      </c>
      <c r="C466" s="114" t="n">
        <v>3142.19</v>
      </c>
    </row>
    <row r="467" customFormat="false" ht="15" hidden="false" customHeight="true" outlineLevel="0" collapsed="false">
      <c r="A467" s="115" t="n">
        <v>113722.59</v>
      </c>
      <c r="B467" s="115" t="n">
        <v>113922.58</v>
      </c>
      <c r="C467" s="115" t="n">
        <v>3146.96</v>
      </c>
    </row>
    <row r="468" customFormat="false" ht="15" hidden="false" customHeight="true" outlineLevel="0" collapsed="false">
      <c r="A468" s="114" t="n">
        <v>113922.59</v>
      </c>
      <c r="B468" s="114" t="n">
        <v>114122.58</v>
      </c>
      <c r="C468" s="114" t="n">
        <v>3151.71</v>
      </c>
    </row>
    <row r="469" customFormat="false" ht="15" hidden="false" customHeight="true" outlineLevel="0" collapsed="false">
      <c r="A469" s="115" t="n">
        <v>114122.59</v>
      </c>
      <c r="B469" s="115" t="n">
        <v>114322.58</v>
      </c>
      <c r="C469" s="115" t="n">
        <v>3156.47</v>
      </c>
    </row>
    <row r="470" customFormat="false" ht="15" hidden="false" customHeight="true" outlineLevel="0" collapsed="false">
      <c r="A470" s="114" t="n">
        <v>114322.59</v>
      </c>
      <c r="B470" s="114" t="n">
        <v>114522.58</v>
      </c>
      <c r="C470" s="114" t="n">
        <v>3161.5</v>
      </c>
    </row>
    <row r="471" customFormat="false" ht="15" hidden="false" customHeight="true" outlineLevel="0" collapsed="false">
      <c r="A471" s="115" t="n">
        <v>114522.59</v>
      </c>
      <c r="B471" s="115" t="n">
        <v>114722.58</v>
      </c>
      <c r="C471" s="115" t="n">
        <v>3166.27</v>
      </c>
    </row>
    <row r="472" customFormat="false" ht="15" hidden="false" customHeight="true" outlineLevel="0" collapsed="false">
      <c r="A472" s="114" t="n">
        <v>114722.59</v>
      </c>
      <c r="B472" s="114" t="n">
        <v>114922.58</v>
      </c>
      <c r="C472" s="114" t="n">
        <v>3171.01</v>
      </c>
    </row>
    <row r="473" customFormat="false" ht="15" hidden="false" customHeight="true" outlineLevel="0" collapsed="false">
      <c r="A473" s="115" t="n">
        <v>114922.59</v>
      </c>
      <c r="B473" s="115" t="n">
        <v>115122.58</v>
      </c>
      <c r="C473" s="115" t="n">
        <v>3175.78</v>
      </c>
    </row>
    <row r="474" customFormat="false" ht="15" hidden="false" customHeight="true" outlineLevel="0" collapsed="false">
      <c r="A474" s="114" t="n">
        <v>115122.59</v>
      </c>
      <c r="B474" s="114" t="n">
        <v>115322.58</v>
      </c>
      <c r="C474" s="114" t="n">
        <v>3180.55</v>
      </c>
    </row>
    <row r="475" customFormat="false" ht="15" hidden="false" customHeight="true" outlineLevel="0" collapsed="false">
      <c r="A475" s="115" t="n">
        <v>115322.59</v>
      </c>
      <c r="B475" s="115" t="n">
        <v>115522.58</v>
      </c>
      <c r="C475" s="115" t="n">
        <v>3185.58</v>
      </c>
    </row>
    <row r="476" customFormat="false" ht="15" hidden="false" customHeight="true" outlineLevel="0" collapsed="false">
      <c r="A476" s="114" t="n">
        <v>115522.59</v>
      </c>
      <c r="B476" s="114" t="n">
        <v>115722.58</v>
      </c>
      <c r="C476" s="114" t="n">
        <v>3190.32</v>
      </c>
    </row>
    <row r="477" customFormat="false" ht="15" hidden="false" customHeight="true" outlineLevel="0" collapsed="false">
      <c r="A477" s="115" t="n">
        <v>115722.59</v>
      </c>
      <c r="B477" s="115" t="n">
        <v>115922.58</v>
      </c>
      <c r="C477" s="115" t="n">
        <v>3195.09</v>
      </c>
    </row>
    <row r="478" customFormat="false" ht="15" hidden="false" customHeight="true" outlineLevel="0" collapsed="false">
      <c r="A478" s="114" t="n">
        <v>115922.59</v>
      </c>
      <c r="B478" s="114" t="n">
        <v>116122.58</v>
      </c>
      <c r="C478" s="114" t="n">
        <v>3199.86</v>
      </c>
    </row>
    <row r="479" customFormat="false" ht="15" hidden="false" customHeight="true" outlineLevel="0" collapsed="false">
      <c r="A479" s="115" t="n">
        <v>116122.59</v>
      </c>
      <c r="B479" s="115" t="n">
        <v>116322.58</v>
      </c>
      <c r="C479" s="115" t="n">
        <v>3204.61</v>
      </c>
    </row>
    <row r="480" customFormat="false" ht="15" hidden="false" customHeight="true" outlineLevel="0" collapsed="false">
      <c r="A480" s="114" t="n">
        <v>116322.59</v>
      </c>
      <c r="B480" s="114" t="n">
        <v>116522.58</v>
      </c>
      <c r="C480" s="114" t="n">
        <v>3209.63</v>
      </c>
    </row>
    <row r="481" customFormat="false" ht="15" hidden="false" customHeight="true" outlineLevel="0" collapsed="false">
      <c r="A481" s="115" t="n">
        <v>116522.59</v>
      </c>
      <c r="B481" s="115" t="n">
        <v>116722.58</v>
      </c>
      <c r="C481" s="115" t="n">
        <v>3214.4</v>
      </c>
    </row>
    <row r="482" customFormat="false" ht="15" hidden="false" customHeight="true" outlineLevel="0" collapsed="false">
      <c r="A482" s="114" t="n">
        <v>116722.59</v>
      </c>
      <c r="B482" s="114" t="n">
        <v>116922.58</v>
      </c>
      <c r="C482" s="114" t="n">
        <v>3219.17</v>
      </c>
    </row>
    <row r="483" customFormat="false" ht="15" hidden="false" customHeight="true" outlineLevel="0" collapsed="false">
      <c r="A483" s="115" t="n">
        <v>116922.59</v>
      </c>
      <c r="B483" s="115" t="n">
        <v>117122.58</v>
      </c>
      <c r="C483" s="115" t="n">
        <v>3223.91</v>
      </c>
    </row>
    <row r="484" customFormat="false" ht="15" hidden="false" customHeight="true" outlineLevel="0" collapsed="false">
      <c r="A484" s="114" t="n">
        <v>117122.59</v>
      </c>
      <c r="B484" s="114" t="n">
        <v>117322.58</v>
      </c>
      <c r="C484" s="114" t="n">
        <v>3228.94</v>
      </c>
    </row>
    <row r="485" customFormat="false" ht="15" hidden="false" customHeight="true" outlineLevel="0" collapsed="false">
      <c r="A485" s="115" t="n">
        <v>117322.59</v>
      </c>
      <c r="B485" s="115" t="n">
        <v>117522.58</v>
      </c>
      <c r="C485" s="115" t="n">
        <v>3233.71</v>
      </c>
    </row>
    <row r="486" customFormat="false" ht="15" hidden="false" customHeight="true" outlineLevel="0" collapsed="false">
      <c r="A486" s="114" t="n">
        <v>117522.59</v>
      </c>
      <c r="B486" s="114" t="n">
        <v>117722.58</v>
      </c>
      <c r="C486" s="114" t="n">
        <v>3238.48</v>
      </c>
    </row>
    <row r="487" customFormat="false" ht="15" hidden="false" customHeight="true" outlineLevel="0" collapsed="false">
      <c r="A487" s="115" t="n">
        <v>117722.59</v>
      </c>
      <c r="B487" s="115" t="n">
        <v>117922.58</v>
      </c>
      <c r="C487" s="115" t="n">
        <v>3243.22</v>
      </c>
    </row>
    <row r="488" customFormat="false" ht="15" hidden="false" customHeight="true" outlineLevel="0" collapsed="false">
      <c r="A488" s="114" t="n">
        <v>117922.59</v>
      </c>
      <c r="B488" s="114" t="n">
        <v>118122.58</v>
      </c>
      <c r="C488" s="114" t="n">
        <v>3247.99</v>
      </c>
    </row>
    <row r="489" customFormat="false" ht="15" hidden="false" customHeight="true" outlineLevel="0" collapsed="false">
      <c r="A489" s="115" t="n">
        <v>118122.59</v>
      </c>
      <c r="B489" s="115" t="n">
        <v>118322.58</v>
      </c>
      <c r="C489" s="115" t="n">
        <v>3253.02</v>
      </c>
    </row>
    <row r="490" customFormat="false" ht="15" hidden="false" customHeight="true" outlineLevel="0" collapsed="false">
      <c r="A490" s="114" t="n">
        <v>118322.59</v>
      </c>
      <c r="B490" s="114" t="n">
        <v>118522.58</v>
      </c>
      <c r="C490" s="114" t="n">
        <v>3257.77</v>
      </c>
    </row>
    <row r="491" customFormat="false" ht="15" hidden="false" customHeight="true" outlineLevel="0" collapsed="false">
      <c r="A491" s="115" t="n">
        <v>118522.59</v>
      </c>
      <c r="B491" s="115" t="n">
        <v>118722.58</v>
      </c>
      <c r="C491" s="115" t="n">
        <v>3262.53</v>
      </c>
    </row>
    <row r="492" customFormat="false" ht="15" hidden="false" customHeight="true" outlineLevel="0" collapsed="false">
      <c r="A492" s="114" t="n">
        <v>118722.59</v>
      </c>
      <c r="B492" s="114" t="n">
        <v>118922.58</v>
      </c>
      <c r="C492" s="114" t="n">
        <v>3267.3</v>
      </c>
    </row>
    <row r="493" customFormat="false" ht="15" hidden="false" customHeight="true" outlineLevel="0" collapsed="false">
      <c r="A493" s="115" t="n">
        <v>118922.59</v>
      </c>
      <c r="B493" s="115" t="n">
        <v>119122.58</v>
      </c>
      <c r="C493" s="115" t="n">
        <v>3272.07</v>
      </c>
    </row>
    <row r="494" customFormat="false" ht="15" hidden="false" customHeight="true" outlineLevel="0" collapsed="false">
      <c r="A494" s="114" t="n">
        <v>119122.59</v>
      </c>
      <c r="B494" s="114" t="n">
        <v>119322.58</v>
      </c>
      <c r="C494" s="114" t="n">
        <v>3277.08</v>
      </c>
    </row>
    <row r="495" customFormat="false" ht="15" hidden="false" customHeight="true" outlineLevel="0" collapsed="false">
      <c r="A495" s="115" t="n">
        <v>119322.59</v>
      </c>
      <c r="B495" s="115" t="n">
        <v>119522.58</v>
      </c>
      <c r="C495" s="115" t="n">
        <v>3281.84</v>
      </c>
    </row>
    <row r="496" customFormat="false" ht="15" hidden="false" customHeight="true" outlineLevel="0" collapsed="false">
      <c r="A496" s="114" t="n">
        <v>119522.59</v>
      </c>
      <c r="B496" s="114" t="n">
        <v>119722.58</v>
      </c>
      <c r="C496" s="114" t="n">
        <v>3286.61</v>
      </c>
    </row>
    <row r="497" customFormat="false" ht="15" hidden="false" customHeight="true" outlineLevel="0" collapsed="false">
      <c r="A497" s="115" t="n">
        <v>119722.59</v>
      </c>
      <c r="B497" s="115" t="n">
        <v>119922.58</v>
      </c>
      <c r="C497" s="115" t="n">
        <v>3291.38</v>
      </c>
    </row>
    <row r="498" customFormat="false" ht="15" hidden="false" customHeight="true" outlineLevel="0" collapsed="false">
      <c r="A498" s="114" t="n">
        <v>119922.59</v>
      </c>
      <c r="B498" s="114" t="n">
        <v>120122.58</v>
      </c>
      <c r="C498" s="114" t="n">
        <v>3296.39</v>
      </c>
    </row>
    <row r="499" customFormat="false" ht="15" hidden="false" customHeight="true" outlineLevel="0" collapsed="false">
      <c r="A499" s="115" t="n">
        <v>120122.59</v>
      </c>
      <c r="B499" s="115" t="n">
        <v>120322.58</v>
      </c>
      <c r="C499" s="115" t="n">
        <v>3301.15</v>
      </c>
    </row>
    <row r="500" customFormat="false" ht="15" hidden="false" customHeight="true" outlineLevel="0" collapsed="false">
      <c r="A500" s="114" t="n">
        <v>120322.59</v>
      </c>
      <c r="B500" s="114" t="n">
        <v>120522.58</v>
      </c>
      <c r="C500" s="114" t="n">
        <v>3305.92</v>
      </c>
    </row>
    <row r="501" customFormat="false" ht="15" hidden="false" customHeight="true" outlineLevel="0" collapsed="false">
      <c r="A501" s="115" t="n">
        <v>120522.59</v>
      </c>
      <c r="B501" s="115" t="n">
        <v>120722.58</v>
      </c>
      <c r="C501" s="115" t="n">
        <v>3310.67</v>
      </c>
    </row>
    <row r="502" customFormat="false" ht="15" hidden="false" customHeight="true" outlineLevel="0" collapsed="false">
      <c r="A502" s="114" t="n">
        <v>120722.59</v>
      </c>
      <c r="B502" s="114" t="n">
        <v>120922.58</v>
      </c>
      <c r="C502" s="114" t="n">
        <v>3315.43</v>
      </c>
    </row>
    <row r="503" customFormat="false" ht="15" hidden="false" customHeight="true" outlineLevel="0" collapsed="false">
      <c r="A503" s="115" t="n">
        <v>120922.59</v>
      </c>
      <c r="B503" s="115" t="n">
        <v>121122.58</v>
      </c>
      <c r="C503" s="115" t="n">
        <v>3320.46</v>
      </c>
    </row>
    <row r="504" customFormat="false" ht="15" hidden="false" customHeight="true" outlineLevel="0" collapsed="false">
      <c r="A504" s="114" t="n">
        <v>121122.59</v>
      </c>
      <c r="B504" s="114" t="n">
        <v>121322.58</v>
      </c>
      <c r="C504" s="114" t="n">
        <v>3325.23</v>
      </c>
    </row>
    <row r="505" customFormat="false" ht="15" hidden="false" customHeight="true" outlineLevel="0" collapsed="false">
      <c r="A505" s="115" t="n">
        <v>121322.59</v>
      </c>
      <c r="B505" s="115" t="n">
        <v>121522.58</v>
      </c>
      <c r="C505" s="115" t="n">
        <v>3329.98</v>
      </c>
    </row>
    <row r="506" customFormat="false" ht="15" hidden="false" customHeight="true" outlineLevel="0" collapsed="false">
      <c r="A506" s="114" t="n">
        <v>121522.59</v>
      </c>
      <c r="B506" s="114" t="n">
        <v>121722.58</v>
      </c>
      <c r="C506" s="114" t="n">
        <v>3334.74</v>
      </c>
    </row>
    <row r="507" customFormat="false" ht="15" hidden="false" customHeight="true" outlineLevel="0" collapsed="false">
      <c r="A507" s="115" t="n">
        <v>121722.59</v>
      </c>
      <c r="B507" s="115" t="n">
        <v>121922.58</v>
      </c>
      <c r="C507" s="115" t="n">
        <v>3339.51</v>
      </c>
    </row>
    <row r="508" customFormat="false" ht="15" hidden="false" customHeight="true" outlineLevel="0" collapsed="false">
      <c r="A508" s="114" t="n">
        <v>121922.59</v>
      </c>
      <c r="B508" s="114" t="n">
        <v>122122.58</v>
      </c>
      <c r="C508" s="114" t="n">
        <v>3344.54</v>
      </c>
    </row>
    <row r="509" customFormat="false" ht="15" hidden="false" customHeight="true" outlineLevel="0" collapsed="false">
      <c r="A509" s="115" t="n">
        <v>122122.59</v>
      </c>
      <c r="B509" s="115" t="n">
        <v>122322.58</v>
      </c>
      <c r="C509" s="115" t="n">
        <v>3349.29</v>
      </c>
    </row>
    <row r="510" customFormat="false" ht="15" hidden="false" customHeight="true" outlineLevel="0" collapsed="false">
      <c r="A510" s="114" t="n">
        <v>122322.59</v>
      </c>
      <c r="B510" s="114" t="n">
        <v>122522.58</v>
      </c>
      <c r="C510" s="114" t="n">
        <v>3354.05</v>
      </c>
    </row>
    <row r="511" customFormat="false" ht="15" hidden="false" customHeight="true" outlineLevel="0" collapsed="false">
      <c r="A511" s="115" t="n">
        <v>122522.59</v>
      </c>
      <c r="B511" s="115" t="n">
        <v>122722.58</v>
      </c>
      <c r="C511" s="115" t="n">
        <v>3358.82</v>
      </c>
    </row>
    <row r="512" customFormat="false" ht="15" hidden="false" customHeight="true" outlineLevel="0" collapsed="false">
      <c r="A512" s="114" t="n">
        <v>122722.59</v>
      </c>
      <c r="B512" s="114" t="n">
        <v>122922.58</v>
      </c>
      <c r="C512" s="114" t="n">
        <v>3363.85</v>
      </c>
    </row>
    <row r="513" customFormat="false" ht="15" hidden="false" customHeight="true" outlineLevel="0" collapsed="false">
      <c r="A513" s="115" t="n">
        <v>122922.59</v>
      </c>
      <c r="B513" s="115" t="n">
        <v>123122.58</v>
      </c>
      <c r="C513" s="115" t="n">
        <v>3368.6</v>
      </c>
    </row>
    <row r="514" customFormat="false" ht="15" hidden="false" customHeight="true" outlineLevel="0" collapsed="false">
      <c r="A514" s="114" t="n">
        <v>123122.59</v>
      </c>
      <c r="B514" s="114" t="n">
        <v>123322.58</v>
      </c>
      <c r="C514" s="114" t="n">
        <v>3373.36</v>
      </c>
    </row>
    <row r="515" customFormat="false" ht="15" hidden="false" customHeight="true" outlineLevel="0" collapsed="false">
      <c r="A515" s="115" t="n">
        <v>123322.59</v>
      </c>
      <c r="B515" s="115" t="n">
        <v>123522.58</v>
      </c>
      <c r="C515" s="115" t="n">
        <v>3378.13</v>
      </c>
    </row>
    <row r="516" customFormat="false" ht="15" hidden="false" customHeight="true" outlineLevel="0" collapsed="false">
      <c r="A516" s="114" t="n">
        <v>123522.59</v>
      </c>
      <c r="B516" s="114" t="n">
        <v>123722.58</v>
      </c>
      <c r="C516" s="114" t="n">
        <v>3382.88</v>
      </c>
    </row>
    <row r="517" customFormat="false" ht="15" hidden="false" customHeight="true" outlineLevel="0" collapsed="false">
      <c r="A517" s="115" t="n">
        <v>123722.59</v>
      </c>
      <c r="B517" s="115" t="n">
        <v>123922.58</v>
      </c>
      <c r="C517" s="115" t="n">
        <v>3387.9</v>
      </c>
    </row>
    <row r="518" customFormat="false" ht="15" hidden="false" customHeight="true" outlineLevel="0" collapsed="false">
      <c r="A518" s="114" t="n">
        <v>123922.59</v>
      </c>
      <c r="B518" s="114" t="n">
        <v>124122.58</v>
      </c>
      <c r="C518" s="114" t="n">
        <v>3392.67</v>
      </c>
    </row>
    <row r="519" customFormat="false" ht="15" hidden="false" customHeight="true" outlineLevel="0" collapsed="false">
      <c r="A519" s="115" t="n">
        <v>124122.59</v>
      </c>
      <c r="B519" s="115" t="n">
        <v>124322.58</v>
      </c>
      <c r="C519" s="115" t="n">
        <v>3397.44</v>
      </c>
    </row>
    <row r="520" customFormat="false" ht="15" hidden="false" customHeight="true" outlineLevel="0" collapsed="false">
      <c r="A520" s="114" t="n">
        <v>124322.59</v>
      </c>
      <c r="B520" s="114" t="n">
        <v>124522.58</v>
      </c>
      <c r="C520" s="114" t="n">
        <v>3402.19</v>
      </c>
    </row>
    <row r="521" customFormat="false" ht="15" hidden="false" customHeight="true" outlineLevel="0" collapsed="false">
      <c r="A521" s="115" t="n">
        <v>124522.59</v>
      </c>
      <c r="B521" s="115" t="n">
        <v>124722.58</v>
      </c>
      <c r="C521" s="115" t="n">
        <v>3406.95</v>
      </c>
    </row>
    <row r="522" customFormat="false" ht="15" hidden="false" customHeight="true" outlineLevel="0" collapsed="false">
      <c r="A522" s="114" t="n">
        <v>124722.59</v>
      </c>
      <c r="B522" s="114" t="n">
        <v>124922.58</v>
      </c>
      <c r="C522" s="114" t="n">
        <v>3411.98</v>
      </c>
    </row>
    <row r="523" customFormat="false" ht="15" hidden="false" customHeight="true" outlineLevel="0" collapsed="false">
      <c r="A523" s="115" t="n">
        <v>124922.59</v>
      </c>
      <c r="B523" s="115" t="n">
        <v>125122.58</v>
      </c>
      <c r="C523" s="115" t="n">
        <v>3416.75</v>
      </c>
    </row>
    <row r="524" customFormat="false" ht="15" hidden="false" customHeight="true" outlineLevel="0" collapsed="false">
      <c r="A524" s="114" t="n">
        <v>125122.59</v>
      </c>
      <c r="B524" s="114" t="n">
        <v>125322.58</v>
      </c>
      <c r="C524" s="114" t="n">
        <v>3421.5</v>
      </c>
    </row>
    <row r="525" customFormat="false" ht="15" hidden="false" customHeight="true" outlineLevel="0" collapsed="false">
      <c r="A525" s="115" t="n">
        <v>125322.59</v>
      </c>
      <c r="B525" s="115" t="n">
        <v>125522.58</v>
      </c>
      <c r="C525" s="115" t="n">
        <v>3426.26</v>
      </c>
    </row>
    <row r="526" customFormat="false" ht="15" hidden="false" customHeight="true" outlineLevel="0" collapsed="false">
      <c r="A526" s="114" t="n">
        <v>125522.59</v>
      </c>
      <c r="B526" s="114" t="n">
        <v>125722.58</v>
      </c>
      <c r="C526" s="114" t="n">
        <v>3431.29</v>
      </c>
    </row>
    <row r="527" customFormat="false" ht="15" hidden="false" customHeight="true" outlineLevel="0" collapsed="false">
      <c r="A527" s="115" t="n">
        <v>125722.59</v>
      </c>
      <c r="B527" s="115" t="n">
        <v>125922.58</v>
      </c>
      <c r="C527" s="115" t="n">
        <v>3436.06</v>
      </c>
    </row>
    <row r="528" customFormat="false" ht="15" hidden="false" customHeight="true" outlineLevel="0" collapsed="false">
      <c r="A528" s="114" t="n">
        <v>125922.59</v>
      </c>
      <c r="B528" s="114" t="n">
        <v>126122.58</v>
      </c>
      <c r="C528" s="114" t="n">
        <v>3440.8</v>
      </c>
    </row>
    <row r="529" customFormat="false" ht="15" hidden="false" customHeight="true" outlineLevel="0" collapsed="false">
      <c r="A529" s="115" t="n">
        <v>126122.59</v>
      </c>
      <c r="B529" s="115" t="n">
        <v>126322.58</v>
      </c>
      <c r="C529" s="115" t="n">
        <v>3445.57</v>
      </c>
    </row>
    <row r="530" customFormat="false" ht="15" hidden="false" customHeight="true" outlineLevel="0" collapsed="false">
      <c r="A530" s="114" t="n">
        <v>126322.59</v>
      </c>
      <c r="B530" s="114" t="n">
        <v>126522.58</v>
      </c>
      <c r="C530" s="114" t="n">
        <v>3450.34</v>
      </c>
    </row>
    <row r="531" customFormat="false" ht="15" hidden="false" customHeight="true" outlineLevel="0" collapsed="false">
      <c r="A531" s="115" t="n">
        <v>126522.59</v>
      </c>
      <c r="B531" s="115" t="n">
        <v>126722.58</v>
      </c>
      <c r="C531" s="115" t="n">
        <v>3455.35</v>
      </c>
    </row>
    <row r="532" customFormat="false" ht="15" hidden="false" customHeight="true" outlineLevel="0" collapsed="false">
      <c r="A532" s="114" t="n">
        <v>126722.59</v>
      </c>
      <c r="B532" s="114" t="n">
        <v>126922.58</v>
      </c>
      <c r="C532" s="114" t="n">
        <v>3460.11</v>
      </c>
    </row>
    <row r="533" customFormat="false" ht="15" hidden="false" customHeight="true" outlineLevel="0" collapsed="false">
      <c r="A533" s="115" t="n">
        <v>126922.59</v>
      </c>
      <c r="B533" s="115" t="n">
        <v>127122.58</v>
      </c>
      <c r="C533" s="115" t="n">
        <v>3464.88</v>
      </c>
    </row>
    <row r="534" customFormat="false" ht="15" hidden="false" customHeight="true" outlineLevel="0" collapsed="false">
      <c r="A534" s="114" t="n">
        <v>127122.59</v>
      </c>
      <c r="B534" s="114" t="n">
        <v>127322.58</v>
      </c>
      <c r="C534" s="114" t="n">
        <v>3469.65</v>
      </c>
    </row>
    <row r="535" customFormat="false" ht="15" hidden="false" customHeight="true" outlineLevel="0" collapsed="false">
      <c r="A535" s="115" t="n">
        <v>127322.59</v>
      </c>
      <c r="B535" s="115" t="n">
        <v>127522.58</v>
      </c>
      <c r="C535" s="115" t="n">
        <v>3474.4</v>
      </c>
    </row>
    <row r="536" customFormat="false" ht="15" hidden="false" customHeight="true" outlineLevel="0" collapsed="false">
      <c r="A536" s="114" t="n">
        <v>127522.59</v>
      </c>
      <c r="B536" s="114" t="n">
        <v>127722.58</v>
      </c>
      <c r="C536" s="114" t="n">
        <v>3479.42</v>
      </c>
    </row>
    <row r="537" customFormat="false" ht="15" hidden="false" customHeight="true" outlineLevel="0" collapsed="false">
      <c r="A537" s="115" t="n">
        <v>127722.59</v>
      </c>
      <c r="B537" s="115" t="n">
        <v>127922.58</v>
      </c>
      <c r="C537" s="115" t="n">
        <v>3484.19</v>
      </c>
    </row>
    <row r="538" customFormat="false" ht="15" hidden="false" customHeight="true" outlineLevel="0" collapsed="false">
      <c r="A538" s="114" t="n">
        <v>127922.59</v>
      </c>
      <c r="B538" s="114" t="n">
        <v>128122.58</v>
      </c>
      <c r="C538" s="114" t="n">
        <v>3488.96</v>
      </c>
    </row>
    <row r="539" customFormat="false" ht="15" hidden="false" customHeight="true" outlineLevel="0" collapsed="false">
      <c r="A539" s="115" t="n">
        <v>128122.59</v>
      </c>
      <c r="B539" s="115" t="n">
        <v>128322.58</v>
      </c>
      <c r="C539" s="115" t="n">
        <v>3493.7</v>
      </c>
    </row>
    <row r="540" customFormat="false" ht="15" hidden="false" customHeight="true" outlineLevel="0" collapsed="false">
      <c r="A540" s="114" t="n">
        <v>128322.59</v>
      </c>
      <c r="B540" s="114" t="n">
        <v>128522.58</v>
      </c>
      <c r="C540" s="114" t="n">
        <v>3498.73</v>
      </c>
    </row>
    <row r="541" customFormat="false" ht="15" hidden="false" customHeight="true" outlineLevel="0" collapsed="false">
      <c r="A541" s="115" t="n">
        <v>128522.59</v>
      </c>
      <c r="B541" s="115" t="n">
        <v>128722.58</v>
      </c>
      <c r="C541" s="115" t="n">
        <v>3503.5</v>
      </c>
    </row>
    <row r="542" customFormat="false" ht="15" hidden="false" customHeight="true" outlineLevel="0" collapsed="false">
      <c r="A542" s="114" t="n">
        <v>128722.59</v>
      </c>
      <c r="B542" s="114" t="n">
        <v>128922.58</v>
      </c>
      <c r="C542" s="114" t="n">
        <v>3508.25</v>
      </c>
    </row>
    <row r="543" customFormat="false" ht="15" hidden="false" customHeight="true" outlineLevel="0" collapsed="false">
      <c r="A543" s="115" t="n">
        <v>128922.59</v>
      </c>
      <c r="B543" s="115" t="n">
        <v>129122.58</v>
      </c>
      <c r="C543" s="115" t="n">
        <v>3513.01</v>
      </c>
    </row>
    <row r="544" customFormat="false" ht="15" hidden="false" customHeight="true" outlineLevel="0" collapsed="false">
      <c r="A544" s="114" t="n">
        <v>129122.59</v>
      </c>
      <c r="B544" s="114" t="n">
        <v>129322.58</v>
      </c>
      <c r="C544" s="114" t="n">
        <v>3517.78</v>
      </c>
    </row>
    <row r="545" customFormat="false" ht="15" hidden="false" customHeight="true" outlineLevel="0" collapsed="false">
      <c r="A545" s="115" t="n">
        <v>129322.59</v>
      </c>
      <c r="B545" s="115" t="n">
        <v>129522.58</v>
      </c>
      <c r="C545" s="115" t="n">
        <v>3522.81</v>
      </c>
    </row>
    <row r="546" customFormat="false" ht="15" hidden="false" customHeight="true" outlineLevel="0" collapsed="false">
      <c r="A546" s="114" t="n">
        <v>129522.59</v>
      </c>
      <c r="B546" s="114" t="n">
        <v>129722.58</v>
      </c>
      <c r="C546" s="114" t="n">
        <v>3527.56</v>
      </c>
    </row>
    <row r="547" customFormat="false" ht="15" hidden="false" customHeight="true" outlineLevel="0" collapsed="false">
      <c r="A547" s="115" t="n">
        <v>129722.59</v>
      </c>
      <c r="B547" s="115" t="n">
        <v>129922.58</v>
      </c>
      <c r="C547" s="115" t="n">
        <v>3532.32</v>
      </c>
    </row>
    <row r="548" customFormat="false" ht="15" hidden="false" customHeight="true" outlineLevel="0" collapsed="false">
      <c r="A548" s="114" t="n">
        <v>129922.59</v>
      </c>
      <c r="B548" s="114" t="n">
        <v>130122.58</v>
      </c>
      <c r="C548" s="114" t="n">
        <v>3537.09</v>
      </c>
    </row>
    <row r="549" customFormat="false" ht="15" hidden="false" customHeight="true" outlineLevel="0" collapsed="false">
      <c r="A549" s="115" t="n">
        <v>130122.59</v>
      </c>
      <c r="B549" s="115" t="n">
        <v>130322.58</v>
      </c>
      <c r="C549" s="115" t="n">
        <v>3541.86</v>
      </c>
    </row>
    <row r="550" customFormat="false" ht="15" hidden="false" customHeight="true" outlineLevel="0" collapsed="false">
      <c r="A550" s="114" t="n">
        <v>130322.59</v>
      </c>
      <c r="B550" s="114" t="n">
        <v>130522.58</v>
      </c>
      <c r="C550" s="114" t="n">
        <v>3546.87</v>
      </c>
    </row>
    <row r="551" customFormat="false" ht="15" hidden="false" customHeight="true" outlineLevel="0" collapsed="false">
      <c r="A551" s="115" t="n">
        <v>130522.59</v>
      </c>
      <c r="B551" s="115" t="n">
        <v>130722.58</v>
      </c>
      <c r="C551" s="115" t="n">
        <v>3551.63</v>
      </c>
    </row>
    <row r="552" customFormat="false" ht="15" hidden="false" customHeight="true" outlineLevel="0" collapsed="false">
      <c r="A552" s="114" t="n">
        <v>130722.59</v>
      </c>
      <c r="B552" s="114" t="n">
        <v>130922.58</v>
      </c>
      <c r="C552" s="114" t="n">
        <v>3556.4</v>
      </c>
    </row>
    <row r="553" customFormat="false" ht="15" hidden="false" customHeight="true" outlineLevel="0" collapsed="false">
      <c r="A553" s="115" t="n">
        <v>130922.59</v>
      </c>
      <c r="B553" s="115" t="n">
        <v>131122.58</v>
      </c>
      <c r="C553" s="115" t="n">
        <v>3561.15</v>
      </c>
    </row>
    <row r="554" customFormat="false" ht="15" hidden="false" customHeight="true" outlineLevel="0" collapsed="false">
      <c r="A554" s="114" t="n">
        <v>131122.59</v>
      </c>
      <c r="B554" s="114" t="n">
        <v>131322.58</v>
      </c>
      <c r="C554" s="114" t="n">
        <v>3566.18</v>
      </c>
    </row>
    <row r="555" customFormat="false" ht="15" hidden="false" customHeight="true" outlineLevel="0" collapsed="false">
      <c r="A555" s="115" t="n">
        <v>131322.59</v>
      </c>
      <c r="B555" s="115" t="n">
        <v>131522.58</v>
      </c>
      <c r="C555" s="115" t="n">
        <v>3570.94</v>
      </c>
    </row>
    <row r="556" customFormat="false" ht="15" hidden="false" customHeight="true" outlineLevel="0" collapsed="false">
      <c r="A556" s="114" t="n">
        <v>131522.59</v>
      </c>
      <c r="B556" s="114" t="n">
        <v>131722.58</v>
      </c>
      <c r="C556" s="114" t="n">
        <v>3575.71</v>
      </c>
    </row>
    <row r="557" customFormat="false" ht="15" hidden="false" customHeight="true" outlineLevel="0" collapsed="false">
      <c r="A557" s="115" t="n">
        <v>131722.59</v>
      </c>
      <c r="B557" s="115" t="n">
        <v>131922.58</v>
      </c>
      <c r="C557" s="115" t="n">
        <v>3580.46</v>
      </c>
    </row>
    <row r="558" customFormat="false" ht="15" hidden="false" customHeight="true" outlineLevel="0" collapsed="false">
      <c r="A558" s="114" t="n">
        <v>131922.59</v>
      </c>
      <c r="B558" s="114" t="n">
        <v>132122.58</v>
      </c>
      <c r="C558" s="114" t="n">
        <v>3585.22</v>
      </c>
    </row>
    <row r="559" customFormat="false" ht="15" hidden="false" customHeight="true" outlineLevel="0" collapsed="false">
      <c r="A559" s="115" t="n">
        <v>132122.59</v>
      </c>
      <c r="B559" s="115" t="n">
        <v>132322.58</v>
      </c>
      <c r="C559" s="115" t="n">
        <v>3590.25</v>
      </c>
    </row>
    <row r="560" customFormat="false" ht="15" hidden="false" customHeight="true" outlineLevel="0" collapsed="false">
      <c r="A560" s="114" t="n">
        <v>132322.59</v>
      </c>
      <c r="B560" s="114" t="n">
        <v>132522.58</v>
      </c>
      <c r="C560" s="114" t="n">
        <v>3595.02</v>
      </c>
    </row>
    <row r="561" customFormat="false" ht="15" hidden="false" customHeight="true" outlineLevel="0" collapsed="false">
      <c r="A561" s="115" t="n">
        <v>132522.59</v>
      </c>
      <c r="B561" s="115" t="n">
        <v>999999999</v>
      </c>
      <c r="C561" s="115" t="n">
        <v>3596.4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128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163</v>
      </c>
    </row>
    <row r="3" customFormat="false" ht="15" hidden="false" customHeight="true" outlineLevel="0" collapsed="false">
      <c r="A3" s="116" t="s">
        <v>164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9524.89</v>
      </c>
      <c r="C6" s="114" t="n">
        <v>439.29</v>
      </c>
    </row>
    <row r="7" customFormat="false" ht="15" hidden="false" customHeight="true" outlineLevel="0" collapsed="false">
      <c r="A7" s="115" t="n">
        <v>9524.9</v>
      </c>
      <c r="B7" s="115" t="n">
        <v>15272.67</v>
      </c>
      <c r="C7" s="115" t="n">
        <v>667.73</v>
      </c>
    </row>
    <row r="8" customFormat="false" ht="15" hidden="false" customHeight="true" outlineLevel="0" collapsed="false">
      <c r="A8" s="114" t="n">
        <v>15272.68</v>
      </c>
      <c r="B8" s="114" t="n">
        <v>28738.89</v>
      </c>
      <c r="C8" s="114" t="n">
        <v>1370.6</v>
      </c>
    </row>
    <row r="9" customFormat="false" ht="15" hidden="false" customHeight="true" outlineLevel="0" collapsed="false">
      <c r="A9" s="115" t="n">
        <v>28738.9</v>
      </c>
      <c r="B9" s="115" t="n">
        <v>57477.78</v>
      </c>
      <c r="C9" s="115" t="n">
        <v>1845.05</v>
      </c>
    </row>
    <row r="10" customFormat="false" ht="15" hidden="false" customHeight="true" outlineLevel="0" collapsed="false">
      <c r="A10" s="114" t="n">
        <v>57477.79</v>
      </c>
      <c r="B10" s="114" t="n">
        <v>85888.21</v>
      </c>
      <c r="C10" s="114" t="n">
        <v>1932.9</v>
      </c>
    </row>
    <row r="11" customFormat="false" ht="15" hidden="false" customHeight="true" outlineLevel="0" collapsed="false">
      <c r="A11" s="115" t="n">
        <v>85888.22</v>
      </c>
      <c r="B11" s="115" t="n">
        <v>200351.09</v>
      </c>
      <c r="C11" s="115" t="n">
        <v>2020.76</v>
      </c>
    </row>
    <row r="12" customFormat="false" ht="15" hidden="false" customHeight="true" outlineLevel="0" collapsed="false">
      <c r="A12" s="114" t="n">
        <v>200351.1</v>
      </c>
      <c r="B12" s="114" t="n">
        <v>343224.42</v>
      </c>
      <c r="C12" s="114" t="n">
        <v>2196.48</v>
      </c>
    </row>
    <row r="13" customFormat="false" ht="15" hidden="false" customHeight="true" outlineLevel="0" collapsed="false">
      <c r="A13" s="115" t="n">
        <v>343224.43</v>
      </c>
      <c r="B13" s="115" t="n">
        <v>858882.16</v>
      </c>
      <c r="C13" s="115" t="n">
        <v>2372.2</v>
      </c>
    </row>
    <row r="14" customFormat="false" ht="15" hidden="false" customHeight="true" outlineLevel="0" collapsed="false">
      <c r="A14" s="114" t="n">
        <v>858882.17</v>
      </c>
      <c r="B14" s="114" t="n">
        <v>1313777.69</v>
      </c>
      <c r="C14" s="114" t="n">
        <v>2547.91</v>
      </c>
    </row>
    <row r="15" customFormat="false" ht="15" hidden="false" customHeight="true" outlineLevel="0" collapsed="false">
      <c r="A15" s="115" t="n">
        <v>1313777.7</v>
      </c>
      <c r="B15" s="115" t="n">
        <v>1806444.32</v>
      </c>
      <c r="C15" s="115" t="n">
        <v>2723.63</v>
      </c>
    </row>
    <row r="16" customFormat="false" ht="15" hidden="false" customHeight="true" outlineLevel="0" collapsed="false">
      <c r="A16" s="114" t="n">
        <v>1806444.33</v>
      </c>
      <c r="B16" s="114" t="n">
        <v>999999999</v>
      </c>
      <c r="C16" s="114" t="n">
        <v>2899.35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129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165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2500</v>
      </c>
      <c r="C5" s="115" t="n">
        <v>136.87</v>
      </c>
    </row>
    <row r="6" customFormat="false" ht="15" hidden="false" customHeight="true" outlineLevel="0" collapsed="false">
      <c r="A6" s="114" t="n">
        <v>2500.01</v>
      </c>
      <c r="B6" s="114" t="n">
        <v>5000</v>
      </c>
      <c r="C6" s="114" t="n">
        <v>196.76</v>
      </c>
    </row>
    <row r="7" customFormat="false" ht="15" hidden="false" customHeight="true" outlineLevel="0" collapsed="false">
      <c r="A7" s="115" t="n">
        <v>5000.01</v>
      </c>
      <c r="B7" s="115" t="n">
        <v>10000</v>
      </c>
      <c r="C7" s="115" t="n">
        <v>325.09</v>
      </c>
    </row>
    <row r="8" customFormat="false" ht="15" hidden="false" customHeight="true" outlineLevel="0" collapsed="false">
      <c r="A8" s="114" t="n">
        <v>10000.01</v>
      </c>
      <c r="B8" s="114" t="n">
        <v>15000</v>
      </c>
      <c r="C8" s="114" t="n">
        <v>496.19</v>
      </c>
    </row>
    <row r="9" customFormat="false" ht="15" hidden="false" customHeight="true" outlineLevel="0" collapsed="false">
      <c r="A9" s="115" t="n">
        <v>15000.01</v>
      </c>
      <c r="B9" s="115" t="n">
        <v>20000</v>
      </c>
      <c r="C9" s="115" t="n">
        <v>667.29</v>
      </c>
    </row>
    <row r="10" customFormat="false" ht="15" hidden="false" customHeight="true" outlineLevel="0" collapsed="false">
      <c r="A10" s="114" t="n">
        <v>20000.01</v>
      </c>
      <c r="B10" s="114" t="n">
        <v>25000</v>
      </c>
      <c r="C10" s="114" t="n">
        <v>838.38</v>
      </c>
    </row>
    <row r="11" customFormat="false" ht="15" hidden="false" customHeight="true" outlineLevel="0" collapsed="false">
      <c r="A11" s="115" t="n">
        <v>25000.01</v>
      </c>
      <c r="B11" s="115" t="n">
        <v>30000</v>
      </c>
      <c r="C11" s="115" t="n">
        <v>1009.48</v>
      </c>
    </row>
    <row r="12" customFormat="false" ht="15" hidden="false" customHeight="true" outlineLevel="0" collapsed="false">
      <c r="A12" s="114" t="n">
        <v>30000.01</v>
      </c>
      <c r="B12" s="114" t="n">
        <v>40000</v>
      </c>
      <c r="C12" s="114" t="n">
        <v>1351.69</v>
      </c>
    </row>
    <row r="13" customFormat="false" ht="15" hidden="false" customHeight="true" outlineLevel="0" collapsed="false">
      <c r="A13" s="115" t="n">
        <v>40000.01</v>
      </c>
      <c r="B13" s="115" t="n">
        <v>50000</v>
      </c>
      <c r="C13" s="115" t="n">
        <v>1693.87</v>
      </c>
    </row>
    <row r="14" customFormat="false" ht="15" hidden="false" customHeight="true" outlineLevel="0" collapsed="false">
      <c r="A14" s="114" t="n">
        <v>50000.01</v>
      </c>
      <c r="B14" s="114" t="n">
        <v>60000</v>
      </c>
      <c r="C14" s="114" t="n">
        <v>2036.07</v>
      </c>
    </row>
    <row r="15" customFormat="false" ht="15" hidden="false" customHeight="true" outlineLevel="0" collapsed="false">
      <c r="A15" s="115" t="n">
        <v>60000.01</v>
      </c>
      <c r="B15" s="115" t="n">
        <v>70000</v>
      </c>
      <c r="C15" s="115" t="n">
        <v>2378.26</v>
      </c>
    </row>
    <row r="16" customFormat="false" ht="15" hidden="false" customHeight="true" outlineLevel="0" collapsed="false">
      <c r="A16" s="114" t="n">
        <v>70000.01</v>
      </c>
      <c r="B16" s="114" t="n">
        <v>80000</v>
      </c>
      <c r="C16" s="114" t="n">
        <v>2720.46</v>
      </c>
    </row>
    <row r="17" customFormat="false" ht="15" hidden="false" customHeight="true" outlineLevel="0" collapsed="false">
      <c r="A17" s="115" t="n">
        <v>80000.01</v>
      </c>
      <c r="B17" s="115" t="n">
        <v>90000</v>
      </c>
      <c r="C17" s="115" t="n">
        <v>3062.66</v>
      </c>
    </row>
    <row r="18" customFormat="false" ht="15" hidden="false" customHeight="true" outlineLevel="0" collapsed="false">
      <c r="A18" s="114" t="n">
        <v>90000.01</v>
      </c>
      <c r="B18" s="114" t="n">
        <v>100000</v>
      </c>
      <c r="C18" s="114" t="n">
        <v>3404.84</v>
      </c>
    </row>
    <row r="19" customFormat="false" ht="15" hidden="false" customHeight="true" outlineLevel="0" collapsed="false">
      <c r="A19" s="115" t="n">
        <v>100000.01</v>
      </c>
      <c r="B19" s="115" t="n">
        <v>120000</v>
      </c>
      <c r="C19" s="115" t="n">
        <v>4089.23</v>
      </c>
    </row>
    <row r="20" customFormat="false" ht="15" hidden="false" customHeight="true" outlineLevel="0" collapsed="false">
      <c r="A20" s="114" t="n">
        <v>120000.01</v>
      </c>
      <c r="B20" s="114" t="n">
        <v>140000</v>
      </c>
      <c r="C20" s="114" t="n">
        <v>4688.06</v>
      </c>
    </row>
    <row r="21" customFormat="false" ht="15" hidden="false" customHeight="true" outlineLevel="0" collapsed="false">
      <c r="A21" s="115" t="n">
        <v>140000.01</v>
      </c>
      <c r="B21" s="115" t="n">
        <v>160000</v>
      </c>
      <c r="C21" s="115" t="n">
        <v>5372.47</v>
      </c>
    </row>
    <row r="22" customFormat="false" ht="15" hidden="false" customHeight="true" outlineLevel="0" collapsed="false">
      <c r="A22" s="114" t="n">
        <v>160000.01</v>
      </c>
      <c r="B22" s="114" t="n">
        <v>180000</v>
      </c>
      <c r="C22" s="114" t="n">
        <v>6056.84</v>
      </c>
    </row>
    <row r="23" customFormat="false" ht="15" hidden="false" customHeight="true" outlineLevel="0" collapsed="false">
      <c r="A23" s="115" t="n">
        <v>180000.01</v>
      </c>
      <c r="B23" s="115" t="n">
        <v>200000</v>
      </c>
      <c r="C23" s="115" t="n">
        <v>6570.16</v>
      </c>
    </row>
    <row r="24" customFormat="false" ht="15" hidden="false" customHeight="true" outlineLevel="0" collapsed="false">
      <c r="A24" s="114" t="n">
        <v>200000.01</v>
      </c>
      <c r="B24" s="114" t="n">
        <v>999999999</v>
      </c>
      <c r="C24" s="114" t="n">
        <v>7254.52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130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166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653.8</v>
      </c>
      <c r="C5" s="115" t="n">
        <v>253.93</v>
      </c>
    </row>
    <row r="6" customFormat="false" ht="15" hidden="false" customHeight="true" outlineLevel="0" collapsed="false">
      <c r="A6" s="114" t="n">
        <v>653.81</v>
      </c>
      <c r="B6" s="114" t="n">
        <v>1307.62</v>
      </c>
      <c r="C6" s="114" t="n">
        <v>326.18</v>
      </c>
    </row>
    <row r="7" customFormat="false" ht="15" hidden="false" customHeight="true" outlineLevel="0" collapsed="false">
      <c r="A7" s="115" t="n">
        <v>1307.63</v>
      </c>
      <c r="B7" s="115" t="n">
        <v>2615.24</v>
      </c>
      <c r="C7" s="115" t="n">
        <v>399.92</v>
      </c>
    </row>
    <row r="8" customFormat="false" ht="15" hidden="false" customHeight="true" outlineLevel="0" collapsed="false">
      <c r="A8" s="114" t="n">
        <v>2615.25</v>
      </c>
      <c r="B8" s="114" t="n">
        <v>5230.47</v>
      </c>
      <c r="C8" s="114" t="n">
        <v>513.9</v>
      </c>
    </row>
    <row r="9" customFormat="false" ht="15" hidden="false" customHeight="true" outlineLevel="0" collapsed="false">
      <c r="A9" s="115" t="n">
        <v>5230.48</v>
      </c>
      <c r="B9" s="115" t="n">
        <v>10460.94</v>
      </c>
      <c r="C9" s="115" t="n">
        <v>910.72</v>
      </c>
    </row>
    <row r="10" customFormat="false" ht="15" hidden="false" customHeight="true" outlineLevel="0" collapsed="false">
      <c r="A10" s="114" t="n">
        <v>10460.95</v>
      </c>
      <c r="B10" s="114" t="n">
        <v>15691.43</v>
      </c>
      <c r="C10" s="114" t="n">
        <v>966.38</v>
      </c>
    </row>
    <row r="11" customFormat="false" ht="15" hidden="false" customHeight="true" outlineLevel="0" collapsed="false">
      <c r="A11" s="115" t="n">
        <v>15691.44</v>
      </c>
      <c r="B11" s="115" t="n">
        <v>26152.37</v>
      </c>
      <c r="C11" s="115" t="n">
        <v>1193.71</v>
      </c>
    </row>
    <row r="12" customFormat="false" ht="15" hidden="false" customHeight="true" outlineLevel="0" collapsed="false">
      <c r="A12" s="114" t="n">
        <v>26152.38</v>
      </c>
      <c r="B12" s="114" t="n">
        <v>39228.54</v>
      </c>
      <c r="C12" s="114" t="n">
        <v>1478.98</v>
      </c>
    </row>
    <row r="13" customFormat="false" ht="15" hidden="false" customHeight="true" outlineLevel="0" collapsed="false">
      <c r="A13" s="115" t="n">
        <v>39228.55</v>
      </c>
      <c r="B13" s="115" t="n">
        <v>52304.74</v>
      </c>
      <c r="C13" s="115" t="n">
        <v>1905.98</v>
      </c>
    </row>
    <row r="14" customFormat="false" ht="15" hidden="false" customHeight="true" outlineLevel="0" collapsed="false">
      <c r="A14" s="114" t="n">
        <v>52304.75</v>
      </c>
      <c r="B14" s="114" t="n">
        <v>65380.92</v>
      </c>
      <c r="C14" s="114" t="n">
        <v>2276.96</v>
      </c>
    </row>
    <row r="15" customFormat="false" ht="15" hidden="false" customHeight="true" outlineLevel="0" collapsed="false">
      <c r="A15" s="115" t="n">
        <v>65380.93</v>
      </c>
      <c r="B15" s="115" t="n">
        <v>104609.47</v>
      </c>
      <c r="C15" s="115" t="n">
        <v>2956.62</v>
      </c>
    </row>
    <row r="16" customFormat="false" ht="15" hidden="false" customHeight="true" outlineLevel="0" collapsed="false">
      <c r="A16" s="114" t="n">
        <v>104609.48</v>
      </c>
      <c r="B16" s="114" t="n">
        <v>156914.21</v>
      </c>
      <c r="C16" s="114" t="n">
        <v>4176.22</v>
      </c>
    </row>
    <row r="17" customFormat="false" ht="15" hidden="false" customHeight="true" outlineLevel="0" collapsed="false">
      <c r="A17" s="115" t="n">
        <v>156914.22</v>
      </c>
      <c r="B17" s="115" t="n">
        <v>172643.46</v>
      </c>
      <c r="C17" s="115" t="n">
        <v>5322.62</v>
      </c>
    </row>
    <row r="18" customFormat="false" ht="15" hidden="false" customHeight="true" outlineLevel="0" collapsed="false">
      <c r="A18" s="114" t="n">
        <v>172643.47</v>
      </c>
      <c r="B18" s="114" t="n">
        <v>261523.68</v>
      </c>
      <c r="C18" s="114" t="n">
        <v>5380.13</v>
      </c>
    </row>
    <row r="19" customFormat="false" ht="15" hidden="false" customHeight="true" outlineLevel="0" collapsed="false">
      <c r="A19" s="115" t="n">
        <v>261523.69</v>
      </c>
      <c r="B19" s="115" t="n">
        <v>287739.06</v>
      </c>
      <c r="C19" s="115" t="n">
        <v>6326.55</v>
      </c>
    </row>
    <row r="20" customFormat="false" ht="15" hidden="false" customHeight="true" outlineLevel="0" collapsed="false">
      <c r="A20" s="114" t="n">
        <v>287739.07</v>
      </c>
      <c r="B20" s="114" t="n">
        <v>392285.51</v>
      </c>
      <c r="C20" s="114" t="n">
        <v>6442.16</v>
      </c>
    </row>
    <row r="21" customFormat="false" ht="15" hidden="false" customHeight="true" outlineLevel="0" collapsed="false">
      <c r="A21" s="115" t="n">
        <v>392285.52</v>
      </c>
      <c r="B21" s="115" t="n">
        <v>523047.35</v>
      </c>
      <c r="C21" s="115" t="n">
        <v>7388.58</v>
      </c>
    </row>
    <row r="22" customFormat="false" ht="15" hidden="false" customHeight="true" outlineLevel="0" collapsed="false">
      <c r="A22" s="114" t="n">
        <v>523047.36</v>
      </c>
      <c r="B22" s="114" t="n">
        <v>575478.22</v>
      </c>
      <c r="C22" s="114" t="n">
        <v>7865.9</v>
      </c>
    </row>
    <row r="23" customFormat="false" ht="15" hidden="false" customHeight="true" outlineLevel="0" collapsed="false">
      <c r="A23" s="115" t="n">
        <v>575478.23</v>
      </c>
      <c r="B23" s="115" t="n">
        <v>999999999</v>
      </c>
      <c r="C23" s="115" t="n">
        <v>8211.51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131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167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7396.72</v>
      </c>
      <c r="C5" s="115" t="n">
        <v>167.52</v>
      </c>
    </row>
    <row r="6" customFormat="false" ht="15" hidden="false" customHeight="true" outlineLevel="0" collapsed="false">
      <c r="A6" s="114" t="n">
        <v>7396.73</v>
      </c>
      <c r="B6" s="114" t="n">
        <v>11538.86</v>
      </c>
      <c r="C6" s="114" t="n">
        <v>209.47</v>
      </c>
    </row>
    <row r="7" customFormat="false" ht="15" hidden="false" customHeight="true" outlineLevel="0" collapsed="false">
      <c r="A7" s="115" t="n">
        <v>11538.87</v>
      </c>
      <c r="B7" s="115" t="n">
        <v>14423.58</v>
      </c>
      <c r="C7" s="115" t="n">
        <v>236.81</v>
      </c>
    </row>
    <row r="8" customFormat="false" ht="15" hidden="false" customHeight="true" outlineLevel="0" collapsed="false">
      <c r="A8" s="114" t="n">
        <v>14423.59</v>
      </c>
      <c r="B8" s="114" t="n">
        <v>18029.47</v>
      </c>
      <c r="C8" s="114" t="n">
        <v>296.05</v>
      </c>
    </row>
    <row r="9" customFormat="false" ht="15" hidden="false" customHeight="true" outlineLevel="0" collapsed="false">
      <c r="A9" s="115" t="n">
        <v>18029.48</v>
      </c>
      <c r="B9" s="115" t="n">
        <v>22536.85</v>
      </c>
      <c r="C9" s="115" t="n">
        <v>368.36</v>
      </c>
    </row>
    <row r="10" customFormat="false" ht="15" hidden="false" customHeight="true" outlineLevel="0" collapsed="false">
      <c r="A10" s="114" t="n">
        <v>22536.86</v>
      </c>
      <c r="B10" s="114" t="n">
        <v>28171.04</v>
      </c>
      <c r="C10" s="114" t="n">
        <v>459.97</v>
      </c>
    </row>
    <row r="11" customFormat="false" ht="15" hidden="false" customHeight="true" outlineLevel="0" collapsed="false">
      <c r="A11" s="115" t="n">
        <v>28171.05</v>
      </c>
      <c r="B11" s="115" t="n">
        <v>35213.8</v>
      </c>
      <c r="C11" s="115" t="n">
        <v>575.45</v>
      </c>
    </row>
    <row r="12" customFormat="false" ht="15" hidden="false" customHeight="true" outlineLevel="0" collapsed="false">
      <c r="A12" s="114" t="n">
        <v>35213.81</v>
      </c>
      <c r="B12" s="114" t="n">
        <v>44017.25</v>
      </c>
      <c r="C12" s="114" t="n">
        <v>720.99</v>
      </c>
    </row>
    <row r="13" customFormat="false" ht="15" hidden="false" customHeight="true" outlineLevel="0" collapsed="false">
      <c r="A13" s="115" t="n">
        <v>44017.26</v>
      </c>
      <c r="B13" s="115" t="n">
        <v>55021.55</v>
      </c>
      <c r="C13" s="115" t="n">
        <v>901.39</v>
      </c>
    </row>
    <row r="14" customFormat="false" ht="15" hidden="false" customHeight="true" outlineLevel="0" collapsed="false">
      <c r="A14" s="114" t="n">
        <v>55021.56</v>
      </c>
      <c r="B14" s="114" t="n">
        <v>68776.92</v>
      </c>
      <c r="C14" s="114" t="n">
        <v>1124.85</v>
      </c>
    </row>
    <row r="15" customFormat="false" ht="15" hidden="false" customHeight="true" outlineLevel="0" collapsed="false">
      <c r="A15" s="115" t="n">
        <v>68776.93</v>
      </c>
      <c r="B15" s="115" t="n">
        <v>85971.18</v>
      </c>
      <c r="C15" s="115" t="n">
        <v>1407.25</v>
      </c>
    </row>
    <row r="16" customFormat="false" ht="15" hidden="false" customHeight="true" outlineLevel="0" collapsed="false">
      <c r="A16" s="114" t="n">
        <v>85971.19</v>
      </c>
      <c r="B16" s="114" t="n">
        <v>107463.97</v>
      </c>
      <c r="C16" s="114" t="n">
        <v>1759.88</v>
      </c>
    </row>
    <row r="17" customFormat="false" ht="15" hidden="false" customHeight="true" outlineLevel="0" collapsed="false">
      <c r="A17" s="115" t="n">
        <v>107463.98</v>
      </c>
      <c r="B17" s="115" t="n">
        <v>134329.95</v>
      </c>
      <c r="C17" s="115" t="n">
        <v>2198.01</v>
      </c>
    </row>
    <row r="18" customFormat="false" ht="15" hidden="false" customHeight="true" outlineLevel="0" collapsed="false">
      <c r="A18" s="114" t="n">
        <v>134329.96</v>
      </c>
      <c r="B18" s="114" t="n">
        <v>167912.43</v>
      </c>
      <c r="C18" s="114" t="n">
        <v>2749.9</v>
      </c>
    </row>
    <row r="19" customFormat="false" ht="15" hidden="false" customHeight="true" outlineLevel="0" collapsed="false">
      <c r="A19" s="115" t="n">
        <v>167912.44</v>
      </c>
      <c r="B19" s="115" t="n">
        <v>209890.56</v>
      </c>
      <c r="C19" s="115" t="n">
        <v>3436.18</v>
      </c>
    </row>
    <row r="20" customFormat="false" ht="15" hidden="false" customHeight="true" outlineLevel="0" collapsed="false">
      <c r="A20" s="114" t="n">
        <v>209890.57</v>
      </c>
      <c r="B20" s="114" t="n">
        <v>262363.19</v>
      </c>
      <c r="C20" s="114" t="n">
        <v>4293.87</v>
      </c>
    </row>
    <row r="21" customFormat="false" ht="15" hidden="false" customHeight="true" outlineLevel="0" collapsed="false">
      <c r="A21" s="115" t="n">
        <v>262363.2</v>
      </c>
      <c r="B21" s="115" t="n">
        <v>327953.98</v>
      </c>
      <c r="C21" s="115" t="n">
        <v>5367.33</v>
      </c>
    </row>
    <row r="22" customFormat="false" ht="15" hidden="false" customHeight="true" outlineLevel="0" collapsed="false">
      <c r="A22" s="114" t="n">
        <v>327953.99</v>
      </c>
      <c r="B22" s="114" t="n">
        <v>409942.47</v>
      </c>
      <c r="C22" s="114" t="n">
        <v>6710.31</v>
      </c>
    </row>
    <row r="23" customFormat="false" ht="15" hidden="false" customHeight="true" outlineLevel="0" collapsed="false">
      <c r="A23" s="115" t="n">
        <v>409942.48</v>
      </c>
      <c r="B23" s="115" t="n">
        <v>512428.12</v>
      </c>
      <c r="C23" s="115" t="n">
        <v>8388.96</v>
      </c>
    </row>
    <row r="24" customFormat="false" ht="15" hidden="false" customHeight="true" outlineLevel="0" collapsed="false">
      <c r="A24" s="114" t="n">
        <v>512428.13</v>
      </c>
      <c r="B24" s="114" t="n">
        <v>999999999</v>
      </c>
      <c r="C24" s="114" t="n">
        <v>17299.63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132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168</v>
      </c>
    </row>
    <row r="3" customFormat="false" ht="15" hidden="false" customHeight="true" outlineLevel="0" collapsed="false">
      <c r="A3" s="116" t="s">
        <v>169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5353.45</v>
      </c>
      <c r="C6" s="114" t="n">
        <v>300.65</v>
      </c>
    </row>
    <row r="7" customFormat="false" ht="15" hidden="false" customHeight="true" outlineLevel="0" collapsed="false">
      <c r="A7" s="115" t="n">
        <v>5353.46</v>
      </c>
      <c r="B7" s="115" t="n">
        <v>999999999</v>
      </c>
      <c r="C7" s="115" t="n">
        <v>6948.45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133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170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0.01</v>
      </c>
      <c r="B5" s="115" t="n">
        <v>5000</v>
      </c>
      <c r="C5" s="115" t="n">
        <v>213.16</v>
      </c>
    </row>
    <row r="6" customFormat="false" ht="15" hidden="false" customHeight="true" outlineLevel="0" collapsed="false">
      <c r="A6" s="114" t="n">
        <v>5000.01</v>
      </c>
      <c r="B6" s="114" t="n">
        <v>10000</v>
      </c>
      <c r="C6" s="114" t="n">
        <v>312.14</v>
      </c>
    </row>
    <row r="7" customFormat="false" ht="15" hidden="false" customHeight="true" outlineLevel="0" collapsed="false">
      <c r="A7" s="115" t="n">
        <v>10000.01</v>
      </c>
      <c r="B7" s="115" t="n">
        <v>15000</v>
      </c>
      <c r="C7" s="115" t="n">
        <v>457.96</v>
      </c>
    </row>
    <row r="8" customFormat="false" ht="15" hidden="false" customHeight="true" outlineLevel="0" collapsed="false">
      <c r="A8" s="114" t="n">
        <v>15000.01</v>
      </c>
      <c r="B8" s="114" t="n">
        <v>20000</v>
      </c>
      <c r="C8" s="114" t="n">
        <v>614.63</v>
      </c>
    </row>
    <row r="9" customFormat="false" ht="15" hidden="false" customHeight="true" outlineLevel="0" collapsed="false">
      <c r="A9" s="115" t="n">
        <v>20000.01</v>
      </c>
      <c r="B9" s="115" t="n">
        <v>25000</v>
      </c>
      <c r="C9" s="115" t="n">
        <v>771.3</v>
      </c>
    </row>
    <row r="10" customFormat="false" ht="15" hidden="false" customHeight="true" outlineLevel="0" collapsed="false">
      <c r="A10" s="114" t="n">
        <v>25000.01</v>
      </c>
      <c r="B10" s="114" t="n">
        <v>30000</v>
      </c>
      <c r="C10" s="114" t="n">
        <v>915.92</v>
      </c>
    </row>
    <row r="11" customFormat="false" ht="15" hidden="false" customHeight="true" outlineLevel="0" collapsed="false">
      <c r="A11" s="115" t="n">
        <v>30000.01</v>
      </c>
      <c r="B11" s="115" t="n">
        <v>35000</v>
      </c>
      <c r="C11" s="115" t="n">
        <v>1078.61</v>
      </c>
    </row>
    <row r="12" customFormat="false" ht="15" hidden="false" customHeight="true" outlineLevel="0" collapsed="false">
      <c r="A12" s="114" t="n">
        <v>35000.01</v>
      </c>
      <c r="B12" s="114" t="n">
        <v>40000</v>
      </c>
      <c r="C12" s="114" t="n">
        <v>1229.26</v>
      </c>
    </row>
    <row r="13" customFormat="false" ht="15" hidden="false" customHeight="true" outlineLevel="0" collapsed="false">
      <c r="A13" s="115" t="n">
        <v>40000.01</v>
      </c>
      <c r="B13" s="115" t="n">
        <v>50000</v>
      </c>
      <c r="C13" s="115" t="n">
        <v>1542.6</v>
      </c>
    </row>
    <row r="14" customFormat="false" ht="15" hidden="false" customHeight="true" outlineLevel="0" collapsed="false">
      <c r="A14" s="114" t="n">
        <v>50000.01</v>
      </c>
      <c r="B14" s="114" t="n">
        <v>60000</v>
      </c>
      <c r="C14" s="114" t="n">
        <v>1831.84</v>
      </c>
    </row>
    <row r="15" customFormat="false" ht="15" hidden="false" customHeight="true" outlineLevel="0" collapsed="false">
      <c r="A15" s="115" t="n">
        <v>60000.01</v>
      </c>
      <c r="B15" s="115" t="n">
        <v>70000</v>
      </c>
      <c r="C15" s="115" t="n">
        <v>2157.23</v>
      </c>
    </row>
    <row r="16" customFormat="false" ht="15" hidden="false" customHeight="true" outlineLevel="0" collapsed="false">
      <c r="A16" s="114" t="n">
        <v>70000.01</v>
      </c>
      <c r="B16" s="114" t="n">
        <v>80000</v>
      </c>
      <c r="C16" s="114" t="n">
        <v>2458.52</v>
      </c>
    </row>
    <row r="17" customFormat="false" ht="15" hidden="false" customHeight="true" outlineLevel="0" collapsed="false">
      <c r="A17" s="115" t="n">
        <v>80000.01</v>
      </c>
      <c r="B17" s="115" t="n">
        <v>90000</v>
      </c>
      <c r="C17" s="115" t="n">
        <v>2765.83</v>
      </c>
    </row>
    <row r="18" customFormat="false" ht="15" hidden="false" customHeight="true" outlineLevel="0" collapsed="false">
      <c r="A18" s="114" t="n">
        <v>90000.01</v>
      </c>
      <c r="B18" s="114" t="n">
        <v>100000</v>
      </c>
      <c r="C18" s="114" t="n">
        <v>3073.15</v>
      </c>
    </row>
    <row r="19" customFormat="false" ht="15" hidden="false" customHeight="true" outlineLevel="0" collapsed="false">
      <c r="A19" s="115" t="n">
        <v>100000.01</v>
      </c>
      <c r="B19" s="115" t="n">
        <v>120000</v>
      </c>
      <c r="C19" s="115" t="n">
        <v>3705.85</v>
      </c>
    </row>
    <row r="20" customFormat="false" ht="15" hidden="false" customHeight="true" outlineLevel="0" collapsed="false">
      <c r="A20" s="114" t="n">
        <v>120000.01</v>
      </c>
      <c r="B20" s="114" t="n">
        <v>150000</v>
      </c>
      <c r="C20" s="114" t="n">
        <v>3977.01</v>
      </c>
    </row>
    <row r="21" customFormat="false" ht="15" hidden="false" customHeight="true" outlineLevel="0" collapsed="false">
      <c r="A21" s="115" t="n">
        <v>150000.01</v>
      </c>
      <c r="B21" s="115" t="n">
        <v>200000</v>
      </c>
      <c r="C21" s="115" t="n">
        <v>4748.31</v>
      </c>
    </row>
    <row r="22" customFormat="false" ht="15" hidden="false" customHeight="true" outlineLevel="0" collapsed="false">
      <c r="A22" s="114" t="n">
        <v>200000.01</v>
      </c>
      <c r="B22" s="114" t="n">
        <v>250000</v>
      </c>
      <c r="C22" s="114" t="n">
        <v>6146.3</v>
      </c>
    </row>
    <row r="23" customFormat="false" ht="15" hidden="false" customHeight="true" outlineLevel="0" collapsed="false">
      <c r="A23" s="115" t="n">
        <v>250000.01</v>
      </c>
      <c r="B23" s="115" t="n">
        <v>300000</v>
      </c>
      <c r="C23" s="115" t="n">
        <v>7026.06</v>
      </c>
    </row>
    <row r="24" customFormat="false" ht="15" hidden="false" customHeight="true" outlineLevel="0" collapsed="false">
      <c r="A24" s="114" t="n">
        <v>300000.01</v>
      </c>
      <c r="B24" s="114" t="n">
        <v>400000</v>
      </c>
      <c r="C24" s="114" t="n">
        <v>7785.31</v>
      </c>
    </row>
    <row r="25" customFormat="false" ht="15" hidden="false" customHeight="true" outlineLevel="0" collapsed="false">
      <c r="A25" s="115" t="n">
        <v>400000.01</v>
      </c>
      <c r="B25" s="115" t="n">
        <v>500000</v>
      </c>
      <c r="C25" s="115" t="n">
        <v>8219.16</v>
      </c>
    </row>
    <row r="26" customFormat="false" ht="15" hidden="false" customHeight="true" outlineLevel="0" collapsed="false">
      <c r="A26" s="114" t="n">
        <v>500000.01</v>
      </c>
      <c r="B26" s="114" t="n">
        <v>700000</v>
      </c>
      <c r="C26" s="114" t="n">
        <v>8497.14</v>
      </c>
    </row>
    <row r="27" customFormat="false" ht="15" hidden="false" customHeight="true" outlineLevel="0" collapsed="false">
      <c r="A27" s="115" t="n">
        <v>700000.01</v>
      </c>
      <c r="B27" s="115" t="n">
        <v>1000000</v>
      </c>
      <c r="C27" s="115" t="n">
        <v>8842.7</v>
      </c>
    </row>
    <row r="28" customFormat="false" ht="15" hidden="false" customHeight="true" outlineLevel="0" collapsed="false">
      <c r="A28" s="114" t="n">
        <v>1000000.01</v>
      </c>
      <c r="B28" s="114" t="n">
        <v>999999999</v>
      </c>
      <c r="C28" s="114" t="n">
        <v>9641.25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134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171</v>
      </c>
    </row>
    <row r="3" customFormat="false" ht="15" hidden="false" customHeight="true" outlineLevel="0" collapsed="false">
      <c r="A3" s="116" t="s">
        <v>172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1400</v>
      </c>
      <c r="C6" s="114" t="n">
        <v>220.55</v>
      </c>
    </row>
    <row r="7" customFormat="false" ht="15" hidden="false" customHeight="true" outlineLevel="0" collapsed="false">
      <c r="A7" s="115" t="n">
        <v>1400.01</v>
      </c>
      <c r="B7" s="115" t="n">
        <v>2720</v>
      </c>
      <c r="C7" s="115" t="n">
        <v>359.76</v>
      </c>
    </row>
    <row r="8" customFormat="false" ht="15" hidden="false" customHeight="true" outlineLevel="0" collapsed="false">
      <c r="A8" s="114" t="n">
        <v>2720.01</v>
      </c>
      <c r="B8" s="114" t="n">
        <v>5440</v>
      </c>
      <c r="C8" s="114" t="n">
        <v>521.35</v>
      </c>
    </row>
    <row r="9" customFormat="false" ht="15" hidden="false" customHeight="true" outlineLevel="0" collapsed="false">
      <c r="A9" s="115" t="n">
        <v>5440.01</v>
      </c>
      <c r="B9" s="115" t="n">
        <v>7000</v>
      </c>
      <c r="C9" s="115" t="n">
        <v>721.75</v>
      </c>
    </row>
    <row r="10" customFormat="false" ht="15" hidden="false" customHeight="true" outlineLevel="0" collapsed="false">
      <c r="A10" s="114" t="n">
        <v>7000.01</v>
      </c>
      <c r="B10" s="114" t="n">
        <v>14000</v>
      </c>
      <c r="C10" s="114" t="n">
        <v>962.47</v>
      </c>
    </row>
    <row r="11" customFormat="false" ht="15" hidden="false" customHeight="true" outlineLevel="0" collapsed="false">
      <c r="A11" s="115" t="n">
        <v>14000.01</v>
      </c>
      <c r="B11" s="115" t="n">
        <v>28000</v>
      </c>
      <c r="C11" s="115" t="n">
        <v>1243.47</v>
      </c>
    </row>
    <row r="12" customFormat="false" ht="15" hidden="false" customHeight="true" outlineLevel="0" collapsed="false">
      <c r="A12" s="114" t="n">
        <v>28000.01</v>
      </c>
      <c r="B12" s="114" t="n">
        <v>42000</v>
      </c>
      <c r="C12" s="114" t="n">
        <v>1564.07</v>
      </c>
    </row>
    <row r="13" customFormat="false" ht="15" hidden="false" customHeight="true" outlineLevel="0" collapsed="false">
      <c r="A13" s="115" t="n">
        <v>42000.01</v>
      </c>
      <c r="B13" s="115" t="n">
        <v>56000</v>
      </c>
      <c r="C13" s="115" t="n">
        <v>1925.31</v>
      </c>
    </row>
    <row r="14" customFormat="false" ht="15" hidden="false" customHeight="true" outlineLevel="0" collapsed="false">
      <c r="A14" s="114" t="n">
        <v>56000.01</v>
      </c>
      <c r="B14" s="114" t="n">
        <v>70000</v>
      </c>
      <c r="C14" s="114" t="n">
        <v>2326.51</v>
      </c>
    </row>
    <row r="15" customFormat="false" ht="15" hidden="false" customHeight="true" outlineLevel="0" collapsed="false">
      <c r="A15" s="115" t="n">
        <v>70000.01</v>
      </c>
      <c r="B15" s="115" t="n">
        <v>105000</v>
      </c>
      <c r="C15" s="115" t="n">
        <v>2928.06</v>
      </c>
    </row>
    <row r="16" customFormat="false" ht="15" hidden="false" customHeight="true" outlineLevel="0" collapsed="false">
      <c r="A16" s="114" t="n">
        <v>105000.01</v>
      </c>
      <c r="B16" s="114" t="n">
        <v>140000</v>
      </c>
      <c r="C16" s="114" t="n">
        <v>3721.52</v>
      </c>
    </row>
    <row r="17" customFormat="false" ht="15" hidden="false" customHeight="true" outlineLevel="0" collapsed="false">
      <c r="A17" s="115" t="n">
        <v>140000.01</v>
      </c>
      <c r="B17" s="115" t="n">
        <v>175000</v>
      </c>
      <c r="C17" s="115" t="n">
        <v>3979.69</v>
      </c>
    </row>
    <row r="18" customFormat="false" ht="15" hidden="false" customHeight="true" outlineLevel="0" collapsed="false">
      <c r="A18" s="114" t="n">
        <v>175000.01</v>
      </c>
      <c r="B18" s="114" t="n">
        <v>210000</v>
      </c>
      <c r="C18" s="114" t="n">
        <v>4238.32</v>
      </c>
    </row>
    <row r="19" customFormat="false" ht="15" hidden="false" customHeight="true" outlineLevel="0" collapsed="false">
      <c r="A19" s="115" t="n">
        <v>210000.01</v>
      </c>
      <c r="B19" s="115" t="n">
        <v>280000</v>
      </c>
      <c r="C19" s="115" t="n">
        <v>4772.07</v>
      </c>
    </row>
    <row r="20" customFormat="false" ht="15" hidden="false" customHeight="true" outlineLevel="0" collapsed="false">
      <c r="A20" s="114" t="n">
        <v>280000.01</v>
      </c>
      <c r="B20" s="114" t="n">
        <v>350000</v>
      </c>
      <c r="C20" s="114" t="n">
        <v>4903.53</v>
      </c>
    </row>
    <row r="21" customFormat="false" ht="15" hidden="false" customHeight="true" outlineLevel="0" collapsed="false">
      <c r="A21" s="115" t="n">
        <v>350000.01</v>
      </c>
      <c r="B21" s="115" t="n">
        <v>420000</v>
      </c>
      <c r="C21" s="115" t="n">
        <v>5035.59</v>
      </c>
    </row>
    <row r="22" customFormat="false" ht="15" hidden="false" customHeight="true" outlineLevel="0" collapsed="false">
      <c r="A22" s="114" t="n">
        <v>420000.01</v>
      </c>
      <c r="B22" s="114" t="n">
        <v>560000</v>
      </c>
      <c r="C22" s="114" t="n">
        <v>5523.14</v>
      </c>
    </row>
    <row r="23" customFormat="false" ht="15" hidden="false" customHeight="true" outlineLevel="0" collapsed="false">
      <c r="A23" s="115" t="n">
        <v>560000.01</v>
      </c>
      <c r="B23" s="115" t="n">
        <v>700000</v>
      </c>
      <c r="C23" s="115" t="n">
        <v>5826.7</v>
      </c>
    </row>
    <row r="24" customFormat="false" ht="15" hidden="false" customHeight="true" outlineLevel="0" collapsed="false">
      <c r="A24" s="114" t="n">
        <v>700000.01</v>
      </c>
      <c r="B24" s="114" t="n">
        <v>999999999</v>
      </c>
      <c r="C24" s="114" t="n">
        <v>8582.97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135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173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15000</v>
      </c>
      <c r="C5" s="115" t="n">
        <v>441.4</v>
      </c>
    </row>
    <row r="6" customFormat="false" ht="15" hidden="false" customHeight="true" outlineLevel="0" collapsed="false">
      <c r="A6" s="114" t="n">
        <v>15000.01</v>
      </c>
      <c r="B6" s="114" t="n">
        <v>30000</v>
      </c>
      <c r="C6" s="114" t="n">
        <v>540</v>
      </c>
    </row>
    <row r="7" customFormat="false" ht="15" hidden="false" customHeight="true" outlineLevel="0" collapsed="false">
      <c r="A7" s="115" t="n">
        <v>30000.01</v>
      </c>
      <c r="B7" s="115" t="n">
        <v>45000</v>
      </c>
      <c r="C7" s="115" t="n">
        <v>835.7</v>
      </c>
    </row>
    <row r="8" customFormat="false" ht="15" hidden="false" customHeight="true" outlineLevel="0" collapsed="false">
      <c r="A8" s="114" t="n">
        <v>45000.01</v>
      </c>
      <c r="B8" s="114" t="n">
        <v>60000</v>
      </c>
      <c r="C8" s="114" t="n">
        <v>1090.2</v>
      </c>
    </row>
    <row r="9" customFormat="false" ht="15" hidden="false" customHeight="true" outlineLevel="0" collapsed="false">
      <c r="A9" s="115" t="n">
        <v>60000.01</v>
      </c>
      <c r="B9" s="115" t="n">
        <v>75000</v>
      </c>
      <c r="C9" s="115" t="n">
        <v>1344.8</v>
      </c>
    </row>
    <row r="10" customFormat="false" ht="15" hidden="false" customHeight="true" outlineLevel="0" collapsed="false">
      <c r="A10" s="114" t="n">
        <v>75000.01</v>
      </c>
      <c r="B10" s="114" t="n">
        <v>90000</v>
      </c>
      <c r="C10" s="114" t="n">
        <v>1599.3</v>
      </c>
    </row>
    <row r="11" customFormat="false" ht="15" hidden="false" customHeight="true" outlineLevel="0" collapsed="false">
      <c r="A11" s="115" t="n">
        <v>90000.01</v>
      </c>
      <c r="B11" s="115" t="n">
        <v>120000</v>
      </c>
      <c r="C11" s="115" t="n">
        <v>2036.1</v>
      </c>
    </row>
    <row r="12" customFormat="false" ht="15" hidden="false" customHeight="true" outlineLevel="0" collapsed="false">
      <c r="A12" s="114" t="n">
        <v>120000.01</v>
      </c>
      <c r="B12" s="114" t="n">
        <v>150000</v>
      </c>
      <c r="C12" s="114" t="n">
        <v>2472.9</v>
      </c>
    </row>
    <row r="13" customFormat="false" ht="15" hidden="false" customHeight="true" outlineLevel="0" collapsed="false">
      <c r="A13" s="115" t="n">
        <v>150000.01</v>
      </c>
      <c r="B13" s="115" t="n">
        <v>210000</v>
      </c>
      <c r="C13" s="115" t="n">
        <v>2542.6</v>
      </c>
    </row>
    <row r="14" customFormat="false" ht="15" hidden="false" customHeight="true" outlineLevel="0" collapsed="false">
      <c r="A14" s="114" t="n">
        <v>210000.01</v>
      </c>
      <c r="B14" s="114" t="n">
        <v>270000</v>
      </c>
      <c r="C14" s="114" t="n">
        <v>2844.5</v>
      </c>
    </row>
    <row r="15" customFormat="false" ht="15" hidden="false" customHeight="true" outlineLevel="0" collapsed="false">
      <c r="A15" s="115" t="n">
        <v>270000.01</v>
      </c>
      <c r="B15" s="115" t="n">
        <v>390000</v>
      </c>
      <c r="C15" s="115" t="n">
        <v>3458.6</v>
      </c>
    </row>
    <row r="16" customFormat="false" ht="15" hidden="false" customHeight="true" outlineLevel="0" collapsed="false">
      <c r="A16" s="114" t="n">
        <v>390000.01</v>
      </c>
      <c r="B16" s="114" t="n">
        <v>510000</v>
      </c>
      <c r="C16" s="114" t="n">
        <v>4152.8</v>
      </c>
    </row>
    <row r="17" customFormat="false" ht="15" hidden="false" customHeight="true" outlineLevel="0" collapsed="false">
      <c r="A17" s="115" t="n">
        <v>510000.01</v>
      </c>
      <c r="B17" s="115" t="n">
        <v>750000</v>
      </c>
      <c r="C17" s="115" t="n">
        <v>5933.5</v>
      </c>
    </row>
    <row r="18" customFormat="false" ht="15" hidden="false" customHeight="true" outlineLevel="0" collapsed="false">
      <c r="A18" s="114" t="n">
        <v>750000.01</v>
      </c>
      <c r="B18" s="114" t="n">
        <v>1110000</v>
      </c>
      <c r="C18" s="114" t="n">
        <v>7626.3</v>
      </c>
    </row>
    <row r="19" customFormat="false" ht="15" hidden="false" customHeight="true" outlineLevel="0" collapsed="false">
      <c r="A19" s="115" t="n">
        <v>1110000.01</v>
      </c>
      <c r="B19" s="115" t="n">
        <v>999999999</v>
      </c>
      <c r="C19" s="115" t="n">
        <v>8602.4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136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174</v>
      </c>
    </row>
    <row r="3" customFormat="false" ht="15" hidden="false" customHeight="true" outlineLevel="0" collapsed="false">
      <c r="A3" s="116" t="s">
        <v>175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17745</v>
      </c>
      <c r="C6" s="114" t="n">
        <v>298.12</v>
      </c>
    </row>
    <row r="7" customFormat="false" ht="15" hidden="false" customHeight="true" outlineLevel="0" collapsed="false">
      <c r="A7" s="115" t="n">
        <v>17745.01</v>
      </c>
      <c r="B7" s="115" t="n">
        <v>35490</v>
      </c>
      <c r="C7" s="115" t="n">
        <v>745.29</v>
      </c>
    </row>
    <row r="8" customFormat="false" ht="15" hidden="false" customHeight="true" outlineLevel="0" collapsed="false">
      <c r="A8" s="114" t="n">
        <v>35490.01</v>
      </c>
      <c r="B8" s="114" t="n">
        <v>49686</v>
      </c>
      <c r="C8" s="114" t="n">
        <v>1192.46</v>
      </c>
    </row>
    <row r="9" customFormat="false" ht="15" hidden="false" customHeight="true" outlineLevel="0" collapsed="false">
      <c r="A9" s="115" t="n">
        <v>49686.01</v>
      </c>
      <c r="B9" s="115" t="n">
        <v>56784</v>
      </c>
      <c r="C9" s="115" t="n">
        <v>1320.22</v>
      </c>
    </row>
    <row r="10" customFormat="false" ht="15" hidden="false" customHeight="true" outlineLevel="0" collapsed="false">
      <c r="A10" s="114" t="n">
        <v>56784.01</v>
      </c>
      <c r="B10" s="114" t="n">
        <v>63882</v>
      </c>
      <c r="C10" s="114" t="n">
        <v>1448</v>
      </c>
    </row>
    <row r="11" customFormat="false" ht="15" hidden="false" customHeight="true" outlineLevel="0" collapsed="false">
      <c r="A11" s="115" t="n">
        <v>63882.01</v>
      </c>
      <c r="B11" s="115" t="n">
        <v>70980</v>
      </c>
      <c r="C11" s="115" t="n">
        <v>1575.76</v>
      </c>
    </row>
    <row r="12" customFormat="false" ht="15" hidden="false" customHeight="true" outlineLevel="0" collapsed="false">
      <c r="A12" s="114" t="n">
        <v>70980.01</v>
      </c>
      <c r="B12" s="114" t="n">
        <v>78078</v>
      </c>
      <c r="C12" s="114" t="n">
        <v>1703.52</v>
      </c>
    </row>
    <row r="13" customFormat="false" ht="15" hidden="false" customHeight="true" outlineLevel="0" collapsed="false">
      <c r="A13" s="115" t="n">
        <v>78078.01</v>
      </c>
      <c r="B13" s="115" t="n">
        <v>85176</v>
      </c>
      <c r="C13" s="115" t="n">
        <v>1831.28</v>
      </c>
    </row>
    <row r="14" customFormat="false" ht="15" hidden="false" customHeight="true" outlineLevel="0" collapsed="false">
      <c r="A14" s="114" t="n">
        <v>85176.01</v>
      </c>
      <c r="B14" s="114" t="n">
        <v>92274</v>
      </c>
      <c r="C14" s="114" t="n">
        <v>1959.04</v>
      </c>
    </row>
    <row r="15" customFormat="false" ht="15" hidden="false" customHeight="true" outlineLevel="0" collapsed="false">
      <c r="A15" s="115" t="n">
        <v>92274.01</v>
      </c>
      <c r="B15" s="115" t="n">
        <v>99372</v>
      </c>
      <c r="C15" s="115" t="n">
        <v>2086.8</v>
      </c>
    </row>
    <row r="16" customFormat="false" ht="15" hidden="false" customHeight="true" outlineLevel="0" collapsed="false">
      <c r="A16" s="114" t="n">
        <v>99372.01</v>
      </c>
      <c r="B16" s="114" t="n">
        <v>106470</v>
      </c>
      <c r="C16" s="114" t="n">
        <v>2214.56</v>
      </c>
    </row>
    <row r="17" customFormat="false" ht="15" hidden="false" customHeight="true" outlineLevel="0" collapsed="false">
      <c r="A17" s="115" t="n">
        <v>106470.01</v>
      </c>
      <c r="B17" s="115" t="n">
        <v>113568</v>
      </c>
      <c r="C17" s="115" t="n">
        <v>2342.32</v>
      </c>
    </row>
    <row r="18" customFormat="false" ht="15" hidden="false" customHeight="true" outlineLevel="0" collapsed="false">
      <c r="A18" s="114" t="n">
        <v>113568.01</v>
      </c>
      <c r="B18" s="114" t="n">
        <v>120666</v>
      </c>
      <c r="C18" s="114" t="n">
        <v>2470.08</v>
      </c>
    </row>
    <row r="19" customFormat="false" ht="15" hidden="false" customHeight="true" outlineLevel="0" collapsed="false">
      <c r="A19" s="115" t="n">
        <v>120666.01</v>
      </c>
      <c r="B19" s="115" t="n">
        <v>127764</v>
      </c>
      <c r="C19" s="115" t="n">
        <v>2597.84</v>
      </c>
    </row>
    <row r="20" customFormat="false" ht="15" hidden="false" customHeight="true" outlineLevel="0" collapsed="false">
      <c r="A20" s="114" t="n">
        <v>127764.01</v>
      </c>
      <c r="B20" s="114" t="n">
        <v>134862</v>
      </c>
      <c r="C20" s="114" t="n">
        <v>2725.6</v>
      </c>
    </row>
    <row r="21" customFormat="false" ht="15" hidden="false" customHeight="true" outlineLevel="0" collapsed="false">
      <c r="A21" s="115" t="n">
        <v>134862.01</v>
      </c>
      <c r="B21" s="115" t="n">
        <v>141960</v>
      </c>
      <c r="C21" s="115" t="n">
        <v>2853.36</v>
      </c>
    </row>
    <row r="22" customFormat="false" ht="15" hidden="false" customHeight="true" outlineLevel="0" collapsed="false">
      <c r="A22" s="114" t="n">
        <v>141960.01</v>
      </c>
      <c r="B22" s="114" t="n">
        <v>149058</v>
      </c>
      <c r="C22" s="114" t="n">
        <v>2981.12</v>
      </c>
    </row>
    <row r="23" customFormat="false" ht="15" hidden="false" customHeight="true" outlineLevel="0" collapsed="false">
      <c r="A23" s="115" t="n">
        <v>149058.01</v>
      </c>
      <c r="B23" s="115" t="n">
        <v>156156</v>
      </c>
      <c r="C23" s="115" t="n">
        <v>3108.88</v>
      </c>
    </row>
    <row r="24" customFormat="false" ht="15" hidden="false" customHeight="true" outlineLevel="0" collapsed="false">
      <c r="A24" s="114" t="n">
        <v>156156.01</v>
      </c>
      <c r="B24" s="114" t="n">
        <v>163254</v>
      </c>
      <c r="C24" s="114" t="n">
        <v>3236.64</v>
      </c>
    </row>
    <row r="25" customFormat="false" ht="15" hidden="false" customHeight="true" outlineLevel="0" collapsed="false">
      <c r="A25" s="115" t="n">
        <v>163254.01</v>
      </c>
      <c r="B25" s="115" t="n">
        <v>170352</v>
      </c>
      <c r="C25" s="115" t="n">
        <v>3364.4</v>
      </c>
    </row>
    <row r="26" customFormat="false" ht="15" hidden="false" customHeight="true" outlineLevel="0" collapsed="false">
      <c r="A26" s="114" t="n">
        <v>170352.01</v>
      </c>
      <c r="B26" s="114" t="n">
        <v>177450</v>
      </c>
      <c r="C26" s="114" t="n">
        <v>3492.16</v>
      </c>
    </row>
    <row r="27" customFormat="false" ht="15" hidden="false" customHeight="true" outlineLevel="0" collapsed="false">
      <c r="A27" s="115" t="n">
        <v>177450.01</v>
      </c>
      <c r="B27" s="115" t="n">
        <v>184548</v>
      </c>
      <c r="C27" s="115" t="n">
        <v>3619.92</v>
      </c>
    </row>
    <row r="28" customFormat="false" ht="15" hidden="false" customHeight="true" outlineLevel="0" collapsed="false">
      <c r="A28" s="114" t="n">
        <v>184548.01</v>
      </c>
      <c r="B28" s="114" t="n">
        <v>191646</v>
      </c>
      <c r="C28" s="114" t="n">
        <v>3747.68</v>
      </c>
    </row>
    <row r="29" customFormat="false" ht="15" hidden="false" customHeight="true" outlineLevel="0" collapsed="false">
      <c r="A29" s="115" t="n">
        <v>191646.01</v>
      </c>
      <c r="B29" s="115" t="n">
        <v>198744</v>
      </c>
      <c r="C29" s="115" t="n">
        <v>3875.44</v>
      </c>
    </row>
    <row r="30" customFormat="false" ht="15" hidden="false" customHeight="true" outlineLevel="0" collapsed="false">
      <c r="A30" s="114" t="n">
        <v>198744.01</v>
      </c>
      <c r="B30" s="114" t="n">
        <v>205842</v>
      </c>
      <c r="C30" s="114" t="n">
        <v>4003.2</v>
      </c>
    </row>
    <row r="31" customFormat="false" ht="15" hidden="false" customHeight="true" outlineLevel="0" collapsed="false">
      <c r="A31" s="115" t="n">
        <v>205842.01</v>
      </c>
      <c r="B31" s="115" t="n">
        <v>212940</v>
      </c>
      <c r="C31" s="115" t="n">
        <v>4130.96</v>
      </c>
    </row>
    <row r="32" customFormat="false" ht="15" hidden="false" customHeight="true" outlineLevel="0" collapsed="false">
      <c r="A32" s="114" t="n">
        <v>212940.01</v>
      </c>
      <c r="B32" s="114" t="n">
        <v>220038</v>
      </c>
      <c r="C32" s="114" t="n">
        <v>4258.72</v>
      </c>
    </row>
    <row r="33" customFormat="false" ht="15" hidden="false" customHeight="true" outlineLevel="0" collapsed="false">
      <c r="A33" s="115" t="n">
        <v>220038.01</v>
      </c>
      <c r="B33" s="115" t="n">
        <v>227136</v>
      </c>
      <c r="C33" s="115" t="n">
        <v>4386.48</v>
      </c>
    </row>
    <row r="34" customFormat="false" ht="15" hidden="false" customHeight="true" outlineLevel="0" collapsed="false">
      <c r="A34" s="114" t="n">
        <v>227136.01</v>
      </c>
      <c r="B34" s="114" t="n">
        <v>234234</v>
      </c>
      <c r="C34" s="114" t="n">
        <v>4514.24</v>
      </c>
    </row>
    <row r="35" customFormat="false" ht="15" hidden="false" customHeight="true" outlineLevel="0" collapsed="false">
      <c r="A35" s="115" t="n">
        <v>234234.01</v>
      </c>
      <c r="B35" s="115" t="n">
        <v>241332</v>
      </c>
      <c r="C35" s="115" t="n">
        <v>4642</v>
      </c>
    </row>
    <row r="36" customFormat="false" ht="15" hidden="false" customHeight="true" outlineLevel="0" collapsed="false">
      <c r="A36" s="114" t="n">
        <v>241332.01</v>
      </c>
      <c r="B36" s="114" t="n">
        <v>248430</v>
      </c>
      <c r="C36" s="114" t="n">
        <v>4769.76</v>
      </c>
    </row>
    <row r="37" customFormat="false" ht="15" hidden="false" customHeight="true" outlineLevel="0" collapsed="false">
      <c r="A37" s="115" t="n">
        <v>248430.01</v>
      </c>
      <c r="B37" s="115" t="n">
        <v>255528</v>
      </c>
      <c r="C37" s="115" t="n">
        <v>4897.52</v>
      </c>
    </row>
    <row r="38" customFormat="false" ht="15" hidden="false" customHeight="true" outlineLevel="0" collapsed="false">
      <c r="A38" s="114" t="n">
        <v>255528.01</v>
      </c>
      <c r="B38" s="114" t="n">
        <v>262626</v>
      </c>
      <c r="C38" s="114" t="n">
        <v>5025.28</v>
      </c>
    </row>
    <row r="39" customFormat="false" ht="15" hidden="false" customHeight="true" outlineLevel="0" collapsed="false">
      <c r="A39" s="115" t="n">
        <v>262626.01</v>
      </c>
      <c r="B39" s="115" t="n">
        <v>269724</v>
      </c>
      <c r="C39" s="115" t="n">
        <v>5153.04</v>
      </c>
    </row>
    <row r="40" customFormat="false" ht="15" hidden="false" customHeight="true" outlineLevel="0" collapsed="false">
      <c r="A40" s="114" t="n">
        <v>269724.01</v>
      </c>
      <c r="B40" s="114" t="n">
        <v>276822</v>
      </c>
      <c r="C40" s="114" t="n">
        <v>5280.8</v>
      </c>
    </row>
    <row r="41" customFormat="false" ht="15" hidden="false" customHeight="true" outlineLevel="0" collapsed="false">
      <c r="A41" s="115" t="n">
        <v>276822.01</v>
      </c>
      <c r="B41" s="115" t="n">
        <v>283920</v>
      </c>
      <c r="C41" s="115" t="n">
        <v>5408.56</v>
      </c>
    </row>
    <row r="42" customFormat="false" ht="15" hidden="false" customHeight="true" outlineLevel="0" collapsed="false">
      <c r="A42" s="114" t="n">
        <v>283920.01</v>
      </c>
      <c r="B42" s="114" t="n">
        <v>291018</v>
      </c>
      <c r="C42" s="114" t="n">
        <v>5536.32</v>
      </c>
    </row>
    <row r="43" customFormat="false" ht="15" hidden="false" customHeight="true" outlineLevel="0" collapsed="false">
      <c r="A43" s="115" t="n">
        <v>291018.01</v>
      </c>
      <c r="B43" s="115" t="n">
        <v>298116</v>
      </c>
      <c r="C43" s="115" t="n">
        <v>5664.08</v>
      </c>
    </row>
    <row r="44" customFormat="false" ht="15" hidden="false" customHeight="true" outlineLevel="0" collapsed="false">
      <c r="A44" s="114" t="n">
        <v>298116.01</v>
      </c>
      <c r="B44" s="114" t="n">
        <v>305214</v>
      </c>
      <c r="C44" s="114" t="n">
        <v>5791.84</v>
      </c>
    </row>
    <row r="45" customFormat="false" ht="15" hidden="false" customHeight="true" outlineLevel="0" collapsed="false">
      <c r="A45" s="115" t="n">
        <v>305214.01</v>
      </c>
      <c r="B45" s="115" t="n">
        <v>312312</v>
      </c>
      <c r="C45" s="115" t="n">
        <v>5919.6</v>
      </c>
    </row>
    <row r="46" customFormat="false" ht="15" hidden="false" customHeight="true" outlineLevel="0" collapsed="false">
      <c r="A46" s="114" t="n">
        <v>312312.01</v>
      </c>
      <c r="B46" s="114" t="n">
        <v>319410</v>
      </c>
      <c r="C46" s="114" t="n">
        <v>6047.36</v>
      </c>
    </row>
    <row r="47" customFormat="false" ht="15" hidden="false" customHeight="true" outlineLevel="0" collapsed="false">
      <c r="A47" s="115" t="n">
        <v>319410.01</v>
      </c>
      <c r="B47" s="115" t="n">
        <v>326508</v>
      </c>
      <c r="C47" s="115" t="n">
        <v>6175.12</v>
      </c>
    </row>
    <row r="48" customFormat="false" ht="15" hidden="false" customHeight="true" outlineLevel="0" collapsed="false">
      <c r="A48" s="114" t="n">
        <v>326508.01</v>
      </c>
      <c r="B48" s="114" t="n">
        <v>333606</v>
      </c>
      <c r="C48" s="114" t="n">
        <v>6302.88</v>
      </c>
    </row>
    <row r="49" customFormat="false" ht="15" hidden="false" customHeight="true" outlineLevel="0" collapsed="false">
      <c r="A49" s="115" t="n">
        <v>333606.01</v>
      </c>
      <c r="B49" s="115" t="n">
        <v>340704</v>
      </c>
      <c r="C49" s="115" t="n">
        <v>6430.64</v>
      </c>
    </row>
    <row r="50" customFormat="false" ht="15" hidden="false" customHeight="true" outlineLevel="0" collapsed="false">
      <c r="A50" s="114" t="n">
        <v>340704.01</v>
      </c>
      <c r="B50" s="114" t="n">
        <v>347802</v>
      </c>
      <c r="C50" s="114" t="n">
        <v>6558.4</v>
      </c>
    </row>
    <row r="51" customFormat="false" ht="15" hidden="false" customHeight="true" outlineLevel="0" collapsed="false">
      <c r="A51" s="115" t="n">
        <v>347802.01</v>
      </c>
      <c r="B51" s="115" t="n">
        <v>354900</v>
      </c>
      <c r="C51" s="115" t="n">
        <v>6686.16</v>
      </c>
    </row>
    <row r="52" customFormat="false" ht="15" hidden="false" customHeight="true" outlineLevel="0" collapsed="false">
      <c r="A52" s="114" t="n">
        <v>354900.01</v>
      </c>
      <c r="B52" s="114" t="n">
        <v>361998</v>
      </c>
      <c r="C52" s="114" t="n">
        <v>6813.92</v>
      </c>
    </row>
    <row r="53" customFormat="false" ht="15" hidden="false" customHeight="true" outlineLevel="0" collapsed="false">
      <c r="A53" s="115" t="n">
        <v>361998.01</v>
      </c>
      <c r="B53" s="115" t="n">
        <v>369096</v>
      </c>
      <c r="C53" s="115" t="n">
        <v>6941.68</v>
      </c>
    </row>
    <row r="54" customFormat="false" ht="15" hidden="false" customHeight="true" outlineLevel="0" collapsed="false">
      <c r="A54" s="114" t="n">
        <v>369096.01</v>
      </c>
      <c r="B54" s="114" t="n">
        <v>376194</v>
      </c>
      <c r="C54" s="114" t="n">
        <v>7069.44</v>
      </c>
    </row>
    <row r="55" customFormat="false" ht="15" hidden="false" customHeight="true" outlineLevel="0" collapsed="false">
      <c r="A55" s="115" t="n">
        <v>376194.01</v>
      </c>
      <c r="B55" s="115" t="n">
        <v>383292</v>
      </c>
      <c r="C55" s="115" t="n">
        <v>7197.2</v>
      </c>
    </row>
    <row r="56" customFormat="false" ht="15" hidden="false" customHeight="true" outlineLevel="0" collapsed="false">
      <c r="A56" s="114" t="n">
        <v>383292.01</v>
      </c>
      <c r="B56" s="114" t="n">
        <v>390390</v>
      </c>
      <c r="C56" s="114" t="n">
        <v>7324.96</v>
      </c>
    </row>
    <row r="57" customFormat="false" ht="15" hidden="false" customHeight="true" outlineLevel="0" collapsed="false">
      <c r="A57" s="115" t="n">
        <v>390390.01</v>
      </c>
      <c r="B57" s="115" t="n">
        <v>397488</v>
      </c>
      <c r="C57" s="115" t="n">
        <v>7452.72</v>
      </c>
    </row>
    <row r="58" customFormat="false" ht="15" hidden="false" customHeight="true" outlineLevel="0" collapsed="false">
      <c r="A58" s="114" t="n">
        <v>397488.01</v>
      </c>
      <c r="B58" s="114" t="n">
        <v>404586</v>
      </c>
      <c r="C58" s="114" t="n">
        <v>7580.48</v>
      </c>
    </row>
    <row r="59" customFormat="false" ht="15" hidden="false" customHeight="true" outlineLevel="0" collapsed="false">
      <c r="A59" s="115" t="n">
        <v>404586.01</v>
      </c>
      <c r="B59" s="115" t="n">
        <v>411684</v>
      </c>
      <c r="C59" s="115" t="n">
        <v>7708.24</v>
      </c>
    </row>
    <row r="60" customFormat="false" ht="15" hidden="false" customHeight="true" outlineLevel="0" collapsed="false">
      <c r="A60" s="114" t="n">
        <v>411684.01</v>
      </c>
      <c r="B60" s="114" t="n">
        <v>418782</v>
      </c>
      <c r="C60" s="114" t="n">
        <v>7836</v>
      </c>
    </row>
    <row r="61" customFormat="false" ht="15" hidden="false" customHeight="true" outlineLevel="0" collapsed="false">
      <c r="A61" s="115" t="n">
        <v>418782.01</v>
      </c>
      <c r="B61" s="115" t="n">
        <v>425880</v>
      </c>
      <c r="C61" s="115" t="n">
        <v>7963.76</v>
      </c>
    </row>
    <row r="62" customFormat="false" ht="15" hidden="false" customHeight="true" outlineLevel="0" collapsed="false">
      <c r="A62" s="114" t="n">
        <v>425880.01</v>
      </c>
      <c r="B62" s="114" t="n">
        <v>432978</v>
      </c>
      <c r="C62" s="114" t="n">
        <v>8091.52</v>
      </c>
    </row>
    <row r="63" customFormat="false" ht="15" hidden="false" customHeight="true" outlineLevel="0" collapsed="false">
      <c r="A63" s="115" t="n">
        <v>432978.01</v>
      </c>
      <c r="B63" s="115" t="n">
        <v>440076</v>
      </c>
      <c r="C63" s="115" t="n">
        <v>8219.28</v>
      </c>
    </row>
    <row r="64" customFormat="false" ht="15" hidden="false" customHeight="true" outlineLevel="0" collapsed="false">
      <c r="A64" s="114" t="n">
        <v>440076.01</v>
      </c>
      <c r="B64" s="114" t="n">
        <v>447174</v>
      </c>
      <c r="C64" s="114" t="n">
        <v>8347.04</v>
      </c>
    </row>
    <row r="65" customFormat="false" ht="15" hidden="false" customHeight="true" outlineLevel="0" collapsed="false">
      <c r="A65" s="115" t="n">
        <v>447174.01</v>
      </c>
      <c r="B65" s="115" t="n">
        <v>454272</v>
      </c>
      <c r="C65" s="115" t="n">
        <v>8474.8</v>
      </c>
    </row>
    <row r="66" customFormat="false" ht="15" hidden="false" customHeight="true" outlineLevel="0" collapsed="false">
      <c r="A66" s="114" t="n">
        <v>454272.01</v>
      </c>
      <c r="B66" s="114" t="n">
        <v>461370</v>
      </c>
      <c r="C66" s="114" t="n">
        <v>8602.56</v>
      </c>
    </row>
    <row r="67" customFormat="false" ht="15" hidden="false" customHeight="true" outlineLevel="0" collapsed="false">
      <c r="A67" s="115" t="n">
        <v>461370.01</v>
      </c>
      <c r="B67" s="115" t="n">
        <v>468468</v>
      </c>
      <c r="C67" s="115" t="n">
        <v>8730.32</v>
      </c>
    </row>
    <row r="68" customFormat="false" ht="15" hidden="false" customHeight="true" outlineLevel="0" collapsed="false">
      <c r="A68" s="114" t="n">
        <v>468468.01</v>
      </c>
      <c r="B68" s="114" t="n">
        <v>475566</v>
      </c>
      <c r="C68" s="114" t="n">
        <v>8858.08</v>
      </c>
    </row>
    <row r="69" customFormat="false" ht="15" hidden="false" customHeight="true" outlineLevel="0" collapsed="false">
      <c r="A69" s="115" t="n">
        <v>475566.01</v>
      </c>
      <c r="B69" s="115" t="n">
        <v>482664</v>
      </c>
      <c r="C69" s="115" t="n">
        <v>8985.84</v>
      </c>
    </row>
    <row r="70" customFormat="false" ht="15" hidden="false" customHeight="true" outlineLevel="0" collapsed="false">
      <c r="A70" s="114" t="n">
        <v>482664.01</v>
      </c>
      <c r="B70" s="114" t="n">
        <v>489762</v>
      </c>
      <c r="C70" s="114" t="n">
        <v>9113.6</v>
      </c>
    </row>
    <row r="71" customFormat="false" ht="15" hidden="false" customHeight="true" outlineLevel="0" collapsed="false">
      <c r="A71" s="115" t="n">
        <v>489762.01</v>
      </c>
      <c r="B71" s="115" t="n">
        <v>496860</v>
      </c>
      <c r="C71" s="115" t="n">
        <v>9241.36</v>
      </c>
    </row>
    <row r="72" customFormat="false" ht="15" hidden="false" customHeight="true" outlineLevel="0" collapsed="false">
      <c r="A72" s="114" t="n">
        <v>496860.01</v>
      </c>
      <c r="B72" s="114" t="n">
        <v>503958</v>
      </c>
      <c r="C72" s="114" t="n">
        <v>9369.12</v>
      </c>
    </row>
    <row r="73" customFormat="false" ht="15" hidden="false" customHeight="true" outlineLevel="0" collapsed="false">
      <c r="A73" s="115" t="n">
        <v>503958.01</v>
      </c>
      <c r="B73" s="115" t="n">
        <v>511056</v>
      </c>
      <c r="C73" s="115" t="n">
        <v>9496.88</v>
      </c>
    </row>
    <row r="74" customFormat="false" ht="15" hidden="false" customHeight="true" outlineLevel="0" collapsed="false">
      <c r="A74" s="114" t="n">
        <v>511056.01</v>
      </c>
      <c r="B74" s="114" t="n">
        <v>999999999</v>
      </c>
      <c r="C74" s="114" t="n">
        <v>21294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137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176</v>
      </c>
    </row>
    <row r="3" customFormat="false" ht="15" hidden="false" customHeight="true" outlineLevel="0" collapsed="false">
      <c r="A3" s="116" t="s">
        <v>177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1000</v>
      </c>
      <c r="C6" s="114" t="n">
        <v>237.84</v>
      </c>
    </row>
    <row r="7" customFormat="false" ht="15" hidden="false" customHeight="true" outlineLevel="0" collapsed="false">
      <c r="A7" s="115" t="n">
        <v>1000.01</v>
      </c>
      <c r="B7" s="115" t="n">
        <v>5000</v>
      </c>
      <c r="C7" s="115" t="n">
        <v>399.5</v>
      </c>
    </row>
    <row r="8" customFormat="false" ht="15" hidden="false" customHeight="true" outlineLevel="0" collapsed="false">
      <c r="A8" s="114" t="n">
        <v>5000.01</v>
      </c>
      <c r="B8" s="114" t="n">
        <v>10000</v>
      </c>
      <c r="C8" s="114" t="n">
        <v>561.13</v>
      </c>
    </row>
    <row r="9" customFormat="false" ht="15" hidden="false" customHeight="true" outlineLevel="0" collapsed="false">
      <c r="A9" s="115" t="n">
        <v>10000.01</v>
      </c>
      <c r="B9" s="115" t="n">
        <v>15000</v>
      </c>
      <c r="C9" s="115" t="n">
        <v>722.8</v>
      </c>
    </row>
    <row r="10" customFormat="false" ht="15" hidden="false" customHeight="true" outlineLevel="0" collapsed="false">
      <c r="A10" s="114" t="n">
        <v>15000.01</v>
      </c>
      <c r="B10" s="114" t="n">
        <v>25000</v>
      </c>
      <c r="C10" s="114" t="n">
        <v>965.28</v>
      </c>
    </row>
    <row r="11" customFormat="false" ht="15" hidden="false" customHeight="true" outlineLevel="0" collapsed="false">
      <c r="A11" s="115" t="n">
        <v>25000.01</v>
      </c>
      <c r="B11" s="115" t="n">
        <v>50000</v>
      </c>
      <c r="C11" s="115" t="n">
        <v>1773.53</v>
      </c>
    </row>
    <row r="12" customFormat="false" ht="15" hidden="false" customHeight="true" outlineLevel="0" collapsed="false">
      <c r="A12" s="114" t="n">
        <v>50000.01</v>
      </c>
      <c r="B12" s="114" t="n">
        <v>100000</v>
      </c>
      <c r="C12" s="114" t="n">
        <v>3390.06</v>
      </c>
    </row>
    <row r="13" customFormat="false" ht="15" hidden="false" customHeight="true" outlineLevel="0" collapsed="false">
      <c r="A13" s="115" t="n">
        <v>100000.01</v>
      </c>
      <c r="B13" s="115" t="n">
        <v>150000</v>
      </c>
      <c r="C13" s="115" t="n">
        <v>5006.54</v>
      </c>
    </row>
    <row r="14" customFormat="false" ht="15" hidden="false" customHeight="true" outlineLevel="0" collapsed="false">
      <c r="A14" s="114" t="n">
        <v>150000.01</v>
      </c>
      <c r="B14" s="114" t="n">
        <v>200000</v>
      </c>
      <c r="C14" s="114" t="n">
        <v>6623.08</v>
      </c>
    </row>
    <row r="15" customFormat="false" ht="15" hidden="false" customHeight="true" outlineLevel="0" collapsed="false">
      <c r="A15" s="115" t="n">
        <v>200000.01</v>
      </c>
      <c r="B15" s="115" t="n">
        <v>210000</v>
      </c>
      <c r="C15" s="115" t="n">
        <v>6946.38</v>
      </c>
    </row>
    <row r="16" customFormat="false" ht="15" hidden="false" customHeight="true" outlineLevel="0" collapsed="false">
      <c r="A16" s="114" t="n">
        <v>210000.01</v>
      </c>
      <c r="B16" s="114" t="n">
        <v>999999999</v>
      </c>
      <c r="C16" s="114" t="n">
        <v>7084.1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138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178</v>
      </c>
    </row>
    <row r="3" customFormat="false" ht="15" hidden="false" customHeight="true" outlineLevel="0" collapsed="false">
      <c r="A3" s="112" t="s">
        <v>179</v>
      </c>
      <c r="B3" s="112"/>
      <c r="C3" s="112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56000</v>
      </c>
      <c r="C6" s="114" t="n">
        <v>698.04</v>
      </c>
    </row>
    <row r="7" customFormat="false" ht="15" hidden="false" customHeight="true" outlineLevel="0" collapsed="false">
      <c r="A7" s="115" t="n">
        <v>56000.01</v>
      </c>
      <c r="B7" s="115" t="n">
        <v>66000</v>
      </c>
      <c r="C7" s="115" t="n">
        <v>822.68</v>
      </c>
    </row>
    <row r="8" customFormat="false" ht="15" hidden="false" customHeight="true" outlineLevel="0" collapsed="false">
      <c r="A8" s="114" t="n">
        <v>66000.01</v>
      </c>
      <c r="B8" s="114" t="n">
        <v>76000</v>
      </c>
      <c r="C8" s="114" t="n">
        <v>947.34</v>
      </c>
    </row>
    <row r="9" customFormat="false" ht="15" hidden="false" customHeight="true" outlineLevel="0" collapsed="false">
      <c r="A9" s="115" t="n">
        <v>76000.01</v>
      </c>
      <c r="B9" s="115" t="n">
        <v>86000</v>
      </c>
      <c r="C9" s="115" t="n">
        <v>1072</v>
      </c>
    </row>
    <row r="10" customFormat="false" ht="15" hidden="false" customHeight="true" outlineLevel="0" collapsed="false">
      <c r="A10" s="114" t="n">
        <v>86000.01</v>
      </c>
      <c r="B10" s="114" t="n">
        <v>96000</v>
      </c>
      <c r="C10" s="114" t="n">
        <v>1196.64</v>
      </c>
    </row>
    <row r="11" customFormat="false" ht="15" hidden="false" customHeight="true" outlineLevel="0" collapsed="false">
      <c r="A11" s="115" t="n">
        <v>96000.01</v>
      </c>
      <c r="B11" s="115" t="n">
        <v>106000</v>
      </c>
      <c r="C11" s="115" t="n">
        <v>1321.29</v>
      </c>
    </row>
    <row r="12" customFormat="false" ht="15" hidden="false" customHeight="true" outlineLevel="0" collapsed="false">
      <c r="A12" s="114" t="n">
        <v>106000.01</v>
      </c>
      <c r="B12" s="114" t="n">
        <v>116000</v>
      </c>
      <c r="C12" s="114" t="n">
        <v>1445.94</v>
      </c>
    </row>
    <row r="13" customFormat="false" ht="15" hidden="false" customHeight="true" outlineLevel="0" collapsed="false">
      <c r="A13" s="115" t="n">
        <v>116000.01</v>
      </c>
      <c r="B13" s="115" t="n">
        <v>126000</v>
      </c>
      <c r="C13" s="115" t="n">
        <v>1570.58</v>
      </c>
    </row>
    <row r="14" customFormat="false" ht="15" hidden="false" customHeight="true" outlineLevel="0" collapsed="false">
      <c r="A14" s="114" t="n">
        <v>126000.01</v>
      </c>
      <c r="B14" s="114" t="n">
        <v>136000</v>
      </c>
      <c r="C14" s="114" t="n">
        <v>1695.24</v>
      </c>
    </row>
    <row r="15" customFormat="false" ht="15" hidden="false" customHeight="true" outlineLevel="0" collapsed="false">
      <c r="A15" s="115" t="n">
        <v>136000.01</v>
      </c>
      <c r="B15" s="115" t="n">
        <v>146000</v>
      </c>
      <c r="C15" s="115" t="n">
        <v>1819.88</v>
      </c>
    </row>
    <row r="16" customFormat="false" ht="15" hidden="false" customHeight="true" outlineLevel="0" collapsed="false">
      <c r="A16" s="114" t="n">
        <v>146000.01</v>
      </c>
      <c r="B16" s="114" t="n">
        <v>156000</v>
      </c>
      <c r="C16" s="114" t="n">
        <v>1944.54</v>
      </c>
    </row>
    <row r="17" customFormat="false" ht="15" hidden="false" customHeight="true" outlineLevel="0" collapsed="false">
      <c r="A17" s="115" t="n">
        <v>156000.01</v>
      </c>
      <c r="B17" s="115" t="n">
        <v>166000</v>
      </c>
      <c r="C17" s="115" t="n">
        <v>2024.2</v>
      </c>
    </row>
    <row r="18" customFormat="false" ht="15" hidden="false" customHeight="true" outlineLevel="0" collapsed="false">
      <c r="A18" s="114" t="n">
        <v>166000.01</v>
      </c>
      <c r="B18" s="114" t="n">
        <v>176000</v>
      </c>
      <c r="C18" s="114" t="n">
        <v>2145.07</v>
      </c>
    </row>
    <row r="19" customFormat="false" ht="15" hidden="false" customHeight="true" outlineLevel="0" collapsed="false">
      <c r="A19" s="115" t="n">
        <v>176000.01</v>
      </c>
      <c r="B19" s="115" t="n">
        <v>186000</v>
      </c>
      <c r="C19" s="115" t="n">
        <v>2265.96</v>
      </c>
    </row>
    <row r="20" customFormat="false" ht="15" hidden="false" customHeight="true" outlineLevel="0" collapsed="false">
      <c r="A20" s="114" t="n">
        <v>186000.01</v>
      </c>
      <c r="B20" s="114" t="n">
        <v>196000</v>
      </c>
      <c r="C20" s="114" t="n">
        <v>2386.84</v>
      </c>
    </row>
    <row r="21" customFormat="false" ht="15" hidden="false" customHeight="true" outlineLevel="0" collapsed="false">
      <c r="A21" s="115" t="n">
        <v>196000.01</v>
      </c>
      <c r="B21" s="115" t="n">
        <v>206000</v>
      </c>
      <c r="C21" s="115" t="n">
        <v>2507.75</v>
      </c>
    </row>
    <row r="22" customFormat="false" ht="15" hidden="false" customHeight="true" outlineLevel="0" collapsed="false">
      <c r="A22" s="114" t="n">
        <v>206000.01</v>
      </c>
      <c r="B22" s="114" t="n">
        <v>216000</v>
      </c>
      <c r="C22" s="114" t="n">
        <v>2628.6</v>
      </c>
    </row>
    <row r="23" customFormat="false" ht="15" hidden="false" customHeight="true" outlineLevel="0" collapsed="false">
      <c r="A23" s="115" t="n">
        <v>216000.01</v>
      </c>
      <c r="B23" s="115" t="n">
        <v>226000</v>
      </c>
      <c r="C23" s="115" t="n">
        <v>2754.48</v>
      </c>
    </row>
    <row r="24" customFormat="false" ht="15" hidden="false" customHeight="true" outlineLevel="0" collapsed="false">
      <c r="A24" s="114" t="n">
        <v>226000.01</v>
      </c>
      <c r="B24" s="114" t="n">
        <v>999999999</v>
      </c>
      <c r="C24" s="114" t="n">
        <v>4460.8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139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180</v>
      </c>
    </row>
    <row r="3" customFormat="false" ht="15" hidden="false" customHeight="true" outlineLevel="0" collapsed="false">
      <c r="A3" s="116" t="s">
        <v>181</v>
      </c>
      <c r="B3" s="116"/>
      <c r="C3" s="116"/>
    </row>
    <row r="4" customFormat="false" ht="15" hidden="false" customHeight="true" outlineLevel="0" collapsed="false">
      <c r="A4" s="118"/>
      <c r="B4" s="118"/>
      <c r="C4" s="118"/>
    </row>
    <row r="5" customFormat="false" ht="15" hidden="false" customHeight="true" outlineLevel="0" collapsed="false">
      <c r="A5" s="119" t="s">
        <v>152</v>
      </c>
      <c r="B5" s="119" t="s">
        <v>153</v>
      </c>
      <c r="C5" s="119" t="s">
        <v>154</v>
      </c>
    </row>
    <row r="6" customFormat="false" ht="15" hidden="false" customHeight="true" outlineLevel="0" collapsed="false">
      <c r="A6" s="114" t="n">
        <v>0.01</v>
      </c>
      <c r="B6" s="114" t="n">
        <v>1424.36</v>
      </c>
      <c r="C6" s="114" t="n">
        <v>370.39</v>
      </c>
    </row>
    <row r="7" customFormat="false" ht="15" hidden="false" customHeight="true" outlineLevel="0" collapsed="false">
      <c r="A7" s="115" t="n">
        <v>1424.37</v>
      </c>
      <c r="B7" s="115" t="n">
        <v>2848.72</v>
      </c>
      <c r="C7" s="115" t="n">
        <v>411.53</v>
      </c>
    </row>
    <row r="8" customFormat="false" ht="15" hidden="false" customHeight="true" outlineLevel="0" collapsed="false">
      <c r="A8" s="114" t="n">
        <v>2848.73</v>
      </c>
      <c r="B8" s="114" t="n">
        <v>4171.34</v>
      </c>
      <c r="C8" s="114" t="n">
        <v>466.43</v>
      </c>
    </row>
    <row r="9" customFormat="false" ht="15" hidden="false" customHeight="true" outlineLevel="0" collapsed="false">
      <c r="A9" s="115" t="n">
        <v>4171.35</v>
      </c>
      <c r="B9" s="115" t="n">
        <v>5595.7</v>
      </c>
      <c r="C9" s="115" t="n">
        <v>521.31</v>
      </c>
    </row>
    <row r="10" customFormat="false" ht="15" hidden="false" customHeight="true" outlineLevel="0" collapsed="false">
      <c r="A10" s="114" t="n">
        <v>5595.71</v>
      </c>
      <c r="B10" s="114" t="n">
        <v>7020.06</v>
      </c>
      <c r="C10" s="114" t="n">
        <v>576.2</v>
      </c>
    </row>
    <row r="11" customFormat="false" ht="15" hidden="false" customHeight="true" outlineLevel="0" collapsed="false">
      <c r="A11" s="115" t="n">
        <v>7020.07</v>
      </c>
      <c r="B11" s="115" t="n">
        <v>12514.02</v>
      </c>
      <c r="C11" s="115" t="n">
        <v>644.84</v>
      </c>
    </row>
    <row r="12" customFormat="false" ht="15" hidden="false" customHeight="true" outlineLevel="0" collapsed="false">
      <c r="A12" s="114" t="n">
        <v>12514.03</v>
      </c>
      <c r="B12" s="114" t="n">
        <v>18109.72</v>
      </c>
      <c r="C12" s="114" t="n">
        <v>713.43</v>
      </c>
    </row>
    <row r="13" customFormat="false" ht="15" hidden="false" customHeight="true" outlineLevel="0" collapsed="false">
      <c r="A13" s="115" t="n">
        <v>18109.73</v>
      </c>
      <c r="B13" s="115" t="n">
        <v>27775.02</v>
      </c>
      <c r="C13" s="115" t="n">
        <v>782.08</v>
      </c>
    </row>
    <row r="14" customFormat="false" ht="15" hidden="false" customHeight="true" outlineLevel="0" collapsed="false">
      <c r="A14" s="114" t="n">
        <v>27775.03</v>
      </c>
      <c r="B14" s="114" t="n">
        <v>55550.04</v>
      </c>
      <c r="C14" s="114" t="n">
        <v>960.5</v>
      </c>
    </row>
    <row r="15" customFormat="false" ht="15" hidden="false" customHeight="true" outlineLevel="0" collapsed="false">
      <c r="A15" s="115" t="n">
        <v>55550.05</v>
      </c>
      <c r="B15" s="115" t="n">
        <v>61044</v>
      </c>
      <c r="C15" s="115" t="n">
        <v>1143.96</v>
      </c>
    </row>
    <row r="16" customFormat="false" ht="15" hidden="false" customHeight="true" outlineLevel="0" collapsed="false">
      <c r="A16" s="114" t="n">
        <v>61044.01</v>
      </c>
      <c r="B16" s="114" t="n">
        <v>71218</v>
      </c>
      <c r="C16" s="114" t="n">
        <v>1258.35</v>
      </c>
    </row>
    <row r="17" customFormat="false" ht="15" hidden="false" customHeight="true" outlineLevel="0" collapsed="false">
      <c r="A17" s="115" t="n">
        <v>71218.01</v>
      </c>
      <c r="B17" s="115" t="n">
        <v>81392</v>
      </c>
      <c r="C17" s="115" t="n">
        <v>1384.19</v>
      </c>
    </row>
    <row r="18" customFormat="false" ht="15" hidden="false" customHeight="true" outlineLevel="0" collapsed="false">
      <c r="A18" s="114" t="n">
        <v>81392.01</v>
      </c>
      <c r="B18" s="114" t="n">
        <v>91566</v>
      </c>
      <c r="C18" s="114" t="n">
        <v>1522.61</v>
      </c>
    </row>
    <row r="19" customFormat="false" ht="15" hidden="false" customHeight="true" outlineLevel="0" collapsed="false">
      <c r="A19" s="115" t="n">
        <v>91566.01</v>
      </c>
      <c r="B19" s="115" t="n">
        <v>101740</v>
      </c>
      <c r="C19" s="115" t="n">
        <v>1674.86</v>
      </c>
    </row>
    <row r="20" customFormat="false" ht="15" hidden="false" customHeight="true" outlineLevel="0" collapsed="false">
      <c r="A20" s="114" t="n">
        <v>101740.01</v>
      </c>
      <c r="B20" s="114" t="n">
        <v>122088</v>
      </c>
      <c r="C20" s="114" t="n">
        <v>1842.36</v>
      </c>
    </row>
    <row r="21" customFormat="false" ht="15" hidden="false" customHeight="true" outlineLevel="0" collapsed="false">
      <c r="A21" s="115" t="n">
        <v>122088.01</v>
      </c>
      <c r="B21" s="115" t="n">
        <v>142436</v>
      </c>
      <c r="C21" s="115" t="n">
        <v>2026.59</v>
      </c>
    </row>
    <row r="22" customFormat="false" ht="15" hidden="false" customHeight="true" outlineLevel="0" collapsed="false">
      <c r="A22" s="114" t="n">
        <v>142436.01</v>
      </c>
      <c r="B22" s="114" t="n">
        <v>162784</v>
      </c>
      <c r="C22" s="114" t="n">
        <v>2229.25</v>
      </c>
    </row>
    <row r="23" customFormat="false" ht="15" hidden="false" customHeight="true" outlineLevel="0" collapsed="false">
      <c r="A23" s="115" t="n">
        <v>162784.01</v>
      </c>
      <c r="B23" s="115" t="n">
        <v>183132</v>
      </c>
      <c r="C23" s="115" t="n">
        <v>2452.17</v>
      </c>
    </row>
    <row r="24" customFormat="false" ht="15" hidden="false" customHeight="true" outlineLevel="0" collapsed="false">
      <c r="A24" s="114" t="n">
        <v>183132.01</v>
      </c>
      <c r="B24" s="114" t="n">
        <v>203480</v>
      </c>
      <c r="C24" s="114" t="n">
        <v>2697.39</v>
      </c>
    </row>
    <row r="25" customFormat="false" ht="15" hidden="false" customHeight="true" outlineLevel="0" collapsed="false">
      <c r="A25" s="115" t="n">
        <v>203480.01</v>
      </c>
      <c r="B25" s="115" t="n">
        <v>223828</v>
      </c>
      <c r="C25" s="115" t="n">
        <v>2967.12</v>
      </c>
    </row>
    <row r="26" customFormat="false" ht="15" hidden="false" customHeight="true" outlineLevel="0" collapsed="false">
      <c r="A26" s="114" t="n">
        <v>223828.01</v>
      </c>
      <c r="B26" s="114" t="n">
        <v>244176</v>
      </c>
      <c r="C26" s="114" t="n">
        <v>3263.85</v>
      </c>
    </row>
    <row r="27" customFormat="false" ht="15" hidden="false" customHeight="true" outlineLevel="0" collapsed="false">
      <c r="A27" s="115" t="n">
        <v>244176.01</v>
      </c>
      <c r="B27" s="115" t="n">
        <v>264524</v>
      </c>
      <c r="C27" s="115" t="n">
        <v>3590.23</v>
      </c>
    </row>
    <row r="28" customFormat="false" ht="15" hidden="false" customHeight="true" outlineLevel="0" collapsed="false">
      <c r="A28" s="114" t="n">
        <v>264524.01</v>
      </c>
      <c r="B28" s="114" t="n">
        <v>284872</v>
      </c>
      <c r="C28" s="114" t="n">
        <v>3949.26</v>
      </c>
    </row>
    <row r="29" customFormat="false" ht="15" hidden="false" customHeight="true" outlineLevel="0" collapsed="false">
      <c r="A29" s="115" t="n">
        <v>284872.01</v>
      </c>
      <c r="B29" s="115" t="n">
        <v>305220</v>
      </c>
      <c r="C29" s="115" t="n">
        <v>4344.19</v>
      </c>
    </row>
    <row r="30" customFormat="false" ht="15" hidden="false" customHeight="true" outlineLevel="0" collapsed="false">
      <c r="A30" s="114" t="n">
        <v>305220.01</v>
      </c>
      <c r="B30" s="114" t="n">
        <v>356090</v>
      </c>
      <c r="C30" s="114" t="n">
        <v>4778.61</v>
      </c>
    </row>
    <row r="31" customFormat="false" ht="15" hidden="false" customHeight="true" outlineLevel="0" collapsed="false">
      <c r="A31" s="115" t="n">
        <v>356090.01</v>
      </c>
      <c r="B31" s="115" t="n">
        <v>406960</v>
      </c>
      <c r="C31" s="115" t="n">
        <v>5256.45</v>
      </c>
    </row>
    <row r="32" customFormat="false" ht="15" hidden="false" customHeight="true" outlineLevel="0" collapsed="false">
      <c r="A32" s="114" t="n">
        <v>406960.01</v>
      </c>
      <c r="B32" s="114" t="n">
        <v>457830</v>
      </c>
      <c r="C32" s="114" t="n">
        <v>5782.1</v>
      </c>
    </row>
    <row r="33" customFormat="false" ht="15" hidden="false" customHeight="true" outlineLevel="0" collapsed="false">
      <c r="A33" s="115" t="n">
        <v>457830.01</v>
      </c>
      <c r="B33" s="115" t="n">
        <v>508700</v>
      </c>
      <c r="C33" s="115" t="n">
        <v>6360.31</v>
      </c>
    </row>
    <row r="34" customFormat="false" ht="15" hidden="false" customHeight="true" outlineLevel="0" collapsed="false">
      <c r="A34" s="114" t="n">
        <v>508700.01</v>
      </c>
      <c r="B34" s="114" t="n">
        <v>610440</v>
      </c>
      <c r="C34" s="114" t="n">
        <v>6996.34</v>
      </c>
    </row>
    <row r="35" customFormat="false" ht="15" hidden="false" customHeight="true" outlineLevel="0" collapsed="false">
      <c r="A35" s="115" t="n">
        <v>610440.01</v>
      </c>
      <c r="B35" s="115" t="n">
        <v>712180</v>
      </c>
      <c r="C35" s="115" t="n">
        <v>7695.99</v>
      </c>
    </row>
    <row r="36" customFormat="false" ht="15" hidden="false" customHeight="true" outlineLevel="0" collapsed="false">
      <c r="A36" s="114" t="n">
        <v>712180.01</v>
      </c>
      <c r="B36" s="114" t="n">
        <v>813920</v>
      </c>
      <c r="C36" s="114" t="n">
        <v>8465.58</v>
      </c>
    </row>
    <row r="37" customFormat="false" ht="15" hidden="false" customHeight="true" outlineLevel="0" collapsed="false">
      <c r="A37" s="115" t="n">
        <v>813920.01</v>
      </c>
      <c r="B37" s="115" t="n">
        <v>915660</v>
      </c>
      <c r="C37" s="115" t="n">
        <v>9312.13</v>
      </c>
    </row>
    <row r="38" customFormat="false" ht="15" hidden="false" customHeight="true" outlineLevel="0" collapsed="false">
      <c r="A38" s="114" t="n">
        <v>915660.01</v>
      </c>
      <c r="B38" s="114" t="n">
        <v>1017400</v>
      </c>
      <c r="C38" s="114" t="n">
        <v>10243.36</v>
      </c>
    </row>
    <row r="39" customFormat="false" ht="15" hidden="false" customHeight="true" outlineLevel="0" collapsed="false">
      <c r="A39" s="115" t="n">
        <v>1017400.01</v>
      </c>
      <c r="B39" s="115" t="n">
        <v>1526100</v>
      </c>
      <c r="C39" s="115" t="n">
        <v>11267.67</v>
      </c>
    </row>
    <row r="40" customFormat="false" ht="15" hidden="false" customHeight="true" outlineLevel="0" collapsed="false">
      <c r="A40" s="114" t="n">
        <v>1526100.01</v>
      </c>
      <c r="B40" s="114" t="n">
        <v>2034800</v>
      </c>
      <c r="C40" s="114" t="n">
        <v>12394.45</v>
      </c>
    </row>
    <row r="41" customFormat="false" ht="15" hidden="false" customHeight="true" outlineLevel="0" collapsed="false">
      <c r="A41" s="115" t="n">
        <v>2034800.01</v>
      </c>
      <c r="B41" s="115" t="n">
        <v>4069600</v>
      </c>
      <c r="C41" s="115" t="n">
        <v>13633.9</v>
      </c>
    </row>
    <row r="42" customFormat="false" ht="15" hidden="false" customHeight="true" outlineLevel="0" collapsed="false">
      <c r="A42" s="114" t="n">
        <v>4069600.01</v>
      </c>
      <c r="B42" s="114" t="n">
        <v>6104400</v>
      </c>
      <c r="C42" s="114" t="n">
        <v>14997.27</v>
      </c>
    </row>
    <row r="43" customFormat="false" ht="15" hidden="false" customHeight="true" outlineLevel="0" collapsed="false">
      <c r="A43" s="115" t="n">
        <v>6104400.01</v>
      </c>
      <c r="B43" s="115" t="n">
        <v>8139200</v>
      </c>
      <c r="C43" s="115" t="n">
        <v>16497.01</v>
      </c>
    </row>
    <row r="44" customFormat="false" ht="15" hidden="false" customHeight="true" outlineLevel="0" collapsed="false">
      <c r="A44" s="114" t="n">
        <v>8139200.01</v>
      </c>
      <c r="B44" s="114" t="n">
        <v>10174000</v>
      </c>
      <c r="C44" s="114" t="n">
        <v>18146.71</v>
      </c>
    </row>
    <row r="45" customFormat="false" ht="15" hidden="false" customHeight="true" outlineLevel="0" collapsed="false">
      <c r="A45" s="115" t="n">
        <v>10174000.01</v>
      </c>
      <c r="B45" s="115" t="n">
        <v>15261000</v>
      </c>
      <c r="C45" s="115" t="n">
        <v>19961.39</v>
      </c>
    </row>
    <row r="46" customFormat="false" ht="15" hidden="false" customHeight="true" outlineLevel="0" collapsed="false">
      <c r="A46" s="114" t="n">
        <v>15261000.01</v>
      </c>
      <c r="B46" s="114" t="n">
        <v>20348000</v>
      </c>
      <c r="C46" s="114" t="n">
        <v>21957.52</v>
      </c>
    </row>
    <row r="47" customFormat="false" ht="15" hidden="false" customHeight="true" outlineLevel="0" collapsed="false">
      <c r="A47" s="115" t="n">
        <v>20348000.01</v>
      </c>
      <c r="B47" s="115" t="n">
        <v>30522000</v>
      </c>
      <c r="C47" s="115" t="n">
        <v>24153.27</v>
      </c>
    </row>
    <row r="48" customFormat="false" ht="15" hidden="false" customHeight="true" outlineLevel="0" collapsed="false">
      <c r="A48" s="114" t="n">
        <v>30522000.01</v>
      </c>
      <c r="B48" s="114" t="n">
        <v>40696000</v>
      </c>
      <c r="C48" s="114" t="n">
        <v>26568.6</v>
      </c>
    </row>
    <row r="49" customFormat="false" ht="15" hidden="false" customHeight="true" outlineLevel="0" collapsed="false">
      <c r="A49" s="115" t="n">
        <v>40696000.01</v>
      </c>
      <c r="B49" s="115" t="n">
        <v>50870000</v>
      </c>
      <c r="C49" s="115" t="n">
        <v>29225.47</v>
      </c>
    </row>
    <row r="50" customFormat="false" ht="15" hidden="false" customHeight="true" outlineLevel="0" collapsed="false">
      <c r="A50" s="114" t="n">
        <v>50870000.01</v>
      </c>
      <c r="B50" s="114" t="n">
        <v>999999999</v>
      </c>
      <c r="C50" s="114" t="n">
        <v>32148.01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140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182</v>
      </c>
    </row>
    <row r="3" customFormat="false" ht="15" hidden="false" customHeight="true" outlineLevel="0" collapsed="false">
      <c r="A3" s="116" t="s">
        <v>183</v>
      </c>
      <c r="B3" s="116"/>
      <c r="C3" s="116"/>
    </row>
    <row r="4" customFormat="false" ht="15" hidden="false" customHeight="false" outlineLevel="0" collapsed="false">
      <c r="A4" s="120"/>
      <c r="B4" s="120"/>
      <c r="C4" s="120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21" t="n">
        <v>0</v>
      </c>
      <c r="B6" s="121" t="n">
        <v>21064.17</v>
      </c>
      <c r="C6" s="121" t="n">
        <v>338.53</v>
      </c>
    </row>
    <row r="7" customFormat="false" ht="15" hidden="false" customHeight="true" outlineLevel="0" collapsed="false">
      <c r="A7" s="122" t="n">
        <v>21064.18</v>
      </c>
      <c r="B7" s="122" t="n">
        <v>42128.37</v>
      </c>
      <c r="C7" s="122" t="n">
        <v>559.41</v>
      </c>
    </row>
    <row r="8" customFormat="false" ht="15" hidden="false" customHeight="true" outlineLevel="0" collapsed="false">
      <c r="A8" s="121" t="n">
        <v>42128.38</v>
      </c>
      <c r="B8" s="121" t="n">
        <v>63192.57</v>
      </c>
      <c r="C8" s="121" t="n">
        <v>780.34</v>
      </c>
    </row>
    <row r="9" customFormat="false" ht="15" hidden="false" customHeight="true" outlineLevel="0" collapsed="false">
      <c r="A9" s="122" t="n">
        <v>63192.58</v>
      </c>
      <c r="B9" s="122" t="n">
        <v>84256.79</v>
      </c>
      <c r="C9" s="122" t="n">
        <v>957.01</v>
      </c>
    </row>
    <row r="10" customFormat="false" ht="15" hidden="false" customHeight="true" outlineLevel="0" collapsed="false">
      <c r="A10" s="121" t="n">
        <v>84256.8</v>
      </c>
      <c r="B10" s="121" t="n">
        <v>112342.37</v>
      </c>
      <c r="C10" s="121" t="n">
        <v>1696.29</v>
      </c>
    </row>
    <row r="11" customFormat="false" ht="15" hidden="false" customHeight="true" outlineLevel="0" collapsed="false">
      <c r="A11" s="122" t="n">
        <v>112342.38</v>
      </c>
      <c r="B11" s="122" t="n">
        <v>140427.98</v>
      </c>
      <c r="C11" s="122" t="n">
        <v>2002.57</v>
      </c>
    </row>
    <row r="12" customFormat="false" ht="15" hidden="false" customHeight="true" outlineLevel="0" collapsed="false">
      <c r="A12" s="121" t="n">
        <v>140427.99</v>
      </c>
      <c r="B12" s="121" t="n">
        <v>280855.98</v>
      </c>
      <c r="C12" s="121" t="n">
        <v>2709.37</v>
      </c>
    </row>
    <row r="13" customFormat="false" ht="15" hidden="false" customHeight="true" outlineLevel="0" collapsed="false">
      <c r="A13" s="122" t="n">
        <v>280855.99</v>
      </c>
      <c r="B13" s="122" t="n">
        <v>561711.99</v>
      </c>
      <c r="C13" s="122" t="n">
        <v>2907.22</v>
      </c>
    </row>
    <row r="14" customFormat="false" ht="15" hidden="false" customHeight="false" outlineLevel="0" collapsed="false">
      <c r="A14" s="121" t="n">
        <v>561712</v>
      </c>
      <c r="B14" s="121" t="n">
        <v>702139.97</v>
      </c>
      <c r="C14" s="121" t="n">
        <v>3159.65</v>
      </c>
    </row>
    <row r="15" customFormat="false" ht="15" hidden="false" customHeight="false" outlineLevel="0" collapsed="false">
      <c r="A15" s="122" t="n">
        <v>702139.98</v>
      </c>
      <c r="B15" s="122" t="n">
        <v>842567.95</v>
      </c>
      <c r="C15" s="122" t="n">
        <v>3412.08</v>
      </c>
    </row>
    <row r="16" customFormat="false" ht="15" hidden="false" customHeight="false" outlineLevel="0" collapsed="false">
      <c r="A16" s="121" t="n">
        <v>842567.96</v>
      </c>
      <c r="B16" s="121" t="n">
        <v>982995.93</v>
      </c>
      <c r="C16" s="121" t="n">
        <v>3664.51</v>
      </c>
    </row>
    <row r="17" customFormat="false" ht="15" hidden="false" customHeight="false" outlineLevel="0" collapsed="false">
      <c r="A17" s="122" t="n">
        <v>982995.94</v>
      </c>
      <c r="B17" s="122" t="n">
        <v>1123423.91</v>
      </c>
      <c r="C17" s="122" t="n">
        <v>3916.94</v>
      </c>
    </row>
    <row r="18" customFormat="false" ht="15" hidden="false" customHeight="false" outlineLevel="0" collapsed="false">
      <c r="A18" s="121" t="n">
        <v>1123423.92</v>
      </c>
      <c r="B18" s="121" t="n">
        <v>1263851.89</v>
      </c>
      <c r="C18" s="121" t="n">
        <v>4169.37</v>
      </c>
    </row>
    <row r="19" customFormat="false" ht="15" hidden="false" customHeight="false" outlineLevel="0" collapsed="false">
      <c r="A19" s="122" t="n">
        <v>1263851.9</v>
      </c>
      <c r="B19" s="122" t="n">
        <v>1404279.87</v>
      </c>
      <c r="C19" s="122" t="n">
        <v>4421.8</v>
      </c>
    </row>
    <row r="20" customFormat="false" ht="15" hidden="false" customHeight="false" outlineLevel="0" collapsed="false">
      <c r="A20" s="121" t="n">
        <v>1404279.88</v>
      </c>
      <c r="B20" s="121" t="n">
        <v>1544707.85</v>
      </c>
      <c r="C20" s="121" t="n">
        <v>4674.23</v>
      </c>
    </row>
    <row r="21" customFormat="false" ht="15" hidden="false" customHeight="false" outlineLevel="0" collapsed="false">
      <c r="A21" s="122" t="n">
        <v>1544707.86</v>
      </c>
      <c r="B21" s="122" t="n">
        <v>1685135.83</v>
      </c>
      <c r="C21" s="122" t="n">
        <v>4926.66</v>
      </c>
    </row>
    <row r="22" customFormat="false" ht="15" hidden="false" customHeight="false" outlineLevel="0" collapsed="false">
      <c r="A22" s="121" t="n">
        <v>1685135.84</v>
      </c>
      <c r="B22" s="121" t="n">
        <v>1825563.81</v>
      </c>
      <c r="C22" s="121" t="n">
        <v>5179.09</v>
      </c>
    </row>
    <row r="23" customFormat="false" ht="15" hidden="false" customHeight="false" outlineLevel="0" collapsed="false">
      <c r="A23" s="122" t="n">
        <v>1825563.82</v>
      </c>
      <c r="B23" s="122" t="n">
        <v>1965991.79</v>
      </c>
      <c r="C23" s="122" t="n">
        <v>5431.52</v>
      </c>
    </row>
    <row r="24" customFormat="false" ht="15" hidden="false" customHeight="false" outlineLevel="0" collapsed="false">
      <c r="A24" s="121" t="n">
        <v>1965991.8</v>
      </c>
      <c r="B24" s="121" t="n">
        <v>2106419.77</v>
      </c>
      <c r="C24" s="121" t="n">
        <v>5683.95</v>
      </c>
    </row>
    <row r="25" customFormat="false" ht="15" hidden="false" customHeight="false" outlineLevel="0" collapsed="false">
      <c r="A25" s="122" t="n">
        <v>2106419.78</v>
      </c>
      <c r="B25" s="122" t="n">
        <v>2246847.75</v>
      </c>
      <c r="C25" s="122" t="n">
        <v>5936.38</v>
      </c>
    </row>
    <row r="26" customFormat="false" ht="15" hidden="false" customHeight="false" outlineLevel="0" collapsed="false">
      <c r="A26" s="121" t="n">
        <v>2246847.76</v>
      </c>
      <c r="B26" s="121" t="n">
        <v>2387275.73</v>
      </c>
      <c r="C26" s="121" t="n">
        <v>6188.81</v>
      </c>
    </row>
    <row r="27" customFormat="false" ht="15" hidden="false" customHeight="false" outlineLevel="0" collapsed="false">
      <c r="A27" s="122" t="n">
        <v>2387275.74</v>
      </c>
      <c r="B27" s="122" t="n">
        <v>2527703.71</v>
      </c>
      <c r="C27" s="122" t="n">
        <v>6441.24</v>
      </c>
    </row>
    <row r="28" customFormat="false" ht="15" hidden="false" customHeight="false" outlineLevel="0" collapsed="false">
      <c r="A28" s="121" t="n">
        <v>2527703.72</v>
      </c>
      <c r="B28" s="121" t="n">
        <v>2668131.69</v>
      </c>
      <c r="C28" s="121" t="n">
        <v>6693.67</v>
      </c>
    </row>
    <row r="29" customFormat="false" ht="15" hidden="false" customHeight="false" outlineLevel="0" collapsed="false">
      <c r="A29" s="122" t="n">
        <v>2668131.7</v>
      </c>
      <c r="B29" s="122" t="n">
        <v>2808559.67</v>
      </c>
      <c r="C29" s="122" t="n">
        <v>6946.1</v>
      </c>
    </row>
    <row r="30" customFormat="false" ht="15" hidden="false" customHeight="false" outlineLevel="0" collapsed="false">
      <c r="A30" s="121" t="n">
        <v>2808559.68</v>
      </c>
      <c r="B30" s="121" t="n">
        <v>2948987.65</v>
      </c>
      <c r="C30" s="121" t="n">
        <v>7198.53</v>
      </c>
    </row>
    <row r="31" customFormat="false" ht="15" hidden="false" customHeight="false" outlineLevel="0" collapsed="false">
      <c r="A31" s="122" t="n">
        <v>2948987.66</v>
      </c>
      <c r="B31" s="122" t="n">
        <v>3089415.63</v>
      </c>
      <c r="C31" s="122" t="n">
        <v>7450.96</v>
      </c>
    </row>
    <row r="32" customFormat="false" ht="15" hidden="false" customHeight="false" outlineLevel="0" collapsed="false">
      <c r="A32" s="121" t="n">
        <v>3089415.64</v>
      </c>
      <c r="B32" s="121" t="n">
        <v>3229843.61</v>
      </c>
      <c r="C32" s="121" t="n">
        <v>7703.39</v>
      </c>
    </row>
    <row r="33" customFormat="false" ht="15" hidden="false" customHeight="false" outlineLevel="0" collapsed="false">
      <c r="A33" s="122" t="n">
        <v>3229843.62</v>
      </c>
      <c r="B33" s="122" t="n">
        <v>3370271.59</v>
      </c>
      <c r="C33" s="122" t="n">
        <v>7955.82</v>
      </c>
    </row>
    <row r="34" customFormat="false" ht="15" hidden="false" customHeight="false" outlineLevel="0" collapsed="false">
      <c r="A34" s="121" t="n">
        <v>3370271.6</v>
      </c>
      <c r="B34" s="121" t="n">
        <v>3510699.57</v>
      </c>
      <c r="C34" s="121" t="n">
        <v>8208.25</v>
      </c>
    </row>
    <row r="35" customFormat="false" ht="15" hidden="false" customHeight="false" outlineLevel="0" collapsed="false">
      <c r="A35" s="122" t="n">
        <v>3510699.58</v>
      </c>
      <c r="B35" s="122" t="n">
        <v>3651127.55</v>
      </c>
      <c r="C35" s="122" t="n">
        <v>8460.68</v>
      </c>
    </row>
    <row r="36" customFormat="false" ht="15" hidden="false" customHeight="false" outlineLevel="0" collapsed="false">
      <c r="A36" s="121" t="n">
        <v>3651127.56</v>
      </c>
      <c r="B36" s="121" t="n">
        <v>3791555.53</v>
      </c>
      <c r="C36" s="121" t="n">
        <v>8713.11</v>
      </c>
    </row>
    <row r="37" customFormat="false" ht="15" hidden="false" customHeight="false" outlineLevel="0" collapsed="false">
      <c r="A37" s="122" t="n">
        <v>3791555.54</v>
      </c>
      <c r="B37" s="122" t="n">
        <v>3931983.51</v>
      </c>
      <c r="C37" s="122" t="n">
        <v>8965.54</v>
      </c>
    </row>
    <row r="38" customFormat="false" ht="15" hidden="false" customHeight="false" outlineLevel="0" collapsed="false">
      <c r="A38" s="121" t="n">
        <v>3931983.52</v>
      </c>
      <c r="B38" s="121" t="n">
        <v>4072411.49</v>
      </c>
      <c r="C38" s="121" t="n">
        <v>9217.97</v>
      </c>
    </row>
    <row r="39" customFormat="false" ht="15" hidden="false" customHeight="false" outlineLevel="0" collapsed="false">
      <c r="A39" s="122" t="n">
        <v>4072411.5</v>
      </c>
      <c r="B39" s="122" t="n">
        <v>4212839.47</v>
      </c>
      <c r="C39" s="122" t="n">
        <v>9470.4</v>
      </c>
    </row>
    <row r="40" customFormat="false" ht="15" hidden="false" customHeight="false" outlineLevel="0" collapsed="false">
      <c r="A40" s="121" t="n">
        <v>4212839.48</v>
      </c>
      <c r="B40" s="121" t="n">
        <v>4353267.45</v>
      </c>
      <c r="C40" s="121" t="n">
        <v>9722.83</v>
      </c>
    </row>
    <row r="41" customFormat="false" ht="15" hidden="false" customHeight="false" outlineLevel="0" collapsed="false">
      <c r="A41" s="122" t="n">
        <v>4353267.46</v>
      </c>
      <c r="B41" s="122" t="n">
        <v>4493695.43</v>
      </c>
      <c r="C41" s="122" t="n">
        <v>9975.26</v>
      </c>
    </row>
    <row r="42" customFormat="false" ht="15" hidden="false" customHeight="false" outlineLevel="0" collapsed="false">
      <c r="A42" s="121" t="n">
        <v>4493695.44</v>
      </c>
      <c r="B42" s="121" t="n">
        <v>4634123.41</v>
      </c>
      <c r="C42" s="121" t="n">
        <v>10480.12</v>
      </c>
    </row>
    <row r="43" customFormat="false" ht="15" hidden="false" customHeight="false" outlineLevel="0" collapsed="false">
      <c r="A43" s="122" t="n">
        <v>4634123.42</v>
      </c>
      <c r="B43" s="122" t="n">
        <v>4774551.39</v>
      </c>
      <c r="C43" s="122" t="n">
        <v>10732.55</v>
      </c>
    </row>
    <row r="44" customFormat="false" ht="15" hidden="false" customHeight="false" outlineLevel="0" collapsed="false">
      <c r="A44" s="121" t="n">
        <v>4774551.4</v>
      </c>
      <c r="B44" s="121" t="n">
        <v>4914979.37</v>
      </c>
      <c r="C44" s="121" t="n">
        <v>10984.98</v>
      </c>
    </row>
    <row r="45" customFormat="false" ht="15" hidden="false" customHeight="false" outlineLevel="0" collapsed="false">
      <c r="A45" s="122" t="n">
        <v>4914979.38</v>
      </c>
      <c r="B45" s="122" t="n">
        <v>5055407.35</v>
      </c>
      <c r="C45" s="122" t="n">
        <v>11237.41</v>
      </c>
    </row>
    <row r="46" customFormat="false" ht="15" hidden="false" customHeight="false" outlineLevel="0" collapsed="false">
      <c r="A46" s="121" t="n">
        <v>5055407.36</v>
      </c>
      <c r="B46" s="121" t="n">
        <v>5195835.33</v>
      </c>
      <c r="C46" s="121" t="n">
        <v>11489.84</v>
      </c>
    </row>
    <row r="47" customFormat="false" ht="15" hidden="false" customHeight="false" outlineLevel="0" collapsed="false">
      <c r="A47" s="122" t="n">
        <v>5195835.34</v>
      </c>
      <c r="B47" s="122" t="n">
        <v>5336263.31</v>
      </c>
      <c r="C47" s="122" t="n">
        <v>11742.27</v>
      </c>
    </row>
    <row r="48" customFormat="false" ht="15" hidden="false" customHeight="false" outlineLevel="0" collapsed="false">
      <c r="A48" s="121" t="n">
        <v>5336263.32</v>
      </c>
      <c r="B48" s="121" t="n">
        <v>5476691.29</v>
      </c>
      <c r="C48" s="121" t="n">
        <v>11994.7</v>
      </c>
    </row>
    <row r="49" customFormat="false" ht="15" hidden="false" customHeight="false" outlineLevel="0" collapsed="false">
      <c r="A49" s="122" t="n">
        <v>5476691.3</v>
      </c>
      <c r="B49" s="122" t="n">
        <v>5617119.27</v>
      </c>
      <c r="C49" s="122" t="n">
        <v>12247.13</v>
      </c>
    </row>
    <row r="50" customFormat="false" ht="15" hidden="false" customHeight="false" outlineLevel="0" collapsed="false">
      <c r="A50" s="121" t="n">
        <v>5617119.28</v>
      </c>
      <c r="B50" s="121" t="n">
        <v>5757547.25</v>
      </c>
      <c r="C50" s="121" t="n">
        <v>12499.56</v>
      </c>
    </row>
    <row r="51" customFormat="false" ht="15" hidden="false" customHeight="false" outlineLevel="0" collapsed="false">
      <c r="A51" s="122" t="n">
        <v>5757547.26</v>
      </c>
      <c r="B51" s="122" t="n">
        <v>5897975.23</v>
      </c>
      <c r="C51" s="122" t="n">
        <v>12751.99</v>
      </c>
    </row>
    <row r="52" customFormat="false" ht="15" hidden="false" customHeight="false" outlineLevel="0" collapsed="false">
      <c r="A52" s="121" t="n">
        <v>5897975.24</v>
      </c>
      <c r="B52" s="121" t="n">
        <v>6038403.21</v>
      </c>
      <c r="C52" s="121" t="n">
        <v>13004.42</v>
      </c>
    </row>
    <row r="53" customFormat="false" ht="15" hidden="false" customHeight="false" outlineLevel="0" collapsed="false">
      <c r="A53" s="122" t="n">
        <v>6038403.22</v>
      </c>
      <c r="B53" s="122" t="n">
        <v>6178831.19</v>
      </c>
      <c r="C53" s="122" t="n">
        <v>13256.85</v>
      </c>
    </row>
    <row r="54" customFormat="false" ht="15" hidden="false" customHeight="false" outlineLevel="0" collapsed="false">
      <c r="A54" s="121" t="n">
        <v>6178831.2</v>
      </c>
      <c r="B54" s="121" t="n">
        <v>6319259.17</v>
      </c>
      <c r="C54" s="121" t="n">
        <v>13509.28</v>
      </c>
    </row>
    <row r="55" customFormat="false" ht="15" hidden="false" customHeight="false" outlineLevel="0" collapsed="false">
      <c r="A55" s="122" t="n">
        <v>6319259.18</v>
      </c>
      <c r="B55" s="122" t="n">
        <v>6459687.15</v>
      </c>
      <c r="C55" s="122" t="n">
        <v>13761.71</v>
      </c>
    </row>
    <row r="56" customFormat="false" ht="15" hidden="false" customHeight="false" outlineLevel="0" collapsed="false">
      <c r="A56" s="121" t="n">
        <v>6459687.16</v>
      </c>
      <c r="B56" s="121" t="n">
        <v>6600115.13</v>
      </c>
      <c r="C56" s="121" t="n">
        <v>14014.14</v>
      </c>
    </row>
    <row r="57" customFormat="false" ht="15" hidden="false" customHeight="false" outlineLevel="0" collapsed="false">
      <c r="A57" s="122" t="n">
        <v>6600115.14</v>
      </c>
      <c r="B57" s="122" t="n">
        <v>6740543.11</v>
      </c>
      <c r="C57" s="122" t="n">
        <v>14266.57</v>
      </c>
    </row>
    <row r="58" customFormat="false" ht="15" hidden="false" customHeight="false" outlineLevel="0" collapsed="false">
      <c r="A58" s="121" t="n">
        <v>6740543.12</v>
      </c>
      <c r="B58" s="121" t="n">
        <v>6880971.09</v>
      </c>
      <c r="C58" s="121" t="n">
        <v>14519</v>
      </c>
    </row>
    <row r="59" customFormat="false" ht="15" hidden="false" customHeight="false" outlineLevel="0" collapsed="false">
      <c r="A59" s="122" t="n">
        <v>6880971.1</v>
      </c>
      <c r="B59" s="122" t="n">
        <v>7021399.07</v>
      </c>
      <c r="C59" s="122" t="n">
        <v>14771.43</v>
      </c>
    </row>
    <row r="60" customFormat="false" ht="15" hidden="false" customHeight="false" outlineLevel="0" collapsed="false">
      <c r="A60" s="121" t="n">
        <v>7021399.08</v>
      </c>
      <c r="B60" s="121" t="n">
        <v>7161827.05</v>
      </c>
      <c r="C60" s="121" t="n">
        <v>15023.86</v>
      </c>
    </row>
    <row r="61" customFormat="false" ht="15" hidden="false" customHeight="false" outlineLevel="0" collapsed="false">
      <c r="A61" s="122" t="n">
        <v>7161827.06</v>
      </c>
      <c r="B61" s="122" t="n">
        <v>7302255.03</v>
      </c>
      <c r="C61" s="122" t="n">
        <v>15276.29</v>
      </c>
    </row>
    <row r="62" customFormat="false" ht="15" hidden="false" customHeight="false" outlineLevel="0" collapsed="false">
      <c r="A62" s="121" t="n">
        <v>7302255.04</v>
      </c>
      <c r="B62" s="121" t="n">
        <v>7442683.01</v>
      </c>
      <c r="C62" s="121" t="n">
        <v>15528.72</v>
      </c>
    </row>
    <row r="63" customFormat="false" ht="15" hidden="false" customHeight="false" outlineLevel="0" collapsed="false">
      <c r="A63" s="122" t="n">
        <v>7442683.02</v>
      </c>
      <c r="B63" s="122" t="n">
        <v>7583110.99</v>
      </c>
      <c r="C63" s="122" t="n">
        <v>15781.15</v>
      </c>
    </row>
    <row r="64" customFormat="false" ht="15" hidden="false" customHeight="false" outlineLevel="0" collapsed="false">
      <c r="A64" s="121" t="n">
        <v>7583111</v>
      </c>
      <c r="B64" s="121" t="n">
        <v>7723538.97</v>
      </c>
      <c r="C64" s="121" t="n">
        <v>16033.58</v>
      </c>
    </row>
    <row r="65" customFormat="false" ht="15" hidden="false" customHeight="false" outlineLevel="0" collapsed="false">
      <c r="A65" s="122" t="n">
        <v>7723538.98</v>
      </c>
      <c r="B65" s="122" t="n">
        <v>7863966.95</v>
      </c>
      <c r="C65" s="122" t="n">
        <v>16286.01</v>
      </c>
    </row>
    <row r="66" customFormat="false" ht="15" hidden="false" customHeight="false" outlineLevel="0" collapsed="false">
      <c r="A66" s="121" t="n">
        <v>7863966.96</v>
      </c>
      <c r="B66" s="121" t="n">
        <v>8004394.93</v>
      </c>
      <c r="C66" s="121" t="n">
        <v>16538.44</v>
      </c>
    </row>
    <row r="67" customFormat="false" ht="15" hidden="false" customHeight="false" outlineLevel="0" collapsed="false">
      <c r="A67" s="122" t="n">
        <v>8004394.94</v>
      </c>
      <c r="B67" s="122" t="n">
        <v>8144822.91</v>
      </c>
      <c r="C67" s="122" t="n">
        <v>16790.87</v>
      </c>
    </row>
    <row r="68" customFormat="false" ht="15" hidden="false" customHeight="false" outlineLevel="0" collapsed="false">
      <c r="A68" s="121" t="n">
        <v>8144822.92</v>
      </c>
      <c r="B68" s="121" t="n">
        <v>8285250.89</v>
      </c>
      <c r="C68" s="121" t="n">
        <v>17043.3</v>
      </c>
    </row>
    <row r="69" customFormat="false" ht="15" hidden="false" customHeight="false" outlineLevel="0" collapsed="false">
      <c r="A69" s="122" t="n">
        <v>8285250.9</v>
      </c>
      <c r="B69" s="122" t="n">
        <v>8425678.87</v>
      </c>
      <c r="C69" s="122" t="n">
        <v>17295.73</v>
      </c>
    </row>
    <row r="70" customFormat="false" ht="15" hidden="false" customHeight="false" outlineLevel="0" collapsed="false">
      <c r="A70" s="121" t="n">
        <v>8425678.88</v>
      </c>
      <c r="B70" s="121" t="n">
        <v>8566106.85</v>
      </c>
      <c r="C70" s="121" t="n">
        <v>17548.16</v>
      </c>
    </row>
    <row r="71" customFormat="false" ht="15" hidden="false" customHeight="false" outlineLevel="0" collapsed="false">
      <c r="A71" s="122" t="n">
        <v>8566106.86</v>
      </c>
      <c r="B71" s="122" t="n">
        <v>8706534.83</v>
      </c>
      <c r="C71" s="122" t="n">
        <v>17800.59</v>
      </c>
    </row>
    <row r="72" customFormat="false" ht="15" hidden="false" customHeight="false" outlineLevel="0" collapsed="false">
      <c r="A72" s="121" t="n">
        <v>8706534.84</v>
      </c>
      <c r="B72" s="121" t="n">
        <v>8846962.81</v>
      </c>
      <c r="C72" s="121" t="n">
        <v>18053.02</v>
      </c>
    </row>
    <row r="73" customFormat="false" ht="15" hidden="false" customHeight="false" outlineLevel="0" collapsed="false">
      <c r="A73" s="122" t="n">
        <v>8846962.82</v>
      </c>
      <c r="B73" s="122" t="n">
        <v>8987390.79</v>
      </c>
      <c r="C73" s="122" t="n">
        <v>18305.45</v>
      </c>
    </row>
    <row r="74" customFormat="false" ht="15" hidden="false" customHeight="false" outlineLevel="0" collapsed="false">
      <c r="A74" s="121" t="n">
        <v>8987390.8</v>
      </c>
      <c r="B74" s="121" t="n">
        <v>9127818.77</v>
      </c>
      <c r="C74" s="121" t="n">
        <v>18557.88</v>
      </c>
    </row>
    <row r="75" customFormat="false" ht="15" hidden="false" customHeight="false" outlineLevel="0" collapsed="false">
      <c r="A75" s="122" t="n">
        <v>9127818.78</v>
      </c>
      <c r="B75" s="122" t="n">
        <v>9268246.75</v>
      </c>
      <c r="C75" s="122" t="n">
        <v>18810.31</v>
      </c>
    </row>
    <row r="76" customFormat="false" ht="15" hidden="false" customHeight="false" outlineLevel="0" collapsed="false">
      <c r="A76" s="121" t="n">
        <v>9268246.76</v>
      </c>
      <c r="B76" s="121" t="n">
        <v>9408674.73</v>
      </c>
      <c r="C76" s="121" t="n">
        <v>19062.74</v>
      </c>
    </row>
    <row r="77" customFormat="false" ht="15" hidden="false" customHeight="false" outlineLevel="0" collapsed="false">
      <c r="A77" s="122" t="n">
        <v>9408674.74</v>
      </c>
      <c r="B77" s="122" t="n">
        <v>9549102.71</v>
      </c>
      <c r="C77" s="122" t="n">
        <v>19315.17</v>
      </c>
    </row>
    <row r="78" customFormat="false" ht="15" hidden="false" customHeight="false" outlineLevel="0" collapsed="false">
      <c r="A78" s="121" t="n">
        <v>9549102.72</v>
      </c>
      <c r="B78" s="121" t="n">
        <v>9689530.69</v>
      </c>
      <c r="C78" s="121" t="n">
        <v>19567.6</v>
      </c>
    </row>
    <row r="79" customFormat="false" ht="15" hidden="false" customHeight="false" outlineLevel="0" collapsed="false">
      <c r="A79" s="122" t="n">
        <v>9689530.7</v>
      </c>
      <c r="B79" s="122" t="n">
        <v>9829958.67</v>
      </c>
      <c r="C79" s="122" t="n">
        <v>19820.03</v>
      </c>
    </row>
    <row r="80" customFormat="false" ht="15" hidden="false" customHeight="false" outlineLevel="0" collapsed="false">
      <c r="A80" s="121" t="n">
        <v>9829958.68</v>
      </c>
      <c r="B80" s="121" t="n">
        <v>9970386.65</v>
      </c>
      <c r="C80" s="121" t="n">
        <v>20072.46</v>
      </c>
    </row>
    <row r="81" customFormat="false" ht="15" hidden="false" customHeight="false" outlineLevel="0" collapsed="false">
      <c r="A81" s="122" t="n">
        <v>9970386.66</v>
      </c>
      <c r="B81" s="122" t="n">
        <v>10110814.63</v>
      </c>
      <c r="C81" s="122" t="n">
        <v>20324.89</v>
      </c>
    </row>
    <row r="82" customFormat="false" ht="15" hidden="false" customHeight="false" outlineLevel="0" collapsed="false">
      <c r="A82" s="121" t="n">
        <v>10110814.64</v>
      </c>
      <c r="B82" s="121" t="n">
        <v>10251242.61</v>
      </c>
      <c r="C82" s="121" t="n">
        <v>20577.32</v>
      </c>
    </row>
    <row r="83" customFormat="false" ht="15" hidden="false" customHeight="false" outlineLevel="0" collapsed="false">
      <c r="A83" s="122" t="n">
        <v>10251242.62</v>
      </c>
      <c r="B83" s="122" t="n">
        <v>10391670.59</v>
      </c>
      <c r="C83" s="122" t="n">
        <v>20829.75</v>
      </c>
    </row>
    <row r="84" customFormat="false" ht="15" hidden="false" customHeight="false" outlineLevel="0" collapsed="false">
      <c r="A84" s="121" t="n">
        <v>10391670.6</v>
      </c>
      <c r="B84" s="121" t="n">
        <v>10532098.57</v>
      </c>
      <c r="C84" s="121" t="n">
        <v>21082.18</v>
      </c>
    </row>
    <row r="85" customFormat="false" ht="15" hidden="false" customHeight="false" outlineLevel="0" collapsed="false">
      <c r="A85" s="122" t="n">
        <v>10532098.58</v>
      </c>
      <c r="B85" s="122" t="n">
        <v>10672526.55</v>
      </c>
      <c r="C85" s="122" t="n">
        <v>21334.61</v>
      </c>
    </row>
    <row r="86" customFormat="false" ht="15" hidden="false" customHeight="false" outlineLevel="0" collapsed="false">
      <c r="A86" s="121" t="n">
        <v>10672526.56</v>
      </c>
      <c r="B86" s="121" t="n">
        <v>10812954.53</v>
      </c>
      <c r="C86" s="121" t="n">
        <v>21587.04</v>
      </c>
    </row>
    <row r="87" customFormat="false" ht="15" hidden="false" customHeight="false" outlineLevel="0" collapsed="false">
      <c r="A87" s="122" t="n">
        <v>10812954.54</v>
      </c>
      <c r="B87" s="122" t="n">
        <v>10953382.51</v>
      </c>
      <c r="C87" s="122" t="n">
        <v>21839.47</v>
      </c>
    </row>
    <row r="88" customFormat="false" ht="15" hidden="false" customHeight="false" outlineLevel="0" collapsed="false">
      <c r="A88" s="121" t="n">
        <v>10953382.52</v>
      </c>
      <c r="B88" s="121" t="n">
        <v>11093810.49</v>
      </c>
      <c r="C88" s="121" t="n">
        <v>22091.9</v>
      </c>
    </row>
    <row r="89" customFormat="false" ht="15" hidden="false" customHeight="false" outlineLevel="0" collapsed="false">
      <c r="A89" s="122" t="n">
        <v>11093810.5</v>
      </c>
      <c r="B89" s="122" t="n">
        <v>11234238.47</v>
      </c>
      <c r="C89" s="122" t="n">
        <v>22344.33</v>
      </c>
    </row>
    <row r="90" customFormat="false" ht="15" hidden="false" customHeight="false" outlineLevel="0" collapsed="false">
      <c r="A90" s="121" t="n">
        <v>11234238.48</v>
      </c>
      <c r="B90" s="121" t="n">
        <v>11374666.45</v>
      </c>
      <c r="C90" s="121" t="n">
        <v>22596.76</v>
      </c>
    </row>
    <row r="91" customFormat="false" ht="15" hidden="false" customHeight="false" outlineLevel="0" collapsed="false">
      <c r="A91" s="122" t="n">
        <v>11374666.46</v>
      </c>
      <c r="B91" s="122" t="n">
        <v>11515094.43</v>
      </c>
      <c r="C91" s="122" t="n">
        <v>22849.19</v>
      </c>
    </row>
    <row r="92" customFormat="false" ht="15" hidden="false" customHeight="false" outlineLevel="0" collapsed="false">
      <c r="A92" s="121" t="n">
        <v>11515094.44</v>
      </c>
      <c r="B92" s="121" t="n">
        <v>11655522.41</v>
      </c>
      <c r="C92" s="121" t="n">
        <v>23101.62</v>
      </c>
    </row>
    <row r="93" customFormat="false" ht="15" hidden="false" customHeight="false" outlineLevel="0" collapsed="false">
      <c r="A93" s="122" t="n">
        <v>11655522.42</v>
      </c>
      <c r="B93" s="122" t="n">
        <v>11795950.39</v>
      </c>
      <c r="C93" s="122" t="n">
        <v>23354.05</v>
      </c>
    </row>
    <row r="94" customFormat="false" ht="15" hidden="false" customHeight="false" outlineLevel="0" collapsed="false">
      <c r="A94" s="121" t="n">
        <v>11795950.4</v>
      </c>
      <c r="B94" s="121" t="n">
        <v>11936378.37</v>
      </c>
      <c r="C94" s="121" t="n">
        <v>23606.48</v>
      </c>
    </row>
    <row r="95" customFormat="false" ht="15" hidden="false" customHeight="false" outlineLevel="0" collapsed="false">
      <c r="A95" s="122" t="n">
        <v>11936378.38</v>
      </c>
      <c r="B95" s="122" t="n">
        <v>12076806.35</v>
      </c>
      <c r="C95" s="122" t="n">
        <v>23858.91</v>
      </c>
    </row>
    <row r="96" customFormat="false" ht="15" hidden="false" customHeight="false" outlineLevel="0" collapsed="false">
      <c r="A96" s="121" t="n">
        <v>12076806.36</v>
      </c>
      <c r="B96" s="121" t="n">
        <v>12217234.33</v>
      </c>
      <c r="C96" s="121" t="n">
        <v>24111.34</v>
      </c>
    </row>
    <row r="97" customFormat="false" ht="15" hidden="false" customHeight="false" outlineLevel="0" collapsed="false">
      <c r="A97" s="122" t="n">
        <v>12217234.34</v>
      </c>
      <c r="B97" s="122" t="n">
        <v>12357662.31</v>
      </c>
      <c r="C97" s="122" t="n">
        <v>24363.77</v>
      </c>
    </row>
    <row r="98" customFormat="false" ht="15" hidden="false" customHeight="false" outlineLevel="0" collapsed="false">
      <c r="A98" s="121" t="n">
        <v>12357662.32</v>
      </c>
      <c r="B98" s="121" t="n">
        <v>12498090.29</v>
      </c>
      <c r="C98" s="121" t="n">
        <v>24616.2</v>
      </c>
    </row>
    <row r="99" customFormat="false" ht="15" hidden="false" customHeight="false" outlineLevel="0" collapsed="false">
      <c r="A99" s="122" t="n">
        <v>12498090.3</v>
      </c>
      <c r="B99" s="122" t="n">
        <v>12638518.27</v>
      </c>
      <c r="C99" s="122" t="n">
        <v>24868.63</v>
      </c>
    </row>
    <row r="100" customFormat="false" ht="15" hidden="false" customHeight="false" outlineLevel="0" collapsed="false">
      <c r="A100" s="121" t="n">
        <v>12638518.28</v>
      </c>
      <c r="B100" s="121" t="n">
        <v>12778946.25</v>
      </c>
      <c r="C100" s="121" t="n">
        <v>25121.06</v>
      </c>
    </row>
    <row r="101" customFormat="false" ht="15" hidden="false" customHeight="false" outlineLevel="0" collapsed="false">
      <c r="A101" s="122" t="n">
        <v>12778946.26</v>
      </c>
      <c r="B101" s="122" t="n">
        <v>12919374.23</v>
      </c>
      <c r="C101" s="122" t="n">
        <v>25373.49</v>
      </c>
    </row>
    <row r="102" customFormat="false" ht="15" hidden="false" customHeight="false" outlineLevel="0" collapsed="false">
      <c r="A102" s="121" t="n">
        <v>12919374.24</v>
      </c>
      <c r="B102" s="121" t="n">
        <v>13059802.21</v>
      </c>
      <c r="C102" s="121" t="n">
        <v>25625.92</v>
      </c>
    </row>
    <row r="103" customFormat="false" ht="15" hidden="false" customHeight="false" outlineLevel="0" collapsed="false">
      <c r="A103" s="122" t="n">
        <v>13059802.22</v>
      </c>
      <c r="B103" s="122" t="n">
        <v>13200230.19</v>
      </c>
      <c r="C103" s="122" t="n">
        <v>25878.35</v>
      </c>
    </row>
    <row r="104" customFormat="false" ht="15" hidden="false" customHeight="false" outlineLevel="0" collapsed="false">
      <c r="A104" s="121" t="n">
        <v>13200230.2</v>
      </c>
      <c r="B104" s="121" t="n">
        <v>13340658.17</v>
      </c>
      <c r="C104" s="121" t="n">
        <v>26130.78</v>
      </c>
    </row>
    <row r="105" customFormat="false" ht="15" hidden="false" customHeight="false" outlineLevel="0" collapsed="false">
      <c r="A105" s="122" t="n">
        <v>13340658.18</v>
      </c>
      <c r="B105" s="122" t="n">
        <v>13481086.15</v>
      </c>
      <c r="C105" s="122" t="n">
        <v>26383.21</v>
      </c>
    </row>
    <row r="106" customFormat="false" ht="15" hidden="false" customHeight="false" outlineLevel="0" collapsed="false">
      <c r="A106" s="121" t="n">
        <v>13481086.16</v>
      </c>
      <c r="B106" s="121" t="n">
        <v>13621514.13</v>
      </c>
      <c r="C106" s="121" t="n">
        <v>26635.64</v>
      </c>
    </row>
    <row r="107" customFormat="false" ht="15" hidden="false" customHeight="false" outlineLevel="0" collapsed="false">
      <c r="A107" s="122" t="n">
        <v>13621514.14</v>
      </c>
      <c r="B107" s="122" t="n">
        <v>13761942.11</v>
      </c>
      <c r="C107" s="122" t="n">
        <v>26888.07</v>
      </c>
    </row>
    <row r="108" customFormat="false" ht="15" hidden="false" customHeight="false" outlineLevel="0" collapsed="false">
      <c r="A108" s="121" t="n">
        <v>13761942.12</v>
      </c>
      <c r="B108" s="121" t="n">
        <v>13902370.09</v>
      </c>
      <c r="C108" s="121" t="n">
        <v>27140.5</v>
      </c>
    </row>
    <row r="109" customFormat="false" ht="15" hidden="false" customHeight="false" outlineLevel="0" collapsed="false">
      <c r="A109" s="122" t="n">
        <v>13902370.1</v>
      </c>
      <c r="B109" s="122" t="n">
        <v>14042798.07</v>
      </c>
      <c r="C109" s="122" t="n">
        <v>27392.93</v>
      </c>
    </row>
    <row r="110" customFormat="false" ht="15" hidden="false" customHeight="false" outlineLevel="0" collapsed="false">
      <c r="A110" s="121" t="n">
        <v>14042798.08</v>
      </c>
      <c r="B110" s="121" t="n">
        <v>14183226.05</v>
      </c>
      <c r="C110" s="121" t="n">
        <v>27645.36</v>
      </c>
    </row>
    <row r="111" customFormat="false" ht="15" hidden="false" customHeight="false" outlineLevel="0" collapsed="false">
      <c r="A111" s="122" t="n">
        <v>14183226.06</v>
      </c>
      <c r="B111" s="122" t="n">
        <v>14323654.03</v>
      </c>
      <c r="C111" s="122" t="n">
        <v>27897.79</v>
      </c>
    </row>
    <row r="112" customFormat="false" ht="15" hidden="false" customHeight="false" outlineLevel="0" collapsed="false">
      <c r="A112" s="121" t="n">
        <v>14323654.04</v>
      </c>
      <c r="B112" s="121" t="n">
        <v>14464082.01</v>
      </c>
      <c r="C112" s="121" t="n">
        <v>28150.22</v>
      </c>
    </row>
    <row r="113" customFormat="false" ht="15" hidden="false" customHeight="false" outlineLevel="0" collapsed="false">
      <c r="A113" s="122" t="n">
        <v>14464082.02</v>
      </c>
      <c r="B113" s="122" t="n">
        <v>14604509.99</v>
      </c>
      <c r="C113" s="122" t="n">
        <v>28402.65</v>
      </c>
    </row>
    <row r="114" customFormat="false" ht="15" hidden="false" customHeight="false" outlineLevel="0" collapsed="false">
      <c r="A114" s="121" t="n">
        <v>14604510</v>
      </c>
      <c r="B114" s="121" t="n">
        <v>14744937.97</v>
      </c>
      <c r="C114" s="121" t="n">
        <v>28655.08</v>
      </c>
    </row>
    <row r="115" customFormat="false" ht="15" hidden="false" customHeight="false" outlineLevel="0" collapsed="false">
      <c r="A115" s="122" t="n">
        <v>14744937.98</v>
      </c>
      <c r="B115" s="122" t="n">
        <v>14885365.95</v>
      </c>
      <c r="C115" s="122" t="n">
        <v>28907.51</v>
      </c>
    </row>
    <row r="116" customFormat="false" ht="15" hidden="false" customHeight="false" outlineLevel="0" collapsed="false">
      <c r="A116" s="121" t="n">
        <v>14885365.96</v>
      </c>
      <c r="B116" s="121" t="n">
        <v>15025793.93</v>
      </c>
      <c r="C116" s="121" t="n">
        <v>29159.94</v>
      </c>
    </row>
    <row r="117" customFormat="false" ht="15" hidden="false" customHeight="false" outlineLevel="0" collapsed="false">
      <c r="A117" s="122" t="n">
        <v>15025793.94</v>
      </c>
      <c r="B117" s="122" t="n">
        <v>15166221.91</v>
      </c>
      <c r="C117" s="122" t="n">
        <v>29412.37</v>
      </c>
    </row>
    <row r="118" customFormat="false" ht="15" hidden="false" customHeight="false" outlineLevel="0" collapsed="false">
      <c r="A118" s="121" t="n">
        <v>15166221.92</v>
      </c>
      <c r="B118" s="121" t="n">
        <v>15306649.89</v>
      </c>
      <c r="C118" s="121" t="n">
        <v>29664.8</v>
      </c>
    </row>
    <row r="119" customFormat="false" ht="15" hidden="false" customHeight="false" outlineLevel="0" collapsed="false">
      <c r="A119" s="122" t="n">
        <v>15306649.9</v>
      </c>
      <c r="B119" s="122" t="n">
        <v>15447077.87</v>
      </c>
      <c r="C119" s="122" t="n">
        <v>29917.23</v>
      </c>
    </row>
    <row r="120" customFormat="false" ht="15" hidden="false" customHeight="false" outlineLevel="0" collapsed="false">
      <c r="A120" s="121" t="n">
        <v>15447077.88</v>
      </c>
      <c r="B120" s="121" t="n">
        <v>15587505.85</v>
      </c>
      <c r="C120" s="121" t="n">
        <v>30169.66</v>
      </c>
    </row>
    <row r="121" customFormat="false" ht="15" hidden="false" customHeight="false" outlineLevel="0" collapsed="false">
      <c r="A121" s="122" t="n">
        <v>15587505.86</v>
      </c>
      <c r="B121" s="122" t="n">
        <v>15727933.83</v>
      </c>
      <c r="C121" s="122" t="n">
        <v>30422.09</v>
      </c>
    </row>
    <row r="122" customFormat="false" ht="15" hidden="false" customHeight="false" outlineLevel="0" collapsed="false">
      <c r="A122" s="121" t="n">
        <v>15727933.84</v>
      </c>
      <c r="B122" s="121" t="n">
        <v>15868361.81</v>
      </c>
      <c r="C122" s="121" t="n">
        <v>30674.52</v>
      </c>
    </row>
    <row r="123" customFormat="false" ht="15" hidden="false" customHeight="false" outlineLevel="0" collapsed="false">
      <c r="A123" s="122" t="n">
        <v>15868361.82</v>
      </c>
      <c r="B123" s="122" t="n">
        <v>16008789.79</v>
      </c>
      <c r="C123" s="122" t="n">
        <v>30926.95</v>
      </c>
    </row>
    <row r="124" customFormat="false" ht="15" hidden="false" customHeight="false" outlineLevel="0" collapsed="false">
      <c r="A124" s="121" t="n">
        <v>16008789.8</v>
      </c>
      <c r="B124" s="121" t="n">
        <v>16149217.77</v>
      </c>
      <c r="C124" s="121" t="n">
        <v>31179.38</v>
      </c>
    </row>
    <row r="125" customFormat="false" ht="15" hidden="false" customHeight="false" outlineLevel="0" collapsed="false">
      <c r="A125" s="122" t="n">
        <v>16149217.78</v>
      </c>
      <c r="B125" s="122" t="n">
        <v>16289645.75</v>
      </c>
      <c r="C125" s="122" t="n">
        <v>31431.81</v>
      </c>
    </row>
    <row r="126" customFormat="false" ht="15" hidden="false" customHeight="false" outlineLevel="0" collapsed="false">
      <c r="A126" s="121" t="n">
        <v>16289645.76</v>
      </c>
      <c r="B126" s="121" t="n">
        <v>16430073.73</v>
      </c>
      <c r="C126" s="121" t="n">
        <v>31684.24</v>
      </c>
    </row>
    <row r="127" customFormat="false" ht="15" hidden="false" customHeight="false" outlineLevel="0" collapsed="false">
      <c r="A127" s="122" t="n">
        <v>16430073.74</v>
      </c>
      <c r="B127" s="122" t="n">
        <v>16570501.71</v>
      </c>
      <c r="C127" s="122" t="n">
        <v>31936.67</v>
      </c>
    </row>
    <row r="128" customFormat="false" ht="15" hidden="false" customHeight="false" outlineLevel="0" collapsed="false">
      <c r="A128" s="121" t="n">
        <v>16570501.72</v>
      </c>
      <c r="B128" s="121" t="n">
        <v>16710929.69</v>
      </c>
      <c r="C128" s="121" t="n">
        <v>32189.1</v>
      </c>
    </row>
    <row r="129" customFormat="false" ht="15" hidden="false" customHeight="false" outlineLevel="0" collapsed="false">
      <c r="A129" s="122" t="n">
        <v>16710929.7</v>
      </c>
      <c r="B129" s="122" t="n">
        <v>16851357.67</v>
      </c>
      <c r="C129" s="122" t="n">
        <v>32441.53</v>
      </c>
    </row>
    <row r="130" customFormat="false" ht="15" hidden="false" customHeight="false" outlineLevel="0" collapsed="false">
      <c r="A130" s="121" t="n">
        <v>16851357.68</v>
      </c>
      <c r="B130" s="121" t="n">
        <v>16991785.65</v>
      </c>
      <c r="C130" s="121" t="n">
        <v>32693.96</v>
      </c>
    </row>
    <row r="131" customFormat="false" ht="15" hidden="false" customHeight="false" outlineLevel="0" collapsed="false">
      <c r="A131" s="122" t="n">
        <v>16991785.66</v>
      </c>
      <c r="B131" s="122" t="n">
        <v>17132213.63</v>
      </c>
      <c r="C131" s="122" t="n">
        <v>32946.39</v>
      </c>
    </row>
    <row r="132" customFormat="false" ht="15" hidden="false" customHeight="false" outlineLevel="0" collapsed="false">
      <c r="A132" s="121" t="n">
        <v>17132213.64</v>
      </c>
      <c r="B132" s="121" t="n">
        <v>17272641.61</v>
      </c>
      <c r="C132" s="121" t="n">
        <v>33198.82</v>
      </c>
    </row>
    <row r="133" customFormat="false" ht="15" hidden="false" customHeight="false" outlineLevel="0" collapsed="false">
      <c r="A133" s="122" t="n">
        <v>17272641.62</v>
      </c>
      <c r="B133" s="122" t="n">
        <v>17413069.59</v>
      </c>
      <c r="C133" s="122" t="n">
        <v>33451.25</v>
      </c>
    </row>
    <row r="134" customFormat="false" ht="15" hidden="false" customHeight="false" outlineLevel="0" collapsed="false">
      <c r="A134" s="121" t="n">
        <v>17413069.6</v>
      </c>
      <c r="B134" s="121" t="n">
        <v>17553497.57</v>
      </c>
      <c r="C134" s="121" t="n">
        <v>33703.68</v>
      </c>
    </row>
    <row r="135" customFormat="false" ht="15" hidden="false" customHeight="false" outlineLevel="0" collapsed="false">
      <c r="A135" s="122" t="n">
        <v>17553497.58</v>
      </c>
      <c r="B135" s="122" t="n">
        <v>17693925.55</v>
      </c>
      <c r="C135" s="122" t="n">
        <v>33956.11</v>
      </c>
    </row>
    <row r="136" customFormat="false" ht="15" hidden="false" customHeight="false" outlineLevel="0" collapsed="false">
      <c r="A136" s="121" t="n">
        <v>17693925.56</v>
      </c>
      <c r="B136" s="121" t="n">
        <v>17834353.53</v>
      </c>
      <c r="C136" s="121" t="n">
        <v>34208.54</v>
      </c>
    </row>
    <row r="137" customFormat="false" ht="15" hidden="false" customHeight="false" outlineLevel="0" collapsed="false">
      <c r="A137" s="122" t="n">
        <v>17834353.54</v>
      </c>
      <c r="B137" s="122" t="n">
        <v>17974781.51</v>
      </c>
      <c r="C137" s="122" t="n">
        <v>34460.97</v>
      </c>
    </row>
    <row r="138" customFormat="false" ht="15" hidden="false" customHeight="false" outlineLevel="0" collapsed="false">
      <c r="A138" s="121" t="n">
        <v>17974781.52</v>
      </c>
      <c r="B138" s="121" t="n">
        <v>18115209.49</v>
      </c>
      <c r="C138" s="121" t="n">
        <v>34713.4</v>
      </c>
    </row>
    <row r="139" customFormat="false" ht="15" hidden="false" customHeight="false" outlineLevel="0" collapsed="false">
      <c r="A139" s="122" t="n">
        <v>18115209.5</v>
      </c>
      <c r="B139" s="122" t="n">
        <v>18255637.47</v>
      </c>
      <c r="C139" s="122" t="n">
        <v>34965.83</v>
      </c>
    </row>
    <row r="140" customFormat="false" ht="15" hidden="false" customHeight="false" outlineLevel="0" collapsed="false">
      <c r="A140" s="121" t="n">
        <v>18255637.48</v>
      </c>
      <c r="B140" s="121" t="n">
        <v>18396065.45</v>
      </c>
      <c r="C140" s="121" t="n">
        <v>35218.26</v>
      </c>
    </row>
    <row r="141" customFormat="false" ht="15" hidden="false" customHeight="false" outlineLevel="0" collapsed="false">
      <c r="A141" s="122" t="n">
        <v>18396065.46</v>
      </c>
      <c r="B141" s="122" t="n">
        <v>18536493.43</v>
      </c>
      <c r="C141" s="122" t="n">
        <v>35470.69</v>
      </c>
    </row>
    <row r="142" customFormat="false" ht="15" hidden="false" customHeight="false" outlineLevel="0" collapsed="false">
      <c r="A142" s="121" t="n">
        <v>18536493.44</v>
      </c>
      <c r="B142" s="121" t="n">
        <v>18676921.41</v>
      </c>
      <c r="C142" s="121" t="n">
        <v>35723.12</v>
      </c>
    </row>
    <row r="143" customFormat="false" ht="15" hidden="false" customHeight="false" outlineLevel="0" collapsed="false">
      <c r="A143" s="122" t="n">
        <v>18676921.42</v>
      </c>
      <c r="B143" s="122" t="n">
        <v>18817349.39</v>
      </c>
      <c r="C143" s="122" t="n">
        <v>35975.55</v>
      </c>
    </row>
    <row r="144" customFormat="false" ht="15" hidden="false" customHeight="false" outlineLevel="0" collapsed="false">
      <c r="A144" s="121" t="n">
        <v>18817349.4</v>
      </c>
      <c r="B144" s="121" t="n">
        <v>18957777.37</v>
      </c>
      <c r="C144" s="121" t="n">
        <v>36227.98</v>
      </c>
    </row>
    <row r="145" customFormat="false" ht="15" hidden="false" customHeight="false" outlineLevel="0" collapsed="false">
      <c r="A145" s="122" t="n">
        <v>18957777.38</v>
      </c>
      <c r="B145" s="122" t="n">
        <v>19098205.35</v>
      </c>
      <c r="C145" s="122" t="n">
        <v>36480.41</v>
      </c>
    </row>
    <row r="146" customFormat="false" ht="15" hidden="false" customHeight="false" outlineLevel="0" collapsed="false">
      <c r="A146" s="121" t="n">
        <v>19098205.36</v>
      </c>
      <c r="B146" s="121" t="n">
        <v>19238633.33</v>
      </c>
      <c r="C146" s="121" t="n">
        <v>36732.84</v>
      </c>
    </row>
    <row r="147" customFormat="false" ht="15" hidden="false" customHeight="false" outlineLevel="0" collapsed="false">
      <c r="A147" s="122" t="n">
        <v>19238633.34</v>
      </c>
      <c r="B147" s="122" t="n">
        <v>19379061.31</v>
      </c>
      <c r="C147" s="122" t="n">
        <v>36985.27</v>
      </c>
    </row>
    <row r="148" customFormat="false" ht="15" hidden="false" customHeight="false" outlineLevel="0" collapsed="false">
      <c r="A148" s="121" t="n">
        <v>19379061.32</v>
      </c>
      <c r="B148" s="121" t="n">
        <v>19519489.29</v>
      </c>
      <c r="C148" s="121" t="n">
        <v>37237.7</v>
      </c>
    </row>
    <row r="149" customFormat="false" ht="15" hidden="false" customHeight="false" outlineLevel="0" collapsed="false">
      <c r="A149" s="122" t="n">
        <v>19519489.3</v>
      </c>
      <c r="B149" s="122" t="n">
        <v>19659917.27</v>
      </c>
      <c r="C149" s="122" t="n">
        <v>37490.13</v>
      </c>
    </row>
    <row r="150" customFormat="false" ht="15" hidden="false" customHeight="false" outlineLevel="0" collapsed="false">
      <c r="A150" s="121" t="n">
        <v>19659917.28</v>
      </c>
      <c r="B150" s="121" t="n">
        <v>19800345.25</v>
      </c>
      <c r="C150" s="121" t="n">
        <v>37742.56</v>
      </c>
    </row>
    <row r="151" customFormat="false" ht="15" hidden="false" customHeight="false" outlineLevel="0" collapsed="false">
      <c r="A151" s="122" t="n">
        <v>19800345.26</v>
      </c>
      <c r="B151" s="122" t="n">
        <v>19940773.23</v>
      </c>
      <c r="C151" s="122" t="n">
        <v>37994.99</v>
      </c>
    </row>
    <row r="152" customFormat="false" ht="15" hidden="false" customHeight="false" outlineLevel="0" collapsed="false">
      <c r="A152" s="121" t="n">
        <v>19940773.24</v>
      </c>
      <c r="B152" s="121" t="n">
        <v>20081201.21</v>
      </c>
      <c r="C152" s="121" t="n">
        <v>38247.42</v>
      </c>
    </row>
    <row r="153" customFormat="false" ht="15" hidden="false" customHeight="false" outlineLevel="0" collapsed="false">
      <c r="A153" s="122" t="n">
        <v>20081201.22</v>
      </c>
      <c r="B153" s="122" t="n">
        <v>20221629.19</v>
      </c>
      <c r="C153" s="122" t="n">
        <v>38499.85</v>
      </c>
    </row>
    <row r="154" customFormat="false" ht="15" hidden="false" customHeight="false" outlineLevel="0" collapsed="false">
      <c r="A154" s="121" t="n">
        <v>20221629.2</v>
      </c>
      <c r="B154" s="121" t="n">
        <v>20362057.17</v>
      </c>
      <c r="C154" s="121" t="n">
        <v>38752.28</v>
      </c>
    </row>
    <row r="155" customFormat="false" ht="15" hidden="false" customHeight="false" outlineLevel="0" collapsed="false">
      <c r="A155" s="122" t="n">
        <v>20362057.18</v>
      </c>
      <c r="B155" s="122" t="n">
        <v>20502485.15</v>
      </c>
      <c r="C155" s="122" t="n">
        <v>39004.71</v>
      </c>
    </row>
    <row r="156" customFormat="false" ht="15" hidden="false" customHeight="false" outlineLevel="0" collapsed="false">
      <c r="A156" s="121" t="n">
        <v>20502485.16</v>
      </c>
      <c r="B156" s="121" t="n">
        <v>20642913.13</v>
      </c>
      <c r="C156" s="121" t="n">
        <v>39257.14</v>
      </c>
    </row>
    <row r="157" customFormat="false" ht="15" hidden="false" customHeight="false" outlineLevel="0" collapsed="false">
      <c r="A157" s="122" t="n">
        <v>20642913.14</v>
      </c>
      <c r="B157" s="122" t="n">
        <v>20783341.11</v>
      </c>
      <c r="C157" s="122" t="n">
        <v>39509.57</v>
      </c>
    </row>
    <row r="158" customFormat="false" ht="15" hidden="false" customHeight="false" outlineLevel="0" collapsed="false">
      <c r="A158" s="121" t="n">
        <v>20783341.12</v>
      </c>
      <c r="B158" s="121" t="n">
        <v>20923769.09</v>
      </c>
      <c r="C158" s="121" t="n">
        <v>39762</v>
      </c>
    </row>
    <row r="159" customFormat="false" ht="15" hidden="false" customHeight="false" outlineLevel="0" collapsed="false">
      <c r="A159" s="122" t="n">
        <v>20923769.1</v>
      </c>
      <c r="B159" s="122" t="n">
        <v>21064197.07</v>
      </c>
      <c r="C159" s="122" t="n">
        <v>40014.43</v>
      </c>
    </row>
    <row r="160" customFormat="false" ht="15" hidden="false" customHeight="false" outlineLevel="0" collapsed="false">
      <c r="A160" s="121" t="n">
        <v>21064197.08</v>
      </c>
      <c r="B160" s="121" t="n">
        <v>21204625.05</v>
      </c>
      <c r="C160" s="121" t="n">
        <v>40266.86</v>
      </c>
    </row>
    <row r="161" customFormat="false" ht="15" hidden="false" customHeight="false" outlineLevel="0" collapsed="false">
      <c r="A161" s="122" t="n">
        <v>21204625.06</v>
      </c>
      <c r="B161" s="122" t="n">
        <v>21345053.03</v>
      </c>
      <c r="C161" s="122" t="n">
        <v>40519.29</v>
      </c>
    </row>
    <row r="162" customFormat="false" ht="15" hidden="false" customHeight="false" outlineLevel="0" collapsed="false">
      <c r="A162" s="121" t="n">
        <v>21345053.04</v>
      </c>
      <c r="B162" s="121" t="n">
        <v>21485481.01</v>
      </c>
      <c r="C162" s="121" t="n">
        <v>40771.72</v>
      </c>
    </row>
    <row r="163" customFormat="false" ht="15" hidden="false" customHeight="false" outlineLevel="0" collapsed="false">
      <c r="A163" s="122" t="n">
        <v>21485481.02</v>
      </c>
      <c r="B163" s="122" t="n">
        <v>21625908.99</v>
      </c>
      <c r="C163" s="122" t="n">
        <v>41024.15</v>
      </c>
    </row>
    <row r="164" customFormat="false" ht="15" hidden="false" customHeight="false" outlineLevel="0" collapsed="false">
      <c r="A164" s="121" t="n">
        <v>21625909</v>
      </c>
      <c r="B164" s="121" t="n">
        <v>21766336.97</v>
      </c>
      <c r="C164" s="121" t="n">
        <v>41276.58</v>
      </c>
    </row>
    <row r="165" customFormat="false" ht="15" hidden="false" customHeight="false" outlineLevel="0" collapsed="false">
      <c r="A165" s="122" t="n">
        <v>21766336.98</v>
      </c>
      <c r="B165" s="122" t="n">
        <v>21906764.95</v>
      </c>
      <c r="C165" s="122" t="n">
        <v>41529.01</v>
      </c>
    </row>
    <row r="166" customFormat="false" ht="15" hidden="false" customHeight="false" outlineLevel="0" collapsed="false">
      <c r="A166" s="121" t="n">
        <v>21906764.96</v>
      </c>
      <c r="B166" s="121" t="n">
        <v>22047192.93</v>
      </c>
      <c r="C166" s="121" t="n">
        <v>41781.44</v>
      </c>
    </row>
    <row r="167" customFormat="false" ht="15" hidden="false" customHeight="false" outlineLevel="0" collapsed="false">
      <c r="A167" s="122" t="n">
        <v>22047192.94</v>
      </c>
      <c r="B167" s="122" t="n">
        <v>22187620.91</v>
      </c>
      <c r="C167" s="122" t="n">
        <v>42033.87</v>
      </c>
    </row>
    <row r="168" customFormat="false" ht="15" hidden="false" customHeight="false" outlineLevel="0" collapsed="false">
      <c r="A168" s="121" t="n">
        <v>22187620.92</v>
      </c>
      <c r="B168" s="121" t="n">
        <v>22328048.89</v>
      </c>
      <c r="C168" s="121" t="n">
        <v>42286.3</v>
      </c>
    </row>
    <row r="169" customFormat="false" ht="15" hidden="false" customHeight="false" outlineLevel="0" collapsed="false">
      <c r="A169" s="122" t="n">
        <v>22328048.9</v>
      </c>
      <c r="B169" s="122" t="n">
        <v>22468476.87</v>
      </c>
      <c r="C169" s="122" t="n">
        <v>42538.73</v>
      </c>
    </row>
    <row r="170" customFormat="false" ht="15" hidden="false" customHeight="false" outlineLevel="0" collapsed="false">
      <c r="A170" s="121" t="n">
        <v>22468476.88</v>
      </c>
      <c r="B170" s="121" t="n">
        <v>22608904.85</v>
      </c>
      <c r="C170" s="121" t="n">
        <v>42791.16</v>
      </c>
    </row>
    <row r="171" customFormat="false" ht="15" hidden="false" customHeight="false" outlineLevel="0" collapsed="false">
      <c r="A171" s="122" t="n">
        <v>22608904.86</v>
      </c>
      <c r="B171" s="122" t="n">
        <v>22749332.83</v>
      </c>
      <c r="C171" s="122" t="n">
        <v>43043.59</v>
      </c>
    </row>
    <row r="172" customFormat="false" ht="15" hidden="false" customHeight="false" outlineLevel="0" collapsed="false">
      <c r="A172" s="121" t="n">
        <v>22749332.84</v>
      </c>
      <c r="B172" s="121" t="n">
        <v>22889760.81</v>
      </c>
      <c r="C172" s="121" t="n">
        <v>43296.02</v>
      </c>
    </row>
    <row r="173" customFormat="false" ht="15" hidden="false" customHeight="false" outlineLevel="0" collapsed="false">
      <c r="A173" s="122" t="n">
        <v>22889760.82</v>
      </c>
      <c r="B173" s="122" t="n">
        <v>23030188.79</v>
      </c>
      <c r="C173" s="122" t="n">
        <v>43548.45</v>
      </c>
    </row>
    <row r="174" customFormat="false" ht="15" hidden="false" customHeight="false" outlineLevel="0" collapsed="false">
      <c r="A174" s="121" t="n">
        <v>23030188.8</v>
      </c>
      <c r="B174" s="121" t="n">
        <v>23170616.77</v>
      </c>
      <c r="C174" s="121" t="n">
        <v>43800.88</v>
      </c>
    </row>
    <row r="175" customFormat="false" ht="15" hidden="false" customHeight="false" outlineLevel="0" collapsed="false">
      <c r="A175" s="122" t="n">
        <v>23170616.78</v>
      </c>
      <c r="B175" s="122" t="n">
        <v>23311044.75</v>
      </c>
      <c r="C175" s="122" t="n">
        <v>44053.31</v>
      </c>
    </row>
    <row r="176" customFormat="false" ht="15" hidden="false" customHeight="false" outlineLevel="0" collapsed="false">
      <c r="A176" s="121" t="n">
        <v>23311044.76</v>
      </c>
      <c r="B176" s="121" t="n">
        <v>23451472.73</v>
      </c>
      <c r="C176" s="121" t="n">
        <v>44305.74</v>
      </c>
    </row>
    <row r="177" customFormat="false" ht="15" hidden="false" customHeight="false" outlineLevel="0" collapsed="false">
      <c r="A177" s="122" t="n">
        <v>23451472.74</v>
      </c>
      <c r="B177" s="122" t="n">
        <v>23591900.71</v>
      </c>
      <c r="C177" s="122" t="n">
        <v>44558.17</v>
      </c>
    </row>
    <row r="178" customFormat="false" ht="15" hidden="false" customHeight="false" outlineLevel="0" collapsed="false">
      <c r="A178" s="121" t="n">
        <v>23591900.72</v>
      </c>
      <c r="B178" s="121" t="n">
        <v>23732328.69</v>
      </c>
      <c r="C178" s="121" t="n">
        <v>44810.6</v>
      </c>
    </row>
    <row r="179" customFormat="false" ht="15" hidden="false" customHeight="false" outlineLevel="0" collapsed="false">
      <c r="A179" s="122" t="n">
        <v>23732328.7</v>
      </c>
      <c r="B179" s="122" t="n">
        <v>23872756.67</v>
      </c>
      <c r="C179" s="122" t="n">
        <v>45063.03</v>
      </c>
    </row>
    <row r="180" customFormat="false" ht="15" hidden="false" customHeight="false" outlineLevel="0" collapsed="false">
      <c r="A180" s="121" t="n">
        <v>23872756.68</v>
      </c>
      <c r="B180" s="121" t="n">
        <v>24013184.65</v>
      </c>
      <c r="C180" s="121" t="n">
        <v>45315.46</v>
      </c>
    </row>
    <row r="181" customFormat="false" ht="15" hidden="false" customHeight="false" outlineLevel="0" collapsed="false">
      <c r="A181" s="122" t="n">
        <v>24013184.66</v>
      </c>
      <c r="B181" s="122" t="n">
        <v>24153612.63</v>
      </c>
      <c r="C181" s="122" t="n">
        <v>45567.89</v>
      </c>
    </row>
    <row r="182" customFormat="false" ht="15" hidden="false" customHeight="false" outlineLevel="0" collapsed="false">
      <c r="A182" s="121" t="n">
        <v>24153612.64</v>
      </c>
      <c r="B182" s="121" t="n">
        <v>24294040.61</v>
      </c>
      <c r="C182" s="121" t="n">
        <v>45820.32</v>
      </c>
    </row>
    <row r="183" customFormat="false" ht="15" hidden="false" customHeight="false" outlineLevel="0" collapsed="false">
      <c r="A183" s="122" t="n">
        <v>24294040.62</v>
      </c>
      <c r="B183" s="122" t="n">
        <v>24434468.59</v>
      </c>
      <c r="C183" s="122" t="n">
        <v>46072.75</v>
      </c>
    </row>
    <row r="184" customFormat="false" ht="15" hidden="false" customHeight="false" outlineLevel="0" collapsed="false">
      <c r="A184" s="121" t="n">
        <v>24434468.6</v>
      </c>
      <c r="B184" s="121" t="n">
        <v>24574896.57</v>
      </c>
      <c r="C184" s="121" t="n">
        <v>46325.18</v>
      </c>
    </row>
    <row r="185" customFormat="false" ht="15" hidden="false" customHeight="false" outlineLevel="0" collapsed="false">
      <c r="A185" s="122" t="n">
        <v>24574896.58</v>
      </c>
      <c r="B185" s="122" t="n">
        <v>24715324.55</v>
      </c>
      <c r="C185" s="122" t="n">
        <v>46577.61</v>
      </c>
    </row>
    <row r="186" customFormat="false" ht="15" hidden="false" customHeight="false" outlineLevel="0" collapsed="false">
      <c r="A186" s="121" t="n">
        <v>24715324.56</v>
      </c>
      <c r="B186" s="121" t="n">
        <v>24855752.53</v>
      </c>
      <c r="C186" s="121" t="n">
        <v>46830.04</v>
      </c>
    </row>
    <row r="187" customFormat="false" ht="15" hidden="false" customHeight="false" outlineLevel="0" collapsed="false">
      <c r="A187" s="122" t="n">
        <v>24855752.54</v>
      </c>
      <c r="B187" s="122" t="n">
        <v>24996180.51</v>
      </c>
      <c r="C187" s="122" t="n">
        <v>47082.47</v>
      </c>
    </row>
    <row r="188" customFormat="false" ht="15" hidden="false" customHeight="false" outlineLevel="0" collapsed="false">
      <c r="A188" s="121" t="n">
        <v>24996180.52</v>
      </c>
      <c r="B188" s="121" t="n">
        <v>25136608.49</v>
      </c>
      <c r="C188" s="121" t="n">
        <v>47334.9</v>
      </c>
    </row>
    <row r="189" customFormat="false" ht="15" hidden="false" customHeight="false" outlineLevel="0" collapsed="false">
      <c r="A189" s="122" t="n">
        <v>25136608.5</v>
      </c>
      <c r="B189" s="122" t="n">
        <v>25277036.47</v>
      </c>
      <c r="C189" s="122" t="n">
        <v>47587.33</v>
      </c>
    </row>
    <row r="190" customFormat="false" ht="15" hidden="false" customHeight="false" outlineLevel="0" collapsed="false">
      <c r="A190" s="121" t="n">
        <v>25277036.48</v>
      </c>
      <c r="B190" s="121" t="n">
        <v>25417464.45</v>
      </c>
      <c r="C190" s="121" t="n">
        <v>47839.76</v>
      </c>
    </row>
    <row r="191" customFormat="false" ht="15" hidden="false" customHeight="false" outlineLevel="0" collapsed="false">
      <c r="A191" s="122" t="n">
        <v>25417464.46</v>
      </c>
      <c r="B191" s="122" t="n">
        <v>25557892.43</v>
      </c>
      <c r="C191" s="122" t="n">
        <v>48092.19</v>
      </c>
    </row>
    <row r="192" customFormat="false" ht="15" hidden="false" customHeight="false" outlineLevel="0" collapsed="false">
      <c r="A192" s="121" t="n">
        <v>25557892.44</v>
      </c>
      <c r="B192" s="121" t="n">
        <v>25698320.41</v>
      </c>
      <c r="C192" s="121" t="n">
        <v>48344.62</v>
      </c>
    </row>
    <row r="193" customFormat="false" ht="15" hidden="false" customHeight="false" outlineLevel="0" collapsed="false">
      <c r="A193" s="122" t="n">
        <v>25698320.42</v>
      </c>
      <c r="B193" s="122" t="n">
        <v>25838748.39</v>
      </c>
      <c r="C193" s="122" t="n">
        <v>48597.05</v>
      </c>
    </row>
    <row r="194" customFormat="false" ht="15" hidden="false" customHeight="false" outlineLevel="0" collapsed="false">
      <c r="A194" s="121" t="n">
        <v>25838748.4</v>
      </c>
      <c r="B194" s="121" t="n">
        <v>25979176.37</v>
      </c>
      <c r="C194" s="121" t="n">
        <v>48849.48</v>
      </c>
    </row>
    <row r="195" customFormat="false" ht="15" hidden="false" customHeight="false" outlineLevel="0" collapsed="false">
      <c r="A195" s="122" t="n">
        <v>25979176.38</v>
      </c>
      <c r="B195" s="122" t="n">
        <v>26119604.35</v>
      </c>
      <c r="C195" s="122" t="n">
        <v>49101.91</v>
      </c>
    </row>
    <row r="196" customFormat="false" ht="15" hidden="false" customHeight="false" outlineLevel="0" collapsed="false">
      <c r="A196" s="121" t="n">
        <v>26119604.36</v>
      </c>
      <c r="B196" s="121" t="n">
        <v>26260032.33</v>
      </c>
      <c r="C196" s="121" t="n">
        <v>49354.34</v>
      </c>
    </row>
    <row r="197" customFormat="false" ht="15" hidden="false" customHeight="false" outlineLevel="0" collapsed="false">
      <c r="A197" s="122" t="n">
        <v>26260032.34</v>
      </c>
      <c r="B197" s="122" t="n">
        <v>26400460.31</v>
      </c>
      <c r="C197" s="122" t="n">
        <v>49606.77</v>
      </c>
    </row>
    <row r="198" customFormat="false" ht="15" hidden="false" customHeight="false" outlineLevel="0" collapsed="false">
      <c r="A198" s="121" t="n">
        <v>26400460.32</v>
      </c>
      <c r="B198" s="121" t="n">
        <v>26540888.29</v>
      </c>
      <c r="C198" s="121" t="n">
        <v>49859.2</v>
      </c>
    </row>
    <row r="199" customFormat="false" ht="15" hidden="false" customHeight="false" outlineLevel="0" collapsed="false">
      <c r="A199" s="122" t="n">
        <v>26540888.3</v>
      </c>
      <c r="B199" s="122" t="n">
        <v>26681316.27</v>
      </c>
      <c r="C199" s="122" t="n">
        <v>50111.63</v>
      </c>
    </row>
    <row r="200" customFormat="false" ht="15" hidden="false" customHeight="false" outlineLevel="0" collapsed="false">
      <c r="A200" s="121" t="n">
        <v>26681316.28</v>
      </c>
      <c r="B200" s="121" t="n">
        <v>26821744.25</v>
      </c>
      <c r="C200" s="121" t="n">
        <v>50364.06</v>
      </c>
    </row>
    <row r="201" customFormat="false" ht="15" hidden="false" customHeight="false" outlineLevel="0" collapsed="false">
      <c r="A201" s="122" t="n">
        <v>26821744.26</v>
      </c>
      <c r="B201" s="122" t="n">
        <v>26962172.23</v>
      </c>
      <c r="C201" s="122" t="n">
        <v>50616.49</v>
      </c>
    </row>
    <row r="202" customFormat="false" ht="15" hidden="false" customHeight="false" outlineLevel="0" collapsed="false">
      <c r="A202" s="121" t="n">
        <v>26962172.24</v>
      </c>
      <c r="B202" s="121" t="n">
        <v>27102600.21</v>
      </c>
      <c r="C202" s="121" t="n">
        <v>50868.92</v>
      </c>
    </row>
    <row r="203" customFormat="false" ht="15" hidden="false" customHeight="false" outlineLevel="0" collapsed="false">
      <c r="A203" s="122" t="n">
        <v>27102600.22</v>
      </c>
      <c r="B203" s="122" t="n">
        <v>27243028.19</v>
      </c>
      <c r="C203" s="122" t="n">
        <v>51121.35</v>
      </c>
    </row>
    <row r="204" customFormat="false" ht="15" hidden="false" customHeight="false" outlineLevel="0" collapsed="false">
      <c r="A204" s="121" t="n">
        <v>27243028.2</v>
      </c>
      <c r="B204" s="121" t="n">
        <v>27383456.17</v>
      </c>
      <c r="C204" s="121" t="n">
        <v>51373.78</v>
      </c>
    </row>
    <row r="205" customFormat="false" ht="15" hidden="false" customHeight="false" outlineLevel="0" collapsed="false">
      <c r="A205" s="122" t="n">
        <v>27383456.18</v>
      </c>
      <c r="B205" s="122" t="n">
        <v>27523884.15</v>
      </c>
      <c r="C205" s="122" t="n">
        <v>51626.21</v>
      </c>
    </row>
    <row r="206" customFormat="false" ht="15" hidden="false" customHeight="false" outlineLevel="0" collapsed="false">
      <c r="A206" s="121" t="n">
        <v>27523884.16</v>
      </c>
      <c r="B206" s="121" t="n">
        <v>27664312.13</v>
      </c>
      <c r="C206" s="121" t="n">
        <v>51878.64</v>
      </c>
    </row>
    <row r="207" customFormat="false" ht="15" hidden="false" customHeight="false" outlineLevel="0" collapsed="false">
      <c r="A207" s="122" t="n">
        <v>27664312.14</v>
      </c>
      <c r="B207" s="122" t="n">
        <v>27804740.11</v>
      </c>
      <c r="C207" s="122" t="n">
        <v>52131.07</v>
      </c>
    </row>
    <row r="208" customFormat="false" ht="15" hidden="false" customHeight="false" outlineLevel="0" collapsed="false">
      <c r="A208" s="121" t="n">
        <v>27804740.12</v>
      </c>
      <c r="B208" s="121" t="n">
        <v>27945168.09</v>
      </c>
      <c r="C208" s="121" t="n">
        <v>52383.5</v>
      </c>
    </row>
    <row r="209" customFormat="false" ht="15" hidden="false" customHeight="false" outlineLevel="0" collapsed="false">
      <c r="A209" s="122" t="n">
        <v>27945168.1</v>
      </c>
      <c r="B209" s="122" t="n">
        <v>28085596.07</v>
      </c>
      <c r="C209" s="122" t="n">
        <v>52635.93</v>
      </c>
    </row>
    <row r="210" customFormat="false" ht="15" hidden="false" customHeight="false" outlineLevel="0" collapsed="false">
      <c r="A210" s="121" t="n">
        <v>28085596.08</v>
      </c>
      <c r="B210" s="121" t="n">
        <v>28226024.05</v>
      </c>
      <c r="C210" s="121" t="n">
        <v>52888.36</v>
      </c>
    </row>
    <row r="211" customFormat="false" ht="15" hidden="false" customHeight="false" outlineLevel="0" collapsed="false">
      <c r="A211" s="122" t="n">
        <v>28226024.06</v>
      </c>
      <c r="B211" s="122" t="n">
        <v>28366452.03</v>
      </c>
      <c r="C211" s="122" t="n">
        <v>53140.79</v>
      </c>
    </row>
    <row r="212" customFormat="false" ht="15" hidden="false" customHeight="false" outlineLevel="0" collapsed="false">
      <c r="A212" s="121" t="n">
        <v>28366452.04</v>
      </c>
      <c r="B212" s="121" t="n">
        <v>28506880.01</v>
      </c>
      <c r="C212" s="121" t="n">
        <v>53393.22</v>
      </c>
    </row>
    <row r="213" customFormat="false" ht="15" hidden="false" customHeight="false" outlineLevel="0" collapsed="false">
      <c r="A213" s="122" t="n">
        <v>28506880.02</v>
      </c>
      <c r="B213" s="122" t="n">
        <v>28647307.99</v>
      </c>
      <c r="C213" s="122" t="n">
        <v>53645.65</v>
      </c>
    </row>
    <row r="214" customFormat="false" ht="15" hidden="false" customHeight="false" outlineLevel="0" collapsed="false">
      <c r="A214" s="121" t="n">
        <v>28647308</v>
      </c>
      <c r="B214" s="121" t="n">
        <v>28787735.97</v>
      </c>
      <c r="C214" s="121" t="n">
        <v>53898.08</v>
      </c>
    </row>
    <row r="215" customFormat="false" ht="15" hidden="false" customHeight="false" outlineLevel="0" collapsed="false">
      <c r="A215" s="122" t="n">
        <v>28787735.98</v>
      </c>
      <c r="B215" s="122" t="n">
        <v>28928163.95</v>
      </c>
      <c r="C215" s="122" t="n">
        <v>54150.51</v>
      </c>
    </row>
    <row r="216" customFormat="false" ht="15" hidden="false" customHeight="false" outlineLevel="0" collapsed="false">
      <c r="A216" s="121" t="n">
        <v>28928163.96</v>
      </c>
      <c r="B216" s="121" t="n">
        <v>29068591.93</v>
      </c>
      <c r="C216" s="121" t="n">
        <v>54402.94</v>
      </c>
    </row>
    <row r="217" customFormat="false" ht="15" hidden="false" customHeight="false" outlineLevel="0" collapsed="false">
      <c r="A217" s="122" t="n">
        <v>29068591.94</v>
      </c>
      <c r="B217" s="122" t="n">
        <v>29209019.91</v>
      </c>
      <c r="C217" s="122" t="n">
        <v>54655.37</v>
      </c>
    </row>
    <row r="218" customFormat="false" ht="15" hidden="false" customHeight="false" outlineLevel="0" collapsed="false">
      <c r="A218" s="121" t="n">
        <v>29209019.92</v>
      </c>
      <c r="B218" s="121" t="n">
        <v>29349447.89</v>
      </c>
      <c r="C218" s="121" t="n">
        <v>54907.8</v>
      </c>
    </row>
    <row r="219" customFormat="false" ht="15" hidden="false" customHeight="false" outlineLevel="0" collapsed="false">
      <c r="A219" s="122" t="n">
        <v>29349447.9</v>
      </c>
      <c r="B219" s="122" t="n">
        <v>29489875.87</v>
      </c>
      <c r="C219" s="122" t="n">
        <v>55160.23</v>
      </c>
    </row>
    <row r="220" customFormat="false" ht="15" hidden="false" customHeight="false" outlineLevel="0" collapsed="false">
      <c r="A220" s="121" t="n">
        <v>29489875.88</v>
      </c>
      <c r="B220" s="121" t="n">
        <v>29630303.85</v>
      </c>
      <c r="C220" s="121" t="n">
        <v>55412.66</v>
      </c>
    </row>
    <row r="221" customFormat="false" ht="15" hidden="false" customHeight="false" outlineLevel="0" collapsed="false">
      <c r="A221" s="122" t="n">
        <v>29630303.86</v>
      </c>
      <c r="B221" s="122" t="n">
        <v>29770731.83</v>
      </c>
      <c r="C221" s="122" t="n">
        <v>55665.09</v>
      </c>
    </row>
    <row r="222" customFormat="false" ht="15" hidden="false" customHeight="false" outlineLevel="0" collapsed="false">
      <c r="A222" s="121" t="n">
        <v>29770731.84</v>
      </c>
      <c r="B222" s="121" t="n">
        <v>29911159.81</v>
      </c>
      <c r="C222" s="121" t="n">
        <v>55917.52</v>
      </c>
    </row>
    <row r="223" customFormat="false" ht="15" hidden="false" customHeight="false" outlineLevel="0" collapsed="false">
      <c r="A223" s="122" t="n">
        <v>29911159.82</v>
      </c>
      <c r="B223" s="122" t="n">
        <v>30051587.79</v>
      </c>
      <c r="C223" s="122" t="n">
        <v>56169.95</v>
      </c>
    </row>
    <row r="224" customFormat="false" ht="15" hidden="false" customHeight="false" outlineLevel="0" collapsed="false">
      <c r="A224" s="121" t="n">
        <v>30051587.8</v>
      </c>
      <c r="B224" s="121" t="n">
        <v>30192015.77</v>
      </c>
      <c r="C224" s="121" t="n">
        <v>56422.38</v>
      </c>
    </row>
    <row r="225" customFormat="false" ht="15" hidden="false" customHeight="false" outlineLevel="0" collapsed="false">
      <c r="A225" s="122" t="n">
        <v>30192015.78</v>
      </c>
      <c r="B225" s="122" t="n">
        <v>30332443.75</v>
      </c>
      <c r="C225" s="122" t="n">
        <v>56674.81</v>
      </c>
    </row>
    <row r="226" customFormat="false" ht="15" hidden="false" customHeight="false" outlineLevel="0" collapsed="false">
      <c r="A226" s="121" t="n">
        <v>30332443.76</v>
      </c>
      <c r="B226" s="121" t="n">
        <v>30472871.73</v>
      </c>
      <c r="C226" s="121" t="n">
        <v>56927.24</v>
      </c>
    </row>
    <row r="227" customFormat="false" ht="15" hidden="false" customHeight="false" outlineLevel="0" collapsed="false">
      <c r="A227" s="122" t="n">
        <v>30472871.74</v>
      </c>
      <c r="B227" s="122" t="n">
        <v>30613299.71</v>
      </c>
      <c r="C227" s="122" t="n">
        <v>57179.67</v>
      </c>
    </row>
    <row r="228" customFormat="false" ht="15" hidden="false" customHeight="false" outlineLevel="0" collapsed="false">
      <c r="A228" s="121" t="n">
        <v>30613299.72</v>
      </c>
      <c r="B228" s="121" t="n">
        <v>30753727.69</v>
      </c>
      <c r="C228" s="121" t="n">
        <v>57432.1</v>
      </c>
    </row>
    <row r="229" customFormat="false" ht="15" hidden="false" customHeight="false" outlineLevel="0" collapsed="false">
      <c r="A229" s="122" t="n">
        <v>30753727.7</v>
      </c>
      <c r="B229" s="122" t="n">
        <v>30894155.67</v>
      </c>
      <c r="C229" s="122" t="n">
        <v>57684.53</v>
      </c>
    </row>
    <row r="230" customFormat="false" ht="15" hidden="false" customHeight="false" outlineLevel="0" collapsed="false">
      <c r="A230" s="121" t="n">
        <v>30894155.68</v>
      </c>
      <c r="B230" s="121" t="n">
        <v>31034583.65</v>
      </c>
      <c r="C230" s="121" t="n">
        <v>57936.96</v>
      </c>
    </row>
    <row r="231" customFormat="false" ht="15" hidden="false" customHeight="false" outlineLevel="0" collapsed="false">
      <c r="A231" s="122" t="n">
        <v>31034583.66</v>
      </c>
      <c r="B231" s="122" t="n">
        <v>31175011.63</v>
      </c>
      <c r="C231" s="122" t="n">
        <v>58189.39</v>
      </c>
    </row>
    <row r="232" customFormat="false" ht="15" hidden="false" customHeight="false" outlineLevel="0" collapsed="false">
      <c r="A232" s="121" t="n">
        <v>31175011.64</v>
      </c>
      <c r="B232" s="121" t="n">
        <v>31315439.61</v>
      </c>
      <c r="C232" s="121" t="n">
        <v>58441.82</v>
      </c>
    </row>
    <row r="233" customFormat="false" ht="15" hidden="false" customHeight="false" outlineLevel="0" collapsed="false">
      <c r="A233" s="122" t="n">
        <v>31315439.62</v>
      </c>
      <c r="B233" s="122" t="n">
        <v>31455867.59</v>
      </c>
      <c r="C233" s="122" t="n">
        <v>58694.25</v>
      </c>
    </row>
    <row r="234" customFormat="false" ht="15" hidden="false" customHeight="false" outlineLevel="0" collapsed="false">
      <c r="A234" s="121" t="n">
        <v>31455867.6</v>
      </c>
      <c r="B234" s="121" t="n">
        <v>31596295.57</v>
      </c>
      <c r="C234" s="121" t="n">
        <v>58946.68</v>
      </c>
    </row>
    <row r="235" customFormat="false" ht="15" hidden="false" customHeight="false" outlineLevel="0" collapsed="false">
      <c r="A235" s="122" t="n">
        <v>31596295.58</v>
      </c>
      <c r="B235" s="122" t="n">
        <v>31736723.55</v>
      </c>
      <c r="C235" s="122" t="n">
        <v>59199.11</v>
      </c>
    </row>
    <row r="236" customFormat="false" ht="15" hidden="false" customHeight="false" outlineLevel="0" collapsed="false">
      <c r="A236" s="121" t="n">
        <v>31736723.56</v>
      </c>
      <c r="B236" s="121" t="n">
        <v>31877151.53</v>
      </c>
      <c r="C236" s="121" t="n">
        <v>59451.54</v>
      </c>
    </row>
    <row r="237" customFormat="false" ht="15" hidden="false" customHeight="false" outlineLevel="0" collapsed="false">
      <c r="A237" s="122" t="n">
        <v>31877151.54</v>
      </c>
      <c r="B237" s="122" t="n">
        <v>32017579.51</v>
      </c>
      <c r="C237" s="122" t="n">
        <v>59703.97</v>
      </c>
    </row>
    <row r="238" customFormat="false" ht="15" hidden="false" customHeight="false" outlineLevel="0" collapsed="false">
      <c r="A238" s="121" t="n">
        <v>32017579.52</v>
      </c>
      <c r="B238" s="121" t="n">
        <v>32158007.49</v>
      </c>
      <c r="C238" s="121" t="n">
        <v>59956.4</v>
      </c>
    </row>
    <row r="239" customFormat="false" ht="15" hidden="false" customHeight="false" outlineLevel="0" collapsed="false">
      <c r="A239" s="122" t="n">
        <v>32158007.5</v>
      </c>
      <c r="B239" s="122" t="n">
        <v>32298435.47</v>
      </c>
      <c r="C239" s="122" t="n">
        <v>60208.83</v>
      </c>
    </row>
    <row r="240" customFormat="false" ht="15" hidden="false" customHeight="false" outlineLevel="0" collapsed="false">
      <c r="A240" s="121" t="n">
        <v>32298435.48</v>
      </c>
      <c r="B240" s="121" t="n">
        <v>32438863.45</v>
      </c>
      <c r="C240" s="121" t="n">
        <v>60461.26</v>
      </c>
    </row>
    <row r="241" customFormat="false" ht="15" hidden="false" customHeight="false" outlineLevel="0" collapsed="false">
      <c r="A241" s="122" t="n">
        <v>32438863.46</v>
      </c>
      <c r="B241" s="122" t="n">
        <v>32579291.43</v>
      </c>
      <c r="C241" s="122" t="n">
        <v>60713.69</v>
      </c>
    </row>
    <row r="242" customFormat="false" ht="15" hidden="false" customHeight="false" outlineLevel="0" collapsed="false">
      <c r="A242" s="121" t="n">
        <v>32579291.44</v>
      </c>
      <c r="B242" s="121" t="n">
        <v>32719719.41</v>
      </c>
      <c r="C242" s="121" t="n">
        <v>60966.12</v>
      </c>
    </row>
    <row r="243" customFormat="false" ht="15" hidden="false" customHeight="false" outlineLevel="0" collapsed="false">
      <c r="A243" s="122" t="n">
        <v>32719719.42</v>
      </c>
      <c r="B243" s="122" t="n">
        <v>32860147.39</v>
      </c>
      <c r="C243" s="122" t="n">
        <v>61218.55</v>
      </c>
    </row>
    <row r="244" customFormat="false" ht="15" hidden="false" customHeight="false" outlineLevel="0" collapsed="false">
      <c r="A244" s="121" t="n">
        <v>32860147.4</v>
      </c>
      <c r="B244" s="121" t="n">
        <v>33000575.37</v>
      </c>
      <c r="C244" s="121" t="n">
        <v>61470.98</v>
      </c>
    </row>
    <row r="245" customFormat="false" ht="15" hidden="false" customHeight="false" outlineLevel="0" collapsed="false">
      <c r="A245" s="122" t="n">
        <v>33000575.38</v>
      </c>
      <c r="B245" s="122" t="n">
        <v>33141003.35</v>
      </c>
      <c r="C245" s="122" t="n">
        <v>61723.41</v>
      </c>
    </row>
    <row r="246" customFormat="false" ht="15" hidden="false" customHeight="false" outlineLevel="0" collapsed="false">
      <c r="A246" s="121" t="n">
        <v>33141003.36</v>
      </c>
      <c r="B246" s="121" t="n">
        <v>33281431.33</v>
      </c>
      <c r="C246" s="121" t="n">
        <v>61975.84</v>
      </c>
    </row>
    <row r="247" customFormat="false" ht="15" hidden="false" customHeight="false" outlineLevel="0" collapsed="false">
      <c r="A247" s="122" t="n">
        <v>33281431.34</v>
      </c>
      <c r="B247" s="122" t="n">
        <v>33421859.31</v>
      </c>
      <c r="C247" s="122" t="n">
        <v>62228.27</v>
      </c>
    </row>
    <row r="248" customFormat="false" ht="15" hidden="false" customHeight="false" outlineLevel="0" collapsed="false">
      <c r="A248" s="121" t="n">
        <v>33421859.32</v>
      </c>
      <c r="B248" s="121" t="n">
        <v>33562287.29</v>
      </c>
      <c r="C248" s="121" t="n">
        <v>62480.7</v>
      </c>
    </row>
    <row r="249" customFormat="false" ht="15" hidden="false" customHeight="false" outlineLevel="0" collapsed="false">
      <c r="A249" s="122" t="n">
        <v>33562287.3</v>
      </c>
      <c r="B249" s="122" t="n">
        <v>33702715.27</v>
      </c>
      <c r="C249" s="122" t="n">
        <v>62733.13</v>
      </c>
    </row>
    <row r="250" customFormat="false" ht="15" hidden="false" customHeight="false" outlineLevel="0" collapsed="false">
      <c r="A250" s="121" t="n">
        <v>33702715.28</v>
      </c>
      <c r="B250" s="121" t="n">
        <v>33843143.25</v>
      </c>
      <c r="C250" s="121" t="n">
        <v>62985.56</v>
      </c>
    </row>
    <row r="251" customFormat="false" ht="15" hidden="false" customHeight="false" outlineLevel="0" collapsed="false">
      <c r="A251" s="122" t="n">
        <v>33843143.26</v>
      </c>
      <c r="B251" s="122" t="n">
        <v>33983571.23</v>
      </c>
      <c r="C251" s="122" t="n">
        <v>63237.99</v>
      </c>
    </row>
    <row r="252" customFormat="false" ht="15" hidden="false" customHeight="false" outlineLevel="0" collapsed="false">
      <c r="A252" s="121" t="n">
        <v>33983571.24</v>
      </c>
      <c r="B252" s="121" t="n">
        <v>34123999.21</v>
      </c>
      <c r="C252" s="121" t="n">
        <v>63490.42</v>
      </c>
    </row>
    <row r="253" customFormat="false" ht="15" hidden="false" customHeight="false" outlineLevel="0" collapsed="false">
      <c r="A253" s="122" t="n">
        <v>34123999.22</v>
      </c>
      <c r="B253" s="122" t="n">
        <v>34264427.19</v>
      </c>
      <c r="C253" s="122" t="n">
        <v>63742.85</v>
      </c>
    </row>
    <row r="254" customFormat="false" ht="15" hidden="false" customHeight="false" outlineLevel="0" collapsed="false">
      <c r="A254" s="121" t="n">
        <v>34264427.2</v>
      </c>
      <c r="B254" s="121" t="n">
        <v>34404855.17</v>
      </c>
      <c r="C254" s="121" t="n">
        <v>63995.28</v>
      </c>
    </row>
    <row r="255" customFormat="false" ht="15" hidden="false" customHeight="false" outlineLevel="0" collapsed="false">
      <c r="A255" s="122" t="n">
        <v>34404855.18</v>
      </c>
      <c r="B255" s="122" t="n">
        <v>34545283.15</v>
      </c>
      <c r="C255" s="122" t="n">
        <v>64247.71</v>
      </c>
    </row>
    <row r="256" customFormat="false" ht="15" hidden="false" customHeight="false" outlineLevel="0" collapsed="false">
      <c r="A256" s="121" t="n">
        <v>34545283.16</v>
      </c>
      <c r="B256" s="121" t="n">
        <v>34685711.13</v>
      </c>
      <c r="C256" s="121" t="n">
        <v>64500.14</v>
      </c>
    </row>
    <row r="257" customFormat="false" ht="15" hidden="false" customHeight="false" outlineLevel="0" collapsed="false">
      <c r="A257" s="122" t="n">
        <v>34685711.14</v>
      </c>
      <c r="B257" s="122" t="n">
        <v>34826139.11</v>
      </c>
      <c r="C257" s="122" t="n">
        <v>64752.57</v>
      </c>
    </row>
    <row r="258" customFormat="false" ht="15" hidden="false" customHeight="false" outlineLevel="0" collapsed="false">
      <c r="A258" s="121" t="n">
        <v>34826139.12</v>
      </c>
      <c r="B258" s="121" t="n">
        <v>34966567.09</v>
      </c>
      <c r="C258" s="121" t="n">
        <v>65005</v>
      </c>
    </row>
    <row r="259" customFormat="false" ht="15" hidden="false" customHeight="false" outlineLevel="0" collapsed="false">
      <c r="A259" s="122" t="n">
        <v>34966567.1</v>
      </c>
      <c r="B259" s="122" t="n">
        <v>35106995.07</v>
      </c>
      <c r="C259" s="122" t="n">
        <v>65257.43</v>
      </c>
    </row>
    <row r="260" customFormat="false" ht="15" hidden="false" customHeight="false" outlineLevel="0" collapsed="false">
      <c r="A260" s="121" t="n">
        <v>35106995.08</v>
      </c>
      <c r="B260" s="121" t="n">
        <v>35247423.05</v>
      </c>
      <c r="C260" s="121" t="n">
        <v>65509.86</v>
      </c>
    </row>
    <row r="261" customFormat="false" ht="15" hidden="false" customHeight="false" outlineLevel="0" collapsed="false">
      <c r="A261" s="122" t="n">
        <v>35247423.06</v>
      </c>
      <c r="B261" s="122" t="n">
        <v>35387851.03</v>
      </c>
      <c r="C261" s="122" t="n">
        <v>65762.29</v>
      </c>
    </row>
    <row r="262" customFormat="false" ht="15" hidden="false" customHeight="false" outlineLevel="0" collapsed="false">
      <c r="A262" s="121" t="n">
        <v>35387851.04</v>
      </c>
      <c r="B262" s="121" t="n">
        <v>35528279.01</v>
      </c>
      <c r="C262" s="121" t="n">
        <v>66014.72</v>
      </c>
    </row>
    <row r="263" customFormat="false" ht="15" hidden="false" customHeight="false" outlineLevel="0" collapsed="false">
      <c r="A263" s="122" t="n">
        <v>35528279.02</v>
      </c>
      <c r="B263" s="122" t="n">
        <v>35668706.99</v>
      </c>
      <c r="C263" s="122" t="n">
        <v>66267.15</v>
      </c>
    </row>
    <row r="264" customFormat="false" ht="15" hidden="false" customHeight="false" outlineLevel="0" collapsed="false">
      <c r="A264" s="121" t="n">
        <v>35668707</v>
      </c>
      <c r="B264" s="121" t="n">
        <v>35809134.97</v>
      </c>
      <c r="C264" s="121" t="n">
        <v>66519.58</v>
      </c>
    </row>
    <row r="265" customFormat="false" ht="15" hidden="false" customHeight="false" outlineLevel="0" collapsed="false">
      <c r="A265" s="122" t="n">
        <v>35809134.98</v>
      </c>
      <c r="B265" s="122" t="n">
        <v>35949562.95</v>
      </c>
      <c r="C265" s="122" t="n">
        <v>66772.01</v>
      </c>
    </row>
    <row r="266" customFormat="false" ht="15" hidden="false" customHeight="false" outlineLevel="0" collapsed="false">
      <c r="A266" s="121" t="n">
        <v>35949562.96</v>
      </c>
      <c r="B266" s="121" t="n">
        <v>36089990.93</v>
      </c>
      <c r="C266" s="121" t="n">
        <v>67024.44</v>
      </c>
    </row>
    <row r="267" customFormat="false" ht="15" hidden="false" customHeight="false" outlineLevel="0" collapsed="false">
      <c r="A267" s="122" t="n">
        <v>36089990.94</v>
      </c>
      <c r="B267" s="122" t="n">
        <v>36230418.91</v>
      </c>
      <c r="C267" s="122" t="n">
        <v>67276.87</v>
      </c>
    </row>
    <row r="268" customFormat="false" ht="15" hidden="false" customHeight="false" outlineLevel="0" collapsed="false">
      <c r="A268" s="121" t="n">
        <v>36230418.92</v>
      </c>
      <c r="B268" s="121" t="n">
        <v>36370846.89</v>
      </c>
      <c r="C268" s="121" t="n">
        <v>67529.3</v>
      </c>
    </row>
    <row r="269" customFormat="false" ht="15" hidden="false" customHeight="false" outlineLevel="0" collapsed="false">
      <c r="A269" s="122" t="n">
        <v>36370846.9</v>
      </c>
      <c r="B269" s="122" t="n">
        <v>36511274.87</v>
      </c>
      <c r="C269" s="122" t="n">
        <v>67781.73</v>
      </c>
    </row>
    <row r="270" customFormat="false" ht="15" hidden="false" customHeight="false" outlineLevel="0" collapsed="false">
      <c r="A270" s="121" t="n">
        <v>36511274.88</v>
      </c>
      <c r="B270" s="121" t="n">
        <v>36651702.85</v>
      </c>
      <c r="C270" s="121" t="n">
        <v>68034.16</v>
      </c>
    </row>
    <row r="271" customFormat="false" ht="15" hidden="false" customHeight="false" outlineLevel="0" collapsed="false">
      <c r="A271" s="122" t="n">
        <v>36651702.86</v>
      </c>
      <c r="B271" s="122" t="n">
        <v>36792130.83</v>
      </c>
      <c r="C271" s="122" t="n">
        <v>68286.59</v>
      </c>
    </row>
    <row r="272" customFormat="false" ht="15" hidden="false" customHeight="false" outlineLevel="0" collapsed="false">
      <c r="A272" s="121" t="n">
        <v>36792130.84</v>
      </c>
      <c r="B272" s="121" t="n">
        <v>36932558.81</v>
      </c>
      <c r="C272" s="121" t="n">
        <v>68539.02</v>
      </c>
    </row>
    <row r="273" customFormat="false" ht="15" hidden="false" customHeight="false" outlineLevel="0" collapsed="false">
      <c r="A273" s="122" t="n">
        <v>36932558.82</v>
      </c>
      <c r="B273" s="122" t="n">
        <v>37072986.79</v>
      </c>
      <c r="C273" s="122" t="n">
        <v>68539.02</v>
      </c>
    </row>
    <row r="274" customFormat="false" ht="15" hidden="false" customHeight="false" outlineLevel="0" collapsed="false">
      <c r="A274" s="121" t="n">
        <v>37072986.8</v>
      </c>
      <c r="B274" s="121" t="n">
        <v>37213414.77</v>
      </c>
      <c r="C274" s="121" t="n">
        <v>68791.45</v>
      </c>
    </row>
    <row r="275" customFormat="false" ht="15" hidden="false" customHeight="false" outlineLevel="0" collapsed="false">
      <c r="A275" s="122" t="n">
        <v>37213414.78</v>
      </c>
      <c r="B275" s="122" t="n">
        <v>37353842.75</v>
      </c>
      <c r="C275" s="122" t="n">
        <v>69043.88</v>
      </c>
    </row>
    <row r="276" customFormat="false" ht="15" hidden="false" customHeight="false" outlineLevel="0" collapsed="false">
      <c r="A276" s="121" t="n">
        <v>37353842.76</v>
      </c>
      <c r="B276" s="121" t="n">
        <v>37494270.73</v>
      </c>
      <c r="C276" s="121" t="n">
        <v>69296.31</v>
      </c>
    </row>
    <row r="277" customFormat="false" ht="15" hidden="false" customHeight="false" outlineLevel="0" collapsed="false">
      <c r="A277" s="122" t="n">
        <v>37494270.74</v>
      </c>
      <c r="B277" s="122" t="n">
        <v>37634698.71</v>
      </c>
      <c r="C277" s="122" t="n">
        <v>69548.74</v>
      </c>
    </row>
    <row r="278" customFormat="false" ht="15" hidden="false" customHeight="false" outlineLevel="0" collapsed="false">
      <c r="A278" s="121" t="n">
        <v>37634698.72</v>
      </c>
      <c r="B278" s="121" t="n">
        <v>37775126.69</v>
      </c>
      <c r="C278" s="121" t="n">
        <v>69801.17</v>
      </c>
    </row>
    <row r="279" customFormat="false" ht="15" hidden="false" customHeight="false" outlineLevel="0" collapsed="false">
      <c r="A279" s="122" t="n">
        <v>37775126.7</v>
      </c>
      <c r="B279" s="122" t="n">
        <v>37915554.67</v>
      </c>
      <c r="C279" s="122" t="n">
        <v>70053.6</v>
      </c>
    </row>
    <row r="280" customFormat="false" ht="15" hidden="false" customHeight="false" outlineLevel="0" collapsed="false">
      <c r="A280" s="121" t="n">
        <v>37915554.68</v>
      </c>
      <c r="B280" s="121" t="n">
        <v>38055982.65</v>
      </c>
      <c r="C280" s="121" t="n">
        <v>70306.03</v>
      </c>
    </row>
    <row r="281" customFormat="false" ht="15" hidden="false" customHeight="false" outlineLevel="0" collapsed="false">
      <c r="A281" s="122" t="n">
        <v>38055982.66</v>
      </c>
      <c r="B281" s="122" t="n">
        <v>38196410.63</v>
      </c>
      <c r="C281" s="122" t="n">
        <v>70558.46</v>
      </c>
    </row>
    <row r="282" customFormat="false" ht="15" hidden="false" customHeight="false" outlineLevel="0" collapsed="false">
      <c r="A282" s="121" t="n">
        <v>38196410.64</v>
      </c>
      <c r="B282" s="121" t="n">
        <v>38336838.61</v>
      </c>
      <c r="C282" s="121" t="n">
        <v>70810.89</v>
      </c>
    </row>
    <row r="283" customFormat="false" ht="15" hidden="false" customHeight="false" outlineLevel="0" collapsed="false">
      <c r="A283" s="122" t="n">
        <v>38336838.62</v>
      </c>
      <c r="B283" s="122" t="n">
        <v>38477266.59</v>
      </c>
      <c r="C283" s="122" t="n">
        <v>71063.32</v>
      </c>
    </row>
    <row r="284" customFormat="false" ht="15" hidden="false" customHeight="false" outlineLevel="0" collapsed="false">
      <c r="A284" s="121" t="n">
        <v>38477266.6</v>
      </c>
      <c r="B284" s="121" t="n">
        <v>38617694.57</v>
      </c>
      <c r="C284" s="121" t="n">
        <v>71315.75</v>
      </c>
    </row>
    <row r="285" customFormat="false" ht="15" hidden="false" customHeight="false" outlineLevel="0" collapsed="false">
      <c r="A285" s="122" t="n">
        <v>38617694.58</v>
      </c>
      <c r="B285" s="122" t="n">
        <v>38758122.55</v>
      </c>
      <c r="C285" s="122" t="n">
        <v>71568.18</v>
      </c>
    </row>
    <row r="286" customFormat="false" ht="15" hidden="false" customHeight="false" outlineLevel="0" collapsed="false">
      <c r="A286" s="121" t="n">
        <v>38758122.56</v>
      </c>
      <c r="B286" s="121" t="n">
        <v>38898550.53</v>
      </c>
      <c r="C286" s="121" t="n">
        <v>71820.61</v>
      </c>
    </row>
    <row r="287" customFormat="false" ht="15" hidden="false" customHeight="false" outlineLevel="0" collapsed="false">
      <c r="A287" s="122" t="n">
        <v>38898550.54</v>
      </c>
      <c r="B287" s="122" t="n">
        <v>39038978.51</v>
      </c>
      <c r="C287" s="122" t="n">
        <v>72073.04</v>
      </c>
    </row>
    <row r="288" customFormat="false" ht="15" hidden="false" customHeight="false" outlineLevel="0" collapsed="false">
      <c r="A288" s="121" t="n">
        <v>39038978.52</v>
      </c>
      <c r="B288" s="121" t="n">
        <v>39179406.49</v>
      </c>
      <c r="C288" s="121" t="n">
        <v>72325.47</v>
      </c>
    </row>
    <row r="289" customFormat="false" ht="15" hidden="false" customHeight="false" outlineLevel="0" collapsed="false">
      <c r="A289" s="122" t="n">
        <v>39179406.5</v>
      </c>
      <c r="B289" s="122" t="n">
        <v>39319834.47</v>
      </c>
      <c r="C289" s="122" t="n">
        <v>72577.9</v>
      </c>
    </row>
    <row r="290" customFormat="false" ht="15" hidden="false" customHeight="false" outlineLevel="0" collapsed="false">
      <c r="A290" s="121" t="n">
        <v>39319834.48</v>
      </c>
      <c r="B290" s="121" t="n">
        <v>39460262.45</v>
      </c>
      <c r="C290" s="121" t="n">
        <v>72830.33</v>
      </c>
    </row>
    <row r="291" customFormat="false" ht="15" hidden="false" customHeight="false" outlineLevel="0" collapsed="false">
      <c r="A291" s="122" t="n">
        <v>39460262.46</v>
      </c>
      <c r="B291" s="122" t="n">
        <v>39600690.43</v>
      </c>
      <c r="C291" s="122" t="n">
        <v>73082.76</v>
      </c>
    </row>
    <row r="292" customFormat="false" ht="15" hidden="false" customHeight="false" outlineLevel="0" collapsed="false">
      <c r="A292" s="121" t="n">
        <v>39600690.44</v>
      </c>
      <c r="B292" s="121" t="n">
        <v>39741118.41</v>
      </c>
      <c r="C292" s="121" t="n">
        <v>73335.19</v>
      </c>
    </row>
    <row r="293" customFormat="false" ht="15" hidden="false" customHeight="false" outlineLevel="0" collapsed="false">
      <c r="A293" s="122" t="n">
        <v>39741118.42</v>
      </c>
      <c r="B293" s="122" t="n">
        <v>39881546.39</v>
      </c>
      <c r="C293" s="122" t="n">
        <v>73587.62</v>
      </c>
    </row>
    <row r="294" customFormat="false" ht="15" hidden="false" customHeight="false" outlineLevel="0" collapsed="false">
      <c r="A294" s="121" t="n">
        <v>39881546.4</v>
      </c>
      <c r="B294" s="121" t="n">
        <v>40021974.37</v>
      </c>
      <c r="C294" s="121" t="n">
        <v>73840.05</v>
      </c>
    </row>
    <row r="295" customFormat="false" ht="15" hidden="false" customHeight="false" outlineLevel="0" collapsed="false">
      <c r="A295" s="122" t="n">
        <v>40021974.38</v>
      </c>
      <c r="B295" s="122" t="n">
        <v>40162402.35</v>
      </c>
      <c r="C295" s="122" t="n">
        <v>74092.48</v>
      </c>
    </row>
    <row r="296" customFormat="false" ht="15" hidden="false" customHeight="false" outlineLevel="0" collapsed="false">
      <c r="A296" s="121" t="n">
        <v>40162402.36</v>
      </c>
      <c r="B296" s="121" t="n">
        <v>40302830.33</v>
      </c>
      <c r="C296" s="121" t="n">
        <v>74344.91</v>
      </c>
    </row>
    <row r="297" customFormat="false" ht="15" hidden="false" customHeight="false" outlineLevel="0" collapsed="false">
      <c r="A297" s="122" t="n">
        <v>40302830.34</v>
      </c>
      <c r="B297" s="122" t="n">
        <v>40443258.31</v>
      </c>
      <c r="C297" s="122" t="n">
        <v>74597.34</v>
      </c>
    </row>
    <row r="298" customFormat="false" ht="15" hidden="false" customHeight="false" outlineLevel="0" collapsed="false">
      <c r="A298" s="121" t="n">
        <v>40443258.32</v>
      </c>
      <c r="B298" s="121" t="n">
        <v>40583686.29</v>
      </c>
      <c r="C298" s="121" t="n">
        <v>74849.77</v>
      </c>
    </row>
    <row r="299" customFormat="false" ht="15" hidden="false" customHeight="false" outlineLevel="0" collapsed="false">
      <c r="A299" s="122" t="n">
        <v>40583686.3</v>
      </c>
      <c r="B299" s="122" t="n">
        <v>40724114.27</v>
      </c>
      <c r="C299" s="122" t="n">
        <v>75102.2</v>
      </c>
    </row>
    <row r="300" customFormat="false" ht="15" hidden="false" customHeight="false" outlineLevel="0" collapsed="false">
      <c r="A300" s="121" t="n">
        <v>40724114.28</v>
      </c>
      <c r="B300" s="121" t="n">
        <v>40864542.25</v>
      </c>
      <c r="C300" s="121" t="n">
        <v>75354.63</v>
      </c>
    </row>
    <row r="301" customFormat="false" ht="15" hidden="false" customHeight="false" outlineLevel="0" collapsed="false">
      <c r="A301" s="122" t="n">
        <v>40864542.26</v>
      </c>
      <c r="B301" s="122" t="n">
        <v>41004970.23</v>
      </c>
      <c r="C301" s="122" t="n">
        <v>75607.06</v>
      </c>
    </row>
    <row r="302" customFormat="false" ht="15" hidden="false" customHeight="false" outlineLevel="0" collapsed="false">
      <c r="A302" s="121" t="n">
        <v>41004970.24</v>
      </c>
      <c r="B302" s="121" t="n">
        <v>41145398.21</v>
      </c>
      <c r="C302" s="121" t="n">
        <v>75859.49</v>
      </c>
    </row>
    <row r="303" customFormat="false" ht="15" hidden="false" customHeight="false" outlineLevel="0" collapsed="false">
      <c r="A303" s="122" t="n">
        <v>41145398.22</v>
      </c>
      <c r="B303" s="122" t="n">
        <v>41285826.19</v>
      </c>
      <c r="C303" s="122" t="n">
        <v>76111.92</v>
      </c>
    </row>
    <row r="304" customFormat="false" ht="15" hidden="false" customHeight="false" outlineLevel="0" collapsed="false">
      <c r="A304" s="121" t="n">
        <v>41285826.2</v>
      </c>
      <c r="B304" s="121" t="n">
        <v>41426254.17</v>
      </c>
      <c r="C304" s="121" t="n">
        <v>76364.35</v>
      </c>
    </row>
    <row r="305" customFormat="false" ht="15" hidden="false" customHeight="false" outlineLevel="0" collapsed="false">
      <c r="A305" s="122" t="n">
        <v>41426254.18</v>
      </c>
      <c r="B305" s="122" t="n">
        <v>41566682.15</v>
      </c>
      <c r="C305" s="122" t="n">
        <v>76616.78</v>
      </c>
    </row>
    <row r="306" customFormat="false" ht="15" hidden="false" customHeight="false" outlineLevel="0" collapsed="false">
      <c r="A306" s="121" t="n">
        <v>41566682.16</v>
      </c>
      <c r="B306" s="121" t="n">
        <v>41707110.13</v>
      </c>
      <c r="C306" s="121" t="n">
        <v>76869.21</v>
      </c>
    </row>
    <row r="307" customFormat="false" ht="15" hidden="false" customHeight="false" outlineLevel="0" collapsed="false">
      <c r="A307" s="122" t="n">
        <v>41707110.14</v>
      </c>
      <c r="B307" s="122" t="n">
        <v>41847538.11</v>
      </c>
      <c r="C307" s="122" t="n">
        <v>77121.64</v>
      </c>
    </row>
    <row r="308" customFormat="false" ht="15" hidden="false" customHeight="false" outlineLevel="0" collapsed="false">
      <c r="A308" s="121" t="n">
        <v>41847538.12</v>
      </c>
      <c r="B308" s="121" t="n">
        <v>41987966.09</v>
      </c>
      <c r="C308" s="121" t="n">
        <v>77374.07</v>
      </c>
    </row>
    <row r="309" customFormat="false" ht="15" hidden="false" customHeight="false" outlineLevel="0" collapsed="false">
      <c r="A309" s="122" t="n">
        <v>41987966.1</v>
      </c>
      <c r="B309" s="122" t="n">
        <v>42128394.07</v>
      </c>
      <c r="C309" s="122" t="n">
        <v>77626.5</v>
      </c>
    </row>
    <row r="310" customFormat="false" ht="15" hidden="false" customHeight="false" outlineLevel="0" collapsed="false">
      <c r="A310" s="121" t="n">
        <v>42128394.08</v>
      </c>
      <c r="B310" s="121" t="n">
        <v>42268822.05</v>
      </c>
      <c r="C310" s="121" t="n">
        <v>77878.93</v>
      </c>
    </row>
    <row r="311" customFormat="false" ht="15" hidden="false" customHeight="false" outlineLevel="0" collapsed="false">
      <c r="A311" s="122" t="n">
        <v>42268822.06</v>
      </c>
      <c r="B311" s="122" t="n">
        <v>42409250.03</v>
      </c>
      <c r="C311" s="122" t="n">
        <v>78131.36</v>
      </c>
    </row>
    <row r="312" customFormat="false" ht="15" hidden="false" customHeight="false" outlineLevel="0" collapsed="false">
      <c r="A312" s="121" t="n">
        <v>42409250.04</v>
      </c>
      <c r="B312" s="121" t="n">
        <v>42549678.01</v>
      </c>
      <c r="C312" s="121" t="n">
        <v>78383.79</v>
      </c>
    </row>
    <row r="313" customFormat="false" ht="15" hidden="false" customHeight="false" outlineLevel="0" collapsed="false">
      <c r="A313" s="122" t="n">
        <v>42549678.02</v>
      </c>
      <c r="B313" s="122" t="n">
        <v>42690105.99</v>
      </c>
      <c r="C313" s="122" t="n">
        <v>78636.22</v>
      </c>
    </row>
    <row r="314" customFormat="false" ht="15" hidden="false" customHeight="false" outlineLevel="0" collapsed="false">
      <c r="A314" s="121" t="n">
        <v>42690106</v>
      </c>
      <c r="B314" s="121" t="n">
        <v>42830533.97</v>
      </c>
      <c r="C314" s="121" t="n">
        <v>78888.65</v>
      </c>
    </row>
    <row r="315" customFormat="false" ht="15" hidden="false" customHeight="false" outlineLevel="0" collapsed="false">
      <c r="A315" s="122" t="n">
        <v>42830533.98</v>
      </c>
      <c r="B315" s="122" t="n">
        <v>42970961.95</v>
      </c>
      <c r="C315" s="122" t="n">
        <v>79141.08</v>
      </c>
    </row>
    <row r="316" customFormat="false" ht="15" hidden="false" customHeight="false" outlineLevel="0" collapsed="false">
      <c r="A316" s="121" t="n">
        <v>42970961.96</v>
      </c>
      <c r="B316" s="121" t="n">
        <v>43111389.93</v>
      </c>
      <c r="C316" s="121" t="n">
        <v>79393.51</v>
      </c>
    </row>
    <row r="317" customFormat="false" ht="15" hidden="false" customHeight="false" outlineLevel="0" collapsed="false">
      <c r="A317" s="122" t="n">
        <v>43111389.94</v>
      </c>
      <c r="B317" s="122" t="n">
        <v>43251817.91</v>
      </c>
      <c r="C317" s="122" t="n">
        <v>79645.94</v>
      </c>
    </row>
    <row r="318" customFormat="false" ht="15" hidden="false" customHeight="false" outlineLevel="0" collapsed="false">
      <c r="A318" s="121" t="n">
        <v>43251817.92</v>
      </c>
      <c r="B318" s="121" t="n">
        <v>43392245.89</v>
      </c>
      <c r="C318" s="121" t="n">
        <v>79898.37</v>
      </c>
    </row>
    <row r="319" customFormat="false" ht="15" hidden="false" customHeight="false" outlineLevel="0" collapsed="false">
      <c r="A319" s="122" t="n">
        <v>43392245.9</v>
      </c>
      <c r="B319" s="122" t="n">
        <v>43532673.87</v>
      </c>
      <c r="C319" s="122" t="n">
        <v>80150.8</v>
      </c>
    </row>
    <row r="320" customFormat="false" ht="15" hidden="false" customHeight="false" outlineLevel="0" collapsed="false">
      <c r="A320" s="121" t="n">
        <v>43532673.88</v>
      </c>
      <c r="B320" s="121" t="n">
        <v>43673101.85</v>
      </c>
      <c r="C320" s="121" t="n">
        <v>80403.23</v>
      </c>
    </row>
    <row r="321" customFormat="false" ht="15" hidden="false" customHeight="false" outlineLevel="0" collapsed="false">
      <c r="A321" s="122" t="n">
        <v>43673101.86</v>
      </c>
      <c r="B321" s="122" t="n">
        <v>43813529.83</v>
      </c>
      <c r="C321" s="122" t="n">
        <v>80655.66</v>
      </c>
    </row>
    <row r="322" customFormat="false" ht="15" hidden="false" customHeight="false" outlineLevel="0" collapsed="false">
      <c r="A322" s="121" t="n">
        <v>43813529.84</v>
      </c>
      <c r="B322" s="121" t="n">
        <v>43953957.81</v>
      </c>
      <c r="C322" s="121" t="n">
        <v>80908.09</v>
      </c>
    </row>
    <row r="323" customFormat="false" ht="15" hidden="false" customHeight="false" outlineLevel="0" collapsed="false">
      <c r="A323" s="122" t="n">
        <v>43953957.82</v>
      </c>
      <c r="B323" s="122" t="n">
        <v>44094385.79</v>
      </c>
      <c r="C323" s="122" t="n">
        <v>81160.52</v>
      </c>
    </row>
    <row r="324" customFormat="false" ht="15" hidden="false" customHeight="false" outlineLevel="0" collapsed="false">
      <c r="A324" s="121" t="n">
        <v>44094385.8</v>
      </c>
      <c r="B324" s="121" t="n">
        <v>44234813.77</v>
      </c>
      <c r="C324" s="121" t="n">
        <v>81412.95</v>
      </c>
    </row>
    <row r="325" customFormat="false" ht="15" hidden="false" customHeight="false" outlineLevel="0" collapsed="false">
      <c r="A325" s="122" t="n">
        <v>44234813.78</v>
      </c>
      <c r="B325" s="122" t="n">
        <v>44375241.75</v>
      </c>
      <c r="C325" s="122" t="n">
        <v>81665.38</v>
      </c>
    </row>
    <row r="326" customFormat="false" ht="15" hidden="false" customHeight="false" outlineLevel="0" collapsed="false">
      <c r="A326" s="121" t="n">
        <v>44375241.76</v>
      </c>
      <c r="B326" s="121" t="n">
        <v>44515669.73</v>
      </c>
      <c r="C326" s="121" t="n">
        <v>81917.81</v>
      </c>
    </row>
    <row r="327" customFormat="false" ht="15" hidden="false" customHeight="false" outlineLevel="0" collapsed="false">
      <c r="A327" s="122" t="n">
        <v>44515669.74</v>
      </c>
      <c r="B327" s="122" t="n">
        <v>44656097.71</v>
      </c>
      <c r="C327" s="122" t="n">
        <v>82170.24</v>
      </c>
    </row>
    <row r="328" customFormat="false" ht="15" hidden="false" customHeight="false" outlineLevel="0" collapsed="false">
      <c r="A328" s="121" t="n">
        <v>44656097.72</v>
      </c>
      <c r="B328" s="121" t="n">
        <v>44796525.69</v>
      </c>
      <c r="C328" s="121" t="n">
        <v>82422.67</v>
      </c>
    </row>
    <row r="329" customFormat="false" ht="15" hidden="false" customHeight="false" outlineLevel="0" collapsed="false">
      <c r="A329" s="122" t="n">
        <v>44796525.7</v>
      </c>
      <c r="B329" s="122" t="n">
        <v>44936953.67</v>
      </c>
      <c r="C329" s="122" t="n">
        <v>82675.1</v>
      </c>
    </row>
    <row r="330" customFormat="false" ht="15" hidden="false" customHeight="false" outlineLevel="0" collapsed="false">
      <c r="A330" s="121" t="n">
        <v>44936953.68</v>
      </c>
      <c r="B330" s="121" t="n">
        <v>45077381.65</v>
      </c>
      <c r="C330" s="121" t="n">
        <v>82927.53</v>
      </c>
    </row>
    <row r="331" customFormat="false" ht="15" hidden="false" customHeight="false" outlineLevel="0" collapsed="false">
      <c r="A331" s="122" t="n">
        <v>45077381.66</v>
      </c>
      <c r="B331" s="122" t="n">
        <v>45217809.63</v>
      </c>
      <c r="C331" s="122" t="n">
        <v>83179.96</v>
      </c>
    </row>
    <row r="332" customFormat="false" ht="15" hidden="false" customHeight="false" outlineLevel="0" collapsed="false">
      <c r="A332" s="121" t="n">
        <v>45217809.64</v>
      </c>
      <c r="B332" s="121" t="n">
        <v>45358237.61</v>
      </c>
      <c r="C332" s="121" t="n">
        <v>83432.39</v>
      </c>
    </row>
    <row r="333" customFormat="false" ht="15" hidden="false" customHeight="false" outlineLevel="0" collapsed="false">
      <c r="A333" s="122" t="n">
        <v>45358237.62</v>
      </c>
      <c r="B333" s="122" t="n">
        <v>45498665.59</v>
      </c>
      <c r="C333" s="122" t="n">
        <v>83684.82</v>
      </c>
    </row>
    <row r="334" customFormat="false" ht="15" hidden="false" customHeight="false" outlineLevel="0" collapsed="false">
      <c r="A334" s="121" t="n">
        <v>45498665.6</v>
      </c>
      <c r="B334" s="121" t="n">
        <v>45639093.57</v>
      </c>
      <c r="C334" s="121" t="n">
        <v>83937.25</v>
      </c>
    </row>
    <row r="335" customFormat="false" ht="15" hidden="false" customHeight="false" outlineLevel="0" collapsed="false">
      <c r="A335" s="122" t="n">
        <v>45639093.58</v>
      </c>
      <c r="B335" s="122" t="n">
        <v>45779521.55</v>
      </c>
      <c r="C335" s="122" t="n">
        <v>84189.68</v>
      </c>
    </row>
    <row r="336" customFormat="false" ht="15" hidden="false" customHeight="false" outlineLevel="0" collapsed="false">
      <c r="A336" s="121" t="n">
        <v>45779521.56</v>
      </c>
      <c r="B336" s="121" t="n">
        <v>45919949.53</v>
      </c>
      <c r="C336" s="121" t="n">
        <v>84442.11</v>
      </c>
    </row>
    <row r="337" customFormat="false" ht="15" hidden="false" customHeight="false" outlineLevel="0" collapsed="false">
      <c r="A337" s="122" t="n">
        <v>45919949.54</v>
      </c>
      <c r="B337" s="122" t="n">
        <v>46060377.51</v>
      </c>
      <c r="C337" s="122" t="n">
        <v>84694.54</v>
      </c>
    </row>
    <row r="338" customFormat="false" ht="15" hidden="false" customHeight="false" outlineLevel="0" collapsed="false">
      <c r="A338" s="121" t="n">
        <v>46060377.52</v>
      </c>
      <c r="B338" s="121" t="n">
        <v>46200805.49</v>
      </c>
      <c r="C338" s="121" t="n">
        <v>84946.97</v>
      </c>
    </row>
    <row r="339" customFormat="false" ht="15" hidden="false" customHeight="false" outlineLevel="0" collapsed="false">
      <c r="A339" s="122" t="n">
        <v>46200805.5</v>
      </c>
      <c r="B339" s="122" t="n">
        <v>46341233.47</v>
      </c>
      <c r="C339" s="122" t="n">
        <v>85199.4</v>
      </c>
    </row>
    <row r="340" customFormat="false" ht="15" hidden="false" customHeight="false" outlineLevel="0" collapsed="false">
      <c r="A340" s="121" t="n">
        <v>46341233.48</v>
      </c>
      <c r="B340" s="121" t="n">
        <v>46481661.45</v>
      </c>
      <c r="C340" s="121" t="n">
        <v>85451.83</v>
      </c>
    </row>
    <row r="341" customFormat="false" ht="15" hidden="false" customHeight="false" outlineLevel="0" collapsed="false">
      <c r="A341" s="122" t="n">
        <v>46481661.46</v>
      </c>
      <c r="B341" s="122" t="n">
        <v>46622089.43</v>
      </c>
      <c r="C341" s="122" t="n">
        <v>85704.26</v>
      </c>
    </row>
    <row r="342" customFormat="false" ht="15" hidden="false" customHeight="false" outlineLevel="0" collapsed="false">
      <c r="A342" s="121" t="n">
        <v>46622089.44</v>
      </c>
      <c r="B342" s="121" t="n">
        <v>46762517.41</v>
      </c>
      <c r="C342" s="121" t="n">
        <v>85956.69</v>
      </c>
    </row>
    <row r="343" customFormat="false" ht="15" hidden="false" customHeight="false" outlineLevel="0" collapsed="false">
      <c r="A343" s="122" t="n">
        <v>46762517.42</v>
      </c>
      <c r="B343" s="122" t="n">
        <v>46902945.39</v>
      </c>
      <c r="C343" s="122" t="n">
        <v>86209.12</v>
      </c>
    </row>
    <row r="344" customFormat="false" ht="15" hidden="false" customHeight="false" outlineLevel="0" collapsed="false">
      <c r="A344" s="121" t="n">
        <v>46902945.4</v>
      </c>
      <c r="B344" s="121" t="n">
        <v>47043373.37</v>
      </c>
      <c r="C344" s="121" t="n">
        <v>86461.55</v>
      </c>
    </row>
    <row r="345" customFormat="false" ht="15" hidden="false" customHeight="false" outlineLevel="0" collapsed="false">
      <c r="A345" s="122" t="n">
        <v>47043373.38</v>
      </c>
      <c r="B345" s="122" t="n">
        <v>47183801.35</v>
      </c>
      <c r="C345" s="122" t="n">
        <v>86713.98</v>
      </c>
    </row>
    <row r="346" customFormat="false" ht="15" hidden="false" customHeight="false" outlineLevel="0" collapsed="false">
      <c r="A346" s="121" t="n">
        <v>47183801.36</v>
      </c>
      <c r="B346" s="121" t="n">
        <v>47324229.33</v>
      </c>
      <c r="C346" s="121" t="n">
        <v>86966.41</v>
      </c>
    </row>
    <row r="347" customFormat="false" ht="15" hidden="false" customHeight="false" outlineLevel="0" collapsed="false">
      <c r="A347" s="122" t="n">
        <v>47324229.34</v>
      </c>
      <c r="B347" s="122" t="n">
        <v>47464657.31</v>
      </c>
      <c r="C347" s="122" t="n">
        <v>87218.84</v>
      </c>
    </row>
    <row r="348" customFormat="false" ht="15" hidden="false" customHeight="false" outlineLevel="0" collapsed="false">
      <c r="A348" s="121" t="n">
        <v>47464657.32</v>
      </c>
      <c r="B348" s="121" t="n">
        <v>47605085.29</v>
      </c>
      <c r="C348" s="121" t="n">
        <v>87471.27</v>
      </c>
    </row>
    <row r="349" customFormat="false" ht="15" hidden="false" customHeight="false" outlineLevel="0" collapsed="false">
      <c r="A349" s="122" t="n">
        <v>47605085.3</v>
      </c>
      <c r="B349" s="122" t="n">
        <v>47745513.27</v>
      </c>
      <c r="C349" s="122" t="n">
        <v>87723.7</v>
      </c>
    </row>
    <row r="350" customFormat="false" ht="15" hidden="false" customHeight="false" outlineLevel="0" collapsed="false">
      <c r="A350" s="121" t="n">
        <v>47745513.28</v>
      </c>
      <c r="B350" s="121" t="n">
        <v>47885941.25</v>
      </c>
      <c r="C350" s="121" t="n">
        <v>87976.13</v>
      </c>
    </row>
    <row r="351" customFormat="false" ht="15" hidden="false" customHeight="false" outlineLevel="0" collapsed="false">
      <c r="A351" s="122" t="n">
        <v>47885941.26</v>
      </c>
      <c r="B351" s="122" t="n">
        <v>48026369.23</v>
      </c>
      <c r="C351" s="122" t="n">
        <v>88228.56</v>
      </c>
    </row>
    <row r="352" customFormat="false" ht="15" hidden="false" customHeight="false" outlineLevel="0" collapsed="false">
      <c r="A352" s="121" t="n">
        <v>48026369.24</v>
      </c>
      <c r="B352" s="121" t="n">
        <v>48166797.21</v>
      </c>
      <c r="C352" s="121" t="n">
        <v>88480.99</v>
      </c>
    </row>
    <row r="353" customFormat="false" ht="15" hidden="false" customHeight="false" outlineLevel="0" collapsed="false">
      <c r="A353" s="122" t="n">
        <v>48166797.22</v>
      </c>
      <c r="B353" s="122" t="n">
        <v>48307225.19</v>
      </c>
      <c r="C353" s="122" t="n">
        <v>88733.42</v>
      </c>
    </row>
    <row r="354" customFormat="false" ht="15" hidden="false" customHeight="false" outlineLevel="0" collapsed="false">
      <c r="A354" s="121" t="n">
        <v>48307225.2</v>
      </c>
      <c r="B354" s="121" t="n">
        <v>48447653.17</v>
      </c>
      <c r="C354" s="121" t="n">
        <v>88985.85</v>
      </c>
    </row>
    <row r="355" customFormat="false" ht="15" hidden="false" customHeight="false" outlineLevel="0" collapsed="false">
      <c r="A355" s="122" t="n">
        <v>48447653.18</v>
      </c>
      <c r="B355" s="122" t="n">
        <v>48588081.15</v>
      </c>
      <c r="C355" s="122" t="n">
        <v>89238.28</v>
      </c>
    </row>
    <row r="356" customFormat="false" ht="15" hidden="false" customHeight="false" outlineLevel="0" collapsed="false">
      <c r="A356" s="121" t="n">
        <v>48588081.16</v>
      </c>
      <c r="B356" s="121" t="n">
        <v>48728509.13</v>
      </c>
      <c r="C356" s="121" t="n">
        <v>89490.71</v>
      </c>
    </row>
    <row r="357" customFormat="false" ht="15" hidden="false" customHeight="false" outlineLevel="0" collapsed="false">
      <c r="A357" s="122" t="n">
        <v>48728509.14</v>
      </c>
      <c r="B357" s="122" t="n">
        <v>48868937.11</v>
      </c>
      <c r="C357" s="122" t="n">
        <v>89743.14</v>
      </c>
    </row>
    <row r="358" customFormat="false" ht="15" hidden="false" customHeight="false" outlineLevel="0" collapsed="false">
      <c r="A358" s="121" t="n">
        <v>48868937.12</v>
      </c>
      <c r="B358" s="121" t="n">
        <v>49009365.09</v>
      </c>
      <c r="C358" s="121" t="n">
        <v>89995.57</v>
      </c>
    </row>
    <row r="359" customFormat="false" ht="15" hidden="false" customHeight="false" outlineLevel="0" collapsed="false">
      <c r="A359" s="122" t="n">
        <v>49009365.1</v>
      </c>
      <c r="B359" s="122" t="n">
        <v>49149793.07</v>
      </c>
      <c r="C359" s="122" t="n">
        <v>90248</v>
      </c>
    </row>
    <row r="360" customFormat="false" ht="15" hidden="false" customHeight="false" outlineLevel="0" collapsed="false">
      <c r="A360" s="121" t="n">
        <v>49149793.08</v>
      </c>
      <c r="B360" s="121" t="n">
        <v>49290221.05</v>
      </c>
      <c r="C360" s="121" t="n">
        <v>90500.43</v>
      </c>
    </row>
    <row r="361" customFormat="false" ht="15" hidden="false" customHeight="false" outlineLevel="0" collapsed="false">
      <c r="A361" s="122" t="n">
        <v>49290221.06</v>
      </c>
      <c r="B361" s="122" t="n">
        <v>49430649.03</v>
      </c>
      <c r="C361" s="122" t="n">
        <v>90752.86</v>
      </c>
    </row>
    <row r="362" customFormat="false" ht="15" hidden="false" customHeight="false" outlineLevel="0" collapsed="false">
      <c r="A362" s="121" t="n">
        <v>49430649.04</v>
      </c>
      <c r="B362" s="121" t="n">
        <v>49571077.01</v>
      </c>
      <c r="C362" s="121" t="n">
        <v>91005.29</v>
      </c>
    </row>
    <row r="363" customFormat="false" ht="15" hidden="false" customHeight="false" outlineLevel="0" collapsed="false">
      <c r="A363" s="122" t="n">
        <v>49571077.02</v>
      </c>
      <c r="B363" s="122" t="n">
        <v>49711504.99</v>
      </c>
      <c r="C363" s="122" t="n">
        <v>91257.72</v>
      </c>
    </row>
    <row r="364" customFormat="false" ht="15" hidden="false" customHeight="false" outlineLevel="0" collapsed="false">
      <c r="A364" s="121" t="n">
        <v>49711505</v>
      </c>
      <c r="B364" s="121" t="n">
        <v>49851932.97</v>
      </c>
      <c r="C364" s="121" t="n">
        <v>91510.15</v>
      </c>
    </row>
    <row r="365" customFormat="false" ht="15" hidden="false" customHeight="false" outlineLevel="0" collapsed="false">
      <c r="A365" s="122" t="n">
        <v>49851932.98</v>
      </c>
      <c r="B365" s="122" t="n">
        <v>49992360.95</v>
      </c>
      <c r="C365" s="122" t="n">
        <v>91762.58</v>
      </c>
    </row>
    <row r="366" customFormat="false" ht="15" hidden="false" customHeight="false" outlineLevel="0" collapsed="false">
      <c r="A366" s="121" t="n">
        <v>49992360.96</v>
      </c>
      <c r="B366" s="121" t="n">
        <v>50132788.93</v>
      </c>
      <c r="C366" s="121" t="n">
        <v>92015.01</v>
      </c>
    </row>
    <row r="367" customFormat="false" ht="15" hidden="false" customHeight="false" outlineLevel="0" collapsed="false">
      <c r="A367" s="122" t="n">
        <v>50132788.94</v>
      </c>
      <c r="B367" s="122" t="n">
        <v>50273216.91</v>
      </c>
      <c r="C367" s="122" t="n">
        <v>92267.44</v>
      </c>
    </row>
    <row r="368" customFormat="false" ht="15" hidden="false" customHeight="false" outlineLevel="0" collapsed="false">
      <c r="A368" s="121" t="n">
        <v>50273216.92</v>
      </c>
      <c r="B368" s="121" t="n">
        <v>50413644.89</v>
      </c>
      <c r="C368" s="121" t="n">
        <v>92519.87</v>
      </c>
    </row>
    <row r="369" customFormat="false" ht="15" hidden="false" customHeight="false" outlineLevel="0" collapsed="false">
      <c r="A369" s="122" t="n">
        <v>50413644.9</v>
      </c>
      <c r="B369" s="122" t="n">
        <v>50554072.87</v>
      </c>
      <c r="C369" s="122" t="n">
        <v>92772.3</v>
      </c>
    </row>
    <row r="370" customFormat="false" ht="15" hidden="false" customHeight="false" outlineLevel="0" collapsed="false">
      <c r="A370" s="121" t="n">
        <v>50554072.88</v>
      </c>
      <c r="B370" s="121" t="n">
        <v>50694500.85</v>
      </c>
      <c r="C370" s="121" t="n">
        <v>93024.73</v>
      </c>
    </row>
    <row r="371" customFormat="false" ht="15" hidden="false" customHeight="false" outlineLevel="0" collapsed="false">
      <c r="A371" s="122" t="n">
        <v>50694500.86</v>
      </c>
      <c r="B371" s="122" t="n">
        <v>50834928.83</v>
      </c>
      <c r="C371" s="122" t="n">
        <v>93277.16</v>
      </c>
    </row>
    <row r="372" customFormat="false" ht="15" hidden="false" customHeight="false" outlineLevel="0" collapsed="false">
      <c r="A372" s="121" t="n">
        <v>50834928.84</v>
      </c>
      <c r="B372" s="121" t="n">
        <v>50975356.81</v>
      </c>
      <c r="C372" s="121" t="n">
        <v>93529.59</v>
      </c>
    </row>
    <row r="373" customFormat="false" ht="15" hidden="false" customHeight="false" outlineLevel="0" collapsed="false">
      <c r="A373" s="122" t="n">
        <v>50975356.82</v>
      </c>
      <c r="B373" s="122" t="n">
        <v>51115784.79</v>
      </c>
      <c r="C373" s="122" t="n">
        <v>93782.02</v>
      </c>
    </row>
    <row r="374" customFormat="false" ht="15" hidden="false" customHeight="false" outlineLevel="0" collapsed="false">
      <c r="A374" s="121" t="n">
        <v>51115784.8</v>
      </c>
      <c r="B374" s="121" t="n">
        <v>51256212.77</v>
      </c>
      <c r="C374" s="121" t="n">
        <v>94034.45</v>
      </c>
    </row>
    <row r="375" customFormat="false" ht="15" hidden="false" customHeight="false" outlineLevel="0" collapsed="false">
      <c r="A375" s="122" t="n">
        <v>51256212.78</v>
      </c>
      <c r="B375" s="122" t="n">
        <v>51396640.75</v>
      </c>
      <c r="C375" s="122" t="n">
        <v>94286.88</v>
      </c>
    </row>
    <row r="376" customFormat="false" ht="15" hidden="false" customHeight="false" outlineLevel="0" collapsed="false">
      <c r="A376" s="121" t="n">
        <v>51396640.76</v>
      </c>
      <c r="B376" s="121" t="n">
        <v>51537068.73</v>
      </c>
      <c r="C376" s="121" t="n">
        <v>94539.31</v>
      </c>
    </row>
    <row r="377" customFormat="false" ht="15" hidden="false" customHeight="false" outlineLevel="0" collapsed="false">
      <c r="A377" s="122" t="n">
        <v>51537068.74</v>
      </c>
      <c r="B377" s="122" t="n">
        <v>51677496.71</v>
      </c>
      <c r="C377" s="122" t="n">
        <v>94791.74</v>
      </c>
    </row>
    <row r="378" customFormat="false" ht="15" hidden="false" customHeight="false" outlineLevel="0" collapsed="false">
      <c r="A378" s="121" t="n">
        <v>51677496.72</v>
      </c>
      <c r="B378" s="121" t="n">
        <v>51817924.69</v>
      </c>
      <c r="C378" s="121" t="n">
        <v>95044.17</v>
      </c>
    </row>
    <row r="379" customFormat="false" ht="15" hidden="false" customHeight="false" outlineLevel="0" collapsed="false">
      <c r="A379" s="122" t="n">
        <v>51817924.7</v>
      </c>
      <c r="B379" s="122" t="n">
        <v>51958352.67</v>
      </c>
      <c r="C379" s="122" t="n">
        <v>95296.6</v>
      </c>
    </row>
    <row r="380" customFormat="false" ht="15" hidden="false" customHeight="false" outlineLevel="0" collapsed="false">
      <c r="A380" s="121" t="n">
        <v>51958352.68</v>
      </c>
      <c r="B380" s="121" t="n">
        <v>52098780.65</v>
      </c>
      <c r="C380" s="121" t="n">
        <v>95549.03</v>
      </c>
    </row>
    <row r="381" customFormat="false" ht="15" hidden="false" customHeight="false" outlineLevel="0" collapsed="false">
      <c r="A381" s="122" t="n">
        <v>52098780.66</v>
      </c>
      <c r="B381" s="122" t="n">
        <v>52239208.63</v>
      </c>
      <c r="C381" s="122" t="n">
        <v>95801.46</v>
      </c>
    </row>
    <row r="382" customFormat="false" ht="15" hidden="false" customHeight="false" outlineLevel="0" collapsed="false">
      <c r="A382" s="121" t="n">
        <v>52239208.64</v>
      </c>
      <c r="B382" s="121" t="n">
        <v>52379636.61</v>
      </c>
      <c r="C382" s="121" t="n">
        <v>96053.89</v>
      </c>
    </row>
    <row r="383" customFormat="false" ht="15" hidden="false" customHeight="false" outlineLevel="0" collapsed="false">
      <c r="A383" s="122" t="n">
        <v>52379636.62</v>
      </c>
      <c r="B383" s="122" t="n">
        <v>52520064.59</v>
      </c>
      <c r="C383" s="122" t="n">
        <v>96306.32</v>
      </c>
    </row>
    <row r="384" customFormat="false" ht="15" hidden="false" customHeight="false" outlineLevel="0" collapsed="false">
      <c r="A384" s="121" t="n">
        <v>52520064.6</v>
      </c>
      <c r="B384" s="121" t="n">
        <v>52660492.57</v>
      </c>
      <c r="C384" s="121" t="n">
        <v>96558.75</v>
      </c>
    </row>
    <row r="385" customFormat="false" ht="15" hidden="false" customHeight="false" outlineLevel="0" collapsed="false">
      <c r="A385" s="122" t="n">
        <v>52660492.58</v>
      </c>
      <c r="B385" s="122" t="n">
        <v>52800920.55</v>
      </c>
      <c r="C385" s="122" t="n">
        <v>96811.18</v>
      </c>
    </row>
    <row r="386" customFormat="false" ht="15" hidden="false" customHeight="false" outlineLevel="0" collapsed="false">
      <c r="A386" s="121" t="n">
        <v>52800920.56</v>
      </c>
      <c r="B386" s="121" t="n">
        <v>52941348.53</v>
      </c>
      <c r="C386" s="121" t="n">
        <v>97063.61</v>
      </c>
    </row>
    <row r="387" customFormat="false" ht="15" hidden="false" customHeight="false" outlineLevel="0" collapsed="false">
      <c r="A387" s="122" t="n">
        <v>52941348.54</v>
      </c>
      <c r="B387" s="122" t="n">
        <v>53081776.51</v>
      </c>
      <c r="C387" s="122" t="n">
        <v>97316.04</v>
      </c>
    </row>
    <row r="388" customFormat="false" ht="15" hidden="false" customHeight="false" outlineLevel="0" collapsed="false">
      <c r="A388" s="121" t="n">
        <v>53081776.52</v>
      </c>
      <c r="B388" s="121" t="n">
        <v>53222204.49</v>
      </c>
      <c r="C388" s="121" t="n">
        <v>97568.47</v>
      </c>
    </row>
    <row r="389" customFormat="false" ht="15" hidden="false" customHeight="false" outlineLevel="0" collapsed="false">
      <c r="A389" s="122" t="n">
        <v>53222204.5</v>
      </c>
      <c r="B389" s="122" t="n">
        <v>53362632.47</v>
      </c>
      <c r="C389" s="122" t="n">
        <v>97820.9</v>
      </c>
    </row>
    <row r="390" customFormat="false" ht="15" hidden="false" customHeight="false" outlineLevel="0" collapsed="false">
      <c r="A390" s="121" t="n">
        <v>53362632.48</v>
      </c>
      <c r="B390" s="121" t="n">
        <v>53503060.45</v>
      </c>
      <c r="C390" s="121" t="n">
        <v>98073.33</v>
      </c>
    </row>
    <row r="391" customFormat="false" ht="15" hidden="false" customHeight="false" outlineLevel="0" collapsed="false">
      <c r="A391" s="122" t="n">
        <v>53503060.46</v>
      </c>
      <c r="B391" s="122" t="n">
        <v>53643488.43</v>
      </c>
      <c r="C391" s="122" t="n">
        <v>98325.76</v>
      </c>
    </row>
    <row r="392" customFormat="false" ht="15" hidden="false" customHeight="false" outlineLevel="0" collapsed="false">
      <c r="A392" s="121" t="n">
        <v>53643488.44</v>
      </c>
      <c r="B392" s="121" t="n">
        <v>53783916.41</v>
      </c>
      <c r="C392" s="121" t="n">
        <v>98578.19</v>
      </c>
    </row>
    <row r="393" customFormat="false" ht="15" hidden="false" customHeight="false" outlineLevel="0" collapsed="false">
      <c r="A393" s="122" t="n">
        <v>53783916.42</v>
      </c>
      <c r="B393" s="122" t="n">
        <v>53924344.39</v>
      </c>
      <c r="C393" s="122" t="n">
        <v>98830.62</v>
      </c>
    </row>
    <row r="394" customFormat="false" ht="15" hidden="false" customHeight="false" outlineLevel="0" collapsed="false">
      <c r="A394" s="121" t="n">
        <v>53924344.4</v>
      </c>
      <c r="B394" s="121" t="n">
        <v>54064772.37</v>
      </c>
      <c r="C394" s="121" t="n">
        <v>99083.05</v>
      </c>
    </row>
    <row r="395" customFormat="false" ht="15" hidden="false" customHeight="false" outlineLevel="0" collapsed="false">
      <c r="A395" s="122" t="n">
        <v>54064772.38</v>
      </c>
      <c r="B395" s="122" t="n">
        <v>54205200.35</v>
      </c>
      <c r="C395" s="122" t="n">
        <v>99335.48</v>
      </c>
    </row>
    <row r="396" customFormat="false" ht="15" hidden="false" customHeight="false" outlineLevel="0" collapsed="false">
      <c r="A396" s="121" t="n">
        <v>54205200.36</v>
      </c>
      <c r="B396" s="121" t="n">
        <v>54345628.33</v>
      </c>
      <c r="C396" s="121" t="n">
        <v>99587.91</v>
      </c>
    </row>
    <row r="397" customFormat="false" ht="15" hidden="false" customHeight="false" outlineLevel="0" collapsed="false">
      <c r="A397" s="122" t="n">
        <v>54345628.34</v>
      </c>
      <c r="B397" s="122" t="n">
        <v>54486056.31</v>
      </c>
      <c r="C397" s="122" t="n">
        <v>99840.34</v>
      </c>
    </row>
    <row r="398" customFormat="false" ht="15" hidden="false" customHeight="false" outlineLevel="0" collapsed="false">
      <c r="A398" s="121" t="n">
        <v>54486056.32</v>
      </c>
      <c r="B398" s="121" t="n">
        <v>54626484.29</v>
      </c>
      <c r="C398" s="121" t="n">
        <v>100092.77</v>
      </c>
    </row>
    <row r="399" customFormat="false" ht="15" hidden="false" customHeight="false" outlineLevel="0" collapsed="false">
      <c r="A399" s="122" t="n">
        <v>54626484.3</v>
      </c>
      <c r="B399" s="122" t="n">
        <v>54766912.27</v>
      </c>
      <c r="C399" s="122" t="n">
        <v>100345.2</v>
      </c>
    </row>
    <row r="400" customFormat="false" ht="15" hidden="false" customHeight="false" outlineLevel="0" collapsed="false">
      <c r="A400" s="121" t="n">
        <v>54766912.28</v>
      </c>
      <c r="B400" s="121" t="n">
        <v>54907340.25</v>
      </c>
      <c r="C400" s="121" t="n">
        <v>100597.63</v>
      </c>
    </row>
    <row r="401" customFormat="false" ht="15" hidden="false" customHeight="false" outlineLevel="0" collapsed="false">
      <c r="A401" s="122" t="n">
        <v>54907340.26</v>
      </c>
      <c r="B401" s="122" t="n">
        <v>55047768.23</v>
      </c>
      <c r="C401" s="122" t="n">
        <v>100850.06</v>
      </c>
    </row>
    <row r="402" customFormat="false" ht="15" hidden="false" customHeight="false" outlineLevel="0" collapsed="false">
      <c r="A402" s="121" t="n">
        <v>55047768.24</v>
      </c>
      <c r="B402" s="121" t="n">
        <v>55188196.21</v>
      </c>
      <c r="C402" s="121" t="n">
        <v>101102.49</v>
      </c>
    </row>
    <row r="403" customFormat="false" ht="15" hidden="false" customHeight="false" outlineLevel="0" collapsed="false">
      <c r="A403" s="122" t="n">
        <v>55188196.22</v>
      </c>
      <c r="B403" s="122" t="n">
        <v>55328624.19</v>
      </c>
      <c r="C403" s="122" t="n">
        <v>101354.92</v>
      </c>
    </row>
    <row r="404" customFormat="false" ht="15" hidden="false" customHeight="false" outlineLevel="0" collapsed="false">
      <c r="A404" s="121" t="n">
        <v>55328624.2</v>
      </c>
      <c r="B404" s="121" t="n">
        <v>55469052.17</v>
      </c>
      <c r="C404" s="121" t="n">
        <v>101607.35</v>
      </c>
    </row>
    <row r="405" customFormat="false" ht="15" hidden="false" customHeight="false" outlineLevel="0" collapsed="false">
      <c r="A405" s="122" t="n">
        <v>55469052.18</v>
      </c>
      <c r="B405" s="122" t="n">
        <v>55609480.15</v>
      </c>
      <c r="C405" s="122" t="n">
        <v>101859.78</v>
      </c>
    </row>
    <row r="406" customFormat="false" ht="15" hidden="false" customHeight="false" outlineLevel="0" collapsed="false">
      <c r="A406" s="121" t="n">
        <v>55609480.16</v>
      </c>
      <c r="B406" s="121" t="n">
        <v>55749908.13</v>
      </c>
      <c r="C406" s="121" t="n">
        <v>102112.21</v>
      </c>
    </row>
    <row r="407" customFormat="false" ht="15" hidden="false" customHeight="false" outlineLevel="0" collapsed="false">
      <c r="A407" s="122" t="n">
        <v>55749908.14</v>
      </c>
      <c r="B407" s="122" t="n">
        <v>55890336.11</v>
      </c>
      <c r="C407" s="122" t="n">
        <v>102364.64</v>
      </c>
    </row>
    <row r="408" customFormat="false" ht="15" hidden="false" customHeight="false" outlineLevel="0" collapsed="false">
      <c r="A408" s="121" t="n">
        <v>55890336.12</v>
      </c>
      <c r="B408" s="121" t="n">
        <v>56030764.09</v>
      </c>
      <c r="C408" s="121" t="n">
        <v>102617.07</v>
      </c>
    </row>
    <row r="409" customFormat="false" ht="15" hidden="false" customHeight="false" outlineLevel="0" collapsed="false">
      <c r="A409" s="122" t="n">
        <v>56030764.1</v>
      </c>
      <c r="B409" s="122" t="n">
        <v>56171192.07</v>
      </c>
      <c r="C409" s="122" t="n">
        <v>102869.5</v>
      </c>
    </row>
    <row r="410" customFormat="false" ht="15" hidden="false" customHeight="false" outlineLevel="0" collapsed="false">
      <c r="A410" s="121" t="n">
        <v>56171192.08</v>
      </c>
      <c r="B410" s="121" t="n">
        <v>56311620.05</v>
      </c>
      <c r="C410" s="121" t="n">
        <v>103121.93</v>
      </c>
    </row>
    <row r="411" customFormat="false" ht="15" hidden="false" customHeight="false" outlineLevel="0" collapsed="false">
      <c r="A411" s="122" t="n">
        <v>56311620.06</v>
      </c>
      <c r="B411" s="122" t="n">
        <v>56452048.03</v>
      </c>
      <c r="C411" s="122" t="n">
        <v>103374.36</v>
      </c>
    </row>
    <row r="412" customFormat="false" ht="15" hidden="false" customHeight="false" outlineLevel="0" collapsed="false">
      <c r="A412" s="121" t="n">
        <v>56452048.04</v>
      </c>
      <c r="B412" s="121" t="n">
        <v>56592476.01</v>
      </c>
      <c r="C412" s="121" t="n">
        <v>103626.79</v>
      </c>
    </row>
    <row r="413" customFormat="false" ht="15" hidden="false" customHeight="false" outlineLevel="0" collapsed="false">
      <c r="A413" s="122" t="n">
        <v>56592476.02</v>
      </c>
      <c r="B413" s="122" t="n">
        <v>56732903.99</v>
      </c>
      <c r="C413" s="122" t="n">
        <v>103879.22</v>
      </c>
    </row>
    <row r="414" customFormat="false" ht="15" hidden="false" customHeight="false" outlineLevel="0" collapsed="false">
      <c r="A414" s="121" t="n">
        <v>56732904</v>
      </c>
      <c r="B414" s="121" t="n">
        <v>56873331.97</v>
      </c>
      <c r="C414" s="121" t="n">
        <v>104131.65</v>
      </c>
    </row>
    <row r="415" customFormat="false" ht="15" hidden="false" customHeight="false" outlineLevel="0" collapsed="false">
      <c r="A415" s="122" t="n">
        <v>56873331.98</v>
      </c>
      <c r="B415" s="122" t="n">
        <v>57013759.95</v>
      </c>
      <c r="C415" s="122" t="n">
        <v>104384.08</v>
      </c>
    </row>
    <row r="416" customFormat="false" ht="15" hidden="false" customHeight="false" outlineLevel="0" collapsed="false">
      <c r="A416" s="121" t="n">
        <v>57013759.96</v>
      </c>
      <c r="B416" s="121" t="n">
        <v>57154187.93</v>
      </c>
      <c r="C416" s="121" t="n">
        <v>104636.51</v>
      </c>
    </row>
    <row r="417" customFormat="false" ht="15" hidden="false" customHeight="false" outlineLevel="0" collapsed="false">
      <c r="A417" s="122" t="n">
        <v>57154187.94</v>
      </c>
      <c r="B417" s="122" t="n">
        <v>57294615.91</v>
      </c>
      <c r="C417" s="122" t="n">
        <v>104888.94</v>
      </c>
    </row>
    <row r="418" customFormat="false" ht="15" hidden="false" customHeight="false" outlineLevel="0" collapsed="false">
      <c r="A418" s="121" t="n">
        <v>57294615.92</v>
      </c>
      <c r="B418" s="121" t="n">
        <v>57435043.89</v>
      </c>
      <c r="C418" s="121" t="n">
        <v>105141.37</v>
      </c>
    </row>
    <row r="419" customFormat="false" ht="15" hidden="false" customHeight="false" outlineLevel="0" collapsed="false">
      <c r="A419" s="122" t="n">
        <v>57435043.9</v>
      </c>
      <c r="B419" s="122" t="n">
        <v>57575471.87</v>
      </c>
      <c r="C419" s="122" t="n">
        <v>105393.8</v>
      </c>
    </row>
    <row r="420" customFormat="false" ht="15" hidden="false" customHeight="false" outlineLevel="0" collapsed="false">
      <c r="A420" s="121" t="n">
        <v>57575471.88</v>
      </c>
      <c r="B420" s="121" t="n">
        <v>57715899.85</v>
      </c>
      <c r="C420" s="121" t="n">
        <v>105646.23</v>
      </c>
    </row>
    <row r="421" customFormat="false" ht="15" hidden="false" customHeight="false" outlineLevel="0" collapsed="false">
      <c r="A421" s="122" t="n">
        <v>57715899.86</v>
      </c>
      <c r="B421" s="122" t="n">
        <v>57856327.83</v>
      </c>
      <c r="C421" s="122" t="n">
        <v>105898.66</v>
      </c>
    </row>
    <row r="422" customFormat="false" ht="15" hidden="false" customHeight="false" outlineLevel="0" collapsed="false">
      <c r="A422" s="121" t="n">
        <v>57856327.84</v>
      </c>
      <c r="B422" s="121" t="n">
        <v>57996755.81</v>
      </c>
      <c r="C422" s="121" t="n">
        <v>106151.09</v>
      </c>
    </row>
    <row r="423" customFormat="false" ht="15" hidden="false" customHeight="false" outlineLevel="0" collapsed="false">
      <c r="A423" s="122" t="n">
        <v>57996755.82</v>
      </c>
      <c r="B423" s="122" t="n">
        <v>58137183.79</v>
      </c>
      <c r="C423" s="122" t="n">
        <v>106403.52</v>
      </c>
    </row>
    <row r="424" customFormat="false" ht="15" hidden="false" customHeight="false" outlineLevel="0" collapsed="false">
      <c r="A424" s="121" t="n">
        <v>58137183.8</v>
      </c>
      <c r="B424" s="121" t="n">
        <v>58277611.77</v>
      </c>
      <c r="C424" s="121" t="n">
        <v>106655.95</v>
      </c>
    </row>
    <row r="425" customFormat="false" ht="15" hidden="false" customHeight="false" outlineLevel="0" collapsed="false">
      <c r="A425" s="122" t="n">
        <v>58277611.78</v>
      </c>
      <c r="B425" s="122" t="n">
        <v>58418039.75</v>
      </c>
      <c r="C425" s="122" t="n">
        <v>106908.38</v>
      </c>
    </row>
    <row r="426" customFormat="false" ht="15" hidden="false" customHeight="false" outlineLevel="0" collapsed="false">
      <c r="A426" s="121" t="n">
        <v>58418039.76</v>
      </c>
      <c r="B426" s="121" t="n">
        <v>58558467.73</v>
      </c>
      <c r="C426" s="121" t="n">
        <v>107160.81</v>
      </c>
    </row>
    <row r="427" customFormat="false" ht="15" hidden="false" customHeight="false" outlineLevel="0" collapsed="false">
      <c r="A427" s="122" t="n">
        <v>58558467.74</v>
      </c>
      <c r="B427" s="122" t="n">
        <v>58698895.71</v>
      </c>
      <c r="C427" s="122" t="n">
        <v>107413.24</v>
      </c>
    </row>
    <row r="428" customFormat="false" ht="15" hidden="false" customHeight="false" outlineLevel="0" collapsed="false">
      <c r="A428" s="121" t="n">
        <v>58698895.72</v>
      </c>
      <c r="B428" s="121" t="n">
        <v>58839323.69</v>
      </c>
      <c r="C428" s="121" t="n">
        <v>107665.67</v>
      </c>
    </row>
    <row r="429" customFormat="false" ht="15" hidden="false" customHeight="false" outlineLevel="0" collapsed="false">
      <c r="A429" s="122" t="n">
        <v>58839323.7</v>
      </c>
      <c r="B429" s="122" t="n">
        <v>58979751.67</v>
      </c>
      <c r="C429" s="122" t="n">
        <v>107918.1</v>
      </c>
    </row>
    <row r="430" customFormat="false" ht="15" hidden="false" customHeight="false" outlineLevel="0" collapsed="false">
      <c r="A430" s="121" t="n">
        <v>58979751.68</v>
      </c>
      <c r="B430" s="121" t="n">
        <v>59120179.65</v>
      </c>
      <c r="C430" s="121" t="n">
        <v>108170.53</v>
      </c>
    </row>
    <row r="431" customFormat="false" ht="15" hidden="false" customHeight="false" outlineLevel="0" collapsed="false">
      <c r="A431" s="122" t="n">
        <v>59120179.66</v>
      </c>
      <c r="B431" s="122" t="n">
        <v>59260607.63</v>
      </c>
      <c r="C431" s="122" t="n">
        <v>108422.96</v>
      </c>
    </row>
    <row r="432" customFormat="false" ht="15" hidden="false" customHeight="false" outlineLevel="0" collapsed="false">
      <c r="A432" s="121" t="n">
        <v>59260607.64</v>
      </c>
      <c r="B432" s="121" t="n">
        <v>59401035.61</v>
      </c>
      <c r="C432" s="121" t="n">
        <v>108675.39</v>
      </c>
    </row>
    <row r="433" customFormat="false" ht="15" hidden="false" customHeight="false" outlineLevel="0" collapsed="false">
      <c r="A433" s="122" t="n">
        <v>59401035.62</v>
      </c>
      <c r="B433" s="122" t="n">
        <v>59541463.59</v>
      </c>
      <c r="C433" s="122" t="n">
        <v>108927.82</v>
      </c>
    </row>
    <row r="434" customFormat="false" ht="15" hidden="false" customHeight="false" outlineLevel="0" collapsed="false">
      <c r="A434" s="121" t="n">
        <v>59541463.6</v>
      </c>
      <c r="B434" s="121" t="n">
        <v>59681891.57</v>
      </c>
      <c r="C434" s="121" t="n">
        <v>109180.25</v>
      </c>
    </row>
    <row r="435" customFormat="false" ht="15" hidden="false" customHeight="false" outlineLevel="0" collapsed="false">
      <c r="A435" s="122" t="n">
        <v>59681891.58</v>
      </c>
      <c r="B435" s="122" t="n">
        <v>59822319.55</v>
      </c>
      <c r="C435" s="122" t="n">
        <v>109432.68</v>
      </c>
    </row>
    <row r="436" customFormat="false" ht="15" hidden="false" customHeight="false" outlineLevel="0" collapsed="false">
      <c r="A436" s="121" t="n">
        <v>59822319.56</v>
      </c>
      <c r="B436" s="121" t="n">
        <v>59962747.53</v>
      </c>
      <c r="C436" s="121" t="n">
        <v>109685.11</v>
      </c>
    </row>
    <row r="437" customFormat="false" ht="15" hidden="false" customHeight="false" outlineLevel="0" collapsed="false">
      <c r="A437" s="122" t="n">
        <v>59962747.54</v>
      </c>
      <c r="B437" s="122" t="n">
        <v>60103175.51</v>
      </c>
      <c r="C437" s="122" t="n">
        <v>109937.54</v>
      </c>
    </row>
    <row r="438" customFormat="false" ht="15" hidden="false" customHeight="false" outlineLevel="0" collapsed="false">
      <c r="A438" s="121" t="n">
        <v>60103175.52</v>
      </c>
      <c r="B438" s="121" t="n">
        <v>60243603.49</v>
      </c>
      <c r="C438" s="121" t="n">
        <v>110189.97</v>
      </c>
    </row>
    <row r="439" customFormat="false" ht="15" hidden="false" customHeight="false" outlineLevel="0" collapsed="false">
      <c r="A439" s="122" t="n">
        <v>60243603.5</v>
      </c>
      <c r="B439" s="122" t="n">
        <v>60384031.47</v>
      </c>
      <c r="C439" s="122" t="n">
        <v>110442.4</v>
      </c>
    </row>
    <row r="440" customFormat="false" ht="15" hidden="false" customHeight="false" outlineLevel="0" collapsed="false">
      <c r="A440" s="121" t="n">
        <v>60384031.48</v>
      </c>
      <c r="B440" s="121" t="n">
        <v>60524459.45</v>
      </c>
      <c r="C440" s="121" t="n">
        <v>110694.83</v>
      </c>
    </row>
    <row r="441" customFormat="false" ht="15" hidden="false" customHeight="false" outlineLevel="0" collapsed="false">
      <c r="A441" s="122" t="n">
        <v>60524459.46</v>
      </c>
      <c r="B441" s="122" t="n">
        <v>60664887.43</v>
      </c>
      <c r="C441" s="122" t="n">
        <v>110947.26</v>
      </c>
    </row>
    <row r="442" customFormat="false" ht="15" hidden="false" customHeight="false" outlineLevel="0" collapsed="false">
      <c r="A442" s="121" t="n">
        <v>60664887.44</v>
      </c>
      <c r="B442" s="121" t="n">
        <v>60805315.41</v>
      </c>
      <c r="C442" s="121" t="n">
        <v>111199.69</v>
      </c>
    </row>
    <row r="443" customFormat="false" ht="15" hidden="false" customHeight="false" outlineLevel="0" collapsed="false">
      <c r="A443" s="122" t="n">
        <v>60805315.42</v>
      </c>
      <c r="B443" s="122" t="n">
        <v>60945743.39</v>
      </c>
      <c r="C443" s="122" t="n">
        <v>111452.12</v>
      </c>
    </row>
    <row r="444" customFormat="false" ht="15" hidden="false" customHeight="false" outlineLevel="0" collapsed="false">
      <c r="A444" s="121" t="n">
        <v>60945743.4</v>
      </c>
      <c r="B444" s="121" t="n">
        <v>61086171.37</v>
      </c>
      <c r="C444" s="121" t="n">
        <v>111704.55</v>
      </c>
    </row>
    <row r="445" customFormat="false" ht="15" hidden="false" customHeight="false" outlineLevel="0" collapsed="false">
      <c r="A445" s="122" t="n">
        <v>61086171.38</v>
      </c>
      <c r="B445" s="122" t="n">
        <v>61226599.35</v>
      </c>
      <c r="C445" s="122" t="n">
        <v>111956.98</v>
      </c>
    </row>
    <row r="446" customFormat="false" ht="15" hidden="false" customHeight="false" outlineLevel="0" collapsed="false">
      <c r="A446" s="121" t="n">
        <v>61226599.36</v>
      </c>
      <c r="B446" s="121" t="n">
        <v>61367027.33</v>
      </c>
      <c r="C446" s="121" t="n">
        <v>112209.41</v>
      </c>
    </row>
    <row r="447" customFormat="false" ht="15" hidden="false" customHeight="false" outlineLevel="0" collapsed="false">
      <c r="A447" s="122" t="n">
        <v>61367027.34</v>
      </c>
      <c r="B447" s="122" t="n">
        <v>61507455.31</v>
      </c>
      <c r="C447" s="122" t="n">
        <v>112461.84</v>
      </c>
    </row>
    <row r="448" customFormat="false" ht="15" hidden="false" customHeight="false" outlineLevel="0" collapsed="false">
      <c r="A448" s="121" t="n">
        <v>61507455.32</v>
      </c>
      <c r="B448" s="121" t="n">
        <v>61647883.29</v>
      </c>
      <c r="C448" s="121" t="n">
        <v>112714.27</v>
      </c>
    </row>
    <row r="449" customFormat="false" ht="15" hidden="false" customHeight="false" outlineLevel="0" collapsed="false">
      <c r="A449" s="122" t="n">
        <v>61647883.3</v>
      </c>
      <c r="B449" s="122" t="n">
        <v>61788311.27</v>
      </c>
      <c r="C449" s="122" t="n">
        <v>112966.7</v>
      </c>
    </row>
    <row r="450" customFormat="false" ht="15" hidden="false" customHeight="false" outlineLevel="0" collapsed="false">
      <c r="A450" s="121" t="n">
        <v>61788311.28</v>
      </c>
      <c r="B450" s="121" t="n">
        <v>61928739.25</v>
      </c>
      <c r="C450" s="121" t="n">
        <v>113219.13</v>
      </c>
    </row>
    <row r="451" customFormat="false" ht="15" hidden="false" customHeight="false" outlineLevel="0" collapsed="false">
      <c r="A451" s="122" t="n">
        <v>61928739.26</v>
      </c>
      <c r="B451" s="122" t="n">
        <v>62069167.23</v>
      </c>
      <c r="C451" s="122" t="n">
        <v>113471.56</v>
      </c>
    </row>
    <row r="452" customFormat="false" ht="15" hidden="false" customHeight="false" outlineLevel="0" collapsed="false">
      <c r="A452" s="121" t="n">
        <v>62069167.24</v>
      </c>
      <c r="B452" s="121" t="n">
        <v>62209595.21</v>
      </c>
      <c r="C452" s="121" t="n">
        <v>113723.99</v>
      </c>
    </row>
    <row r="453" customFormat="false" ht="15" hidden="false" customHeight="false" outlineLevel="0" collapsed="false">
      <c r="A453" s="122" t="n">
        <v>62209595.22</v>
      </c>
      <c r="B453" s="122" t="n">
        <v>62350023.19</v>
      </c>
      <c r="C453" s="122" t="n">
        <v>113976.42</v>
      </c>
    </row>
    <row r="454" customFormat="false" ht="15" hidden="false" customHeight="false" outlineLevel="0" collapsed="false">
      <c r="A454" s="121" t="n">
        <v>62350023.2</v>
      </c>
      <c r="B454" s="121" t="n">
        <v>62490451.17</v>
      </c>
      <c r="C454" s="121" t="n">
        <v>114228.85</v>
      </c>
    </row>
    <row r="455" customFormat="false" ht="15" hidden="false" customHeight="false" outlineLevel="0" collapsed="false">
      <c r="A455" s="122" t="n">
        <v>62490451.18</v>
      </c>
      <c r="B455" s="122" t="n">
        <v>62630879.15</v>
      </c>
      <c r="C455" s="122" t="n">
        <v>114481.28</v>
      </c>
    </row>
    <row r="456" customFormat="false" ht="15" hidden="false" customHeight="false" outlineLevel="0" collapsed="false">
      <c r="A456" s="121" t="n">
        <v>62630879.16</v>
      </c>
      <c r="B456" s="121" t="n">
        <v>62771307.13</v>
      </c>
      <c r="C456" s="121" t="n">
        <v>114733.71</v>
      </c>
    </row>
    <row r="457" customFormat="false" ht="15" hidden="false" customHeight="false" outlineLevel="0" collapsed="false">
      <c r="A457" s="122" t="n">
        <v>62771307.14</v>
      </c>
      <c r="B457" s="122" t="n">
        <v>62911735.11</v>
      </c>
      <c r="C457" s="122" t="n">
        <v>114986.14</v>
      </c>
    </row>
    <row r="458" customFormat="false" ht="15" hidden="false" customHeight="false" outlineLevel="0" collapsed="false">
      <c r="A458" s="121" t="n">
        <v>62911735.12</v>
      </c>
      <c r="B458" s="121" t="n">
        <v>63052163.09</v>
      </c>
      <c r="C458" s="121" t="n">
        <v>115238.57</v>
      </c>
    </row>
    <row r="459" customFormat="false" ht="15" hidden="false" customHeight="false" outlineLevel="0" collapsed="false">
      <c r="A459" s="122" t="n">
        <v>63052163.1</v>
      </c>
      <c r="B459" s="122" t="n">
        <v>63192591.07</v>
      </c>
      <c r="C459" s="122" t="n">
        <v>115491</v>
      </c>
    </row>
    <row r="460" customFormat="false" ht="15" hidden="false" customHeight="false" outlineLevel="0" collapsed="false">
      <c r="A460" s="121" t="n">
        <v>63192591.08</v>
      </c>
      <c r="B460" s="121" t="n">
        <v>63333019.05</v>
      </c>
      <c r="C460" s="121" t="n">
        <v>115743.43</v>
      </c>
    </row>
    <row r="461" customFormat="false" ht="15" hidden="false" customHeight="false" outlineLevel="0" collapsed="false">
      <c r="A461" s="122" t="n">
        <v>63333019.06</v>
      </c>
      <c r="B461" s="122" t="n">
        <v>63473447.03</v>
      </c>
      <c r="C461" s="122" t="n">
        <v>115995.86</v>
      </c>
    </row>
    <row r="462" customFormat="false" ht="15" hidden="false" customHeight="false" outlineLevel="0" collapsed="false">
      <c r="A462" s="121" t="n">
        <v>63473447.04</v>
      </c>
      <c r="B462" s="121" t="n">
        <v>63613875.01</v>
      </c>
      <c r="C462" s="121" t="n">
        <v>116248.29</v>
      </c>
    </row>
    <row r="463" customFormat="false" ht="15" hidden="false" customHeight="false" outlineLevel="0" collapsed="false">
      <c r="A463" s="122" t="n">
        <v>63613875.02</v>
      </c>
      <c r="B463" s="122" t="n">
        <v>63754302.99</v>
      </c>
      <c r="C463" s="122" t="n">
        <v>116500.72</v>
      </c>
    </row>
    <row r="464" customFormat="false" ht="15" hidden="false" customHeight="false" outlineLevel="0" collapsed="false">
      <c r="A464" s="121" t="n">
        <v>63754303</v>
      </c>
      <c r="B464" s="121" t="n">
        <v>63894730.97</v>
      </c>
      <c r="C464" s="121" t="n">
        <v>116753.15</v>
      </c>
    </row>
    <row r="465" customFormat="false" ht="15" hidden="false" customHeight="false" outlineLevel="0" collapsed="false">
      <c r="A465" s="122" t="n">
        <v>63894730.98</v>
      </c>
      <c r="B465" s="122" t="n">
        <v>64035158.95</v>
      </c>
      <c r="C465" s="122" t="n">
        <v>117005.58</v>
      </c>
    </row>
    <row r="466" customFormat="false" ht="15" hidden="false" customHeight="false" outlineLevel="0" collapsed="false">
      <c r="A466" s="121" t="n">
        <v>64035158.96</v>
      </c>
      <c r="B466" s="121" t="n">
        <v>64175586.93</v>
      </c>
      <c r="C466" s="121" t="n">
        <v>117258.01</v>
      </c>
    </row>
    <row r="467" customFormat="false" ht="15" hidden="false" customHeight="false" outlineLevel="0" collapsed="false">
      <c r="A467" s="122" t="n">
        <v>64175586.94</v>
      </c>
      <c r="B467" s="122" t="n">
        <v>64316014.91</v>
      </c>
      <c r="C467" s="122" t="n">
        <v>117510.44</v>
      </c>
    </row>
    <row r="468" customFormat="false" ht="15" hidden="false" customHeight="false" outlineLevel="0" collapsed="false">
      <c r="A468" s="121" t="n">
        <v>64316014.92</v>
      </c>
      <c r="B468" s="121" t="n">
        <v>64456442.89</v>
      </c>
      <c r="C468" s="121" t="n">
        <v>117762.87</v>
      </c>
    </row>
    <row r="469" customFormat="false" ht="15" hidden="false" customHeight="false" outlineLevel="0" collapsed="false">
      <c r="A469" s="122" t="n">
        <v>64456442.9</v>
      </c>
      <c r="B469" s="122" t="n">
        <v>64596870.87</v>
      </c>
      <c r="C469" s="122" t="n">
        <v>118015.3</v>
      </c>
    </row>
    <row r="470" customFormat="false" ht="15" hidden="false" customHeight="false" outlineLevel="0" collapsed="false">
      <c r="A470" s="121" t="n">
        <v>64596870.88</v>
      </c>
      <c r="B470" s="121" t="n">
        <v>64737298.85</v>
      </c>
      <c r="C470" s="121" t="n">
        <v>118267.73</v>
      </c>
    </row>
    <row r="471" customFormat="false" ht="15" hidden="false" customHeight="false" outlineLevel="0" collapsed="false">
      <c r="A471" s="122" t="n">
        <v>64737298.86</v>
      </c>
      <c r="B471" s="122" t="n">
        <v>64877726.83</v>
      </c>
      <c r="C471" s="122" t="n">
        <v>118520.16</v>
      </c>
    </row>
    <row r="472" customFormat="false" ht="15" hidden="false" customHeight="false" outlineLevel="0" collapsed="false">
      <c r="A472" s="121" t="n">
        <v>64877726.84</v>
      </c>
      <c r="B472" s="121" t="n">
        <v>65018154.81</v>
      </c>
      <c r="C472" s="121" t="n">
        <v>118772.59</v>
      </c>
    </row>
    <row r="473" customFormat="false" ht="15" hidden="false" customHeight="false" outlineLevel="0" collapsed="false">
      <c r="A473" s="122" t="n">
        <v>65018154.82</v>
      </c>
      <c r="B473" s="122" t="n">
        <v>65158582.79</v>
      </c>
      <c r="C473" s="122" t="n">
        <v>119025.02</v>
      </c>
    </row>
    <row r="474" customFormat="false" ht="15" hidden="false" customHeight="false" outlineLevel="0" collapsed="false">
      <c r="A474" s="121" t="n">
        <v>65158582.8</v>
      </c>
      <c r="B474" s="121" t="n">
        <v>65299010.77</v>
      </c>
      <c r="C474" s="121" t="n">
        <v>119277.45</v>
      </c>
    </row>
    <row r="475" customFormat="false" ht="15" hidden="false" customHeight="false" outlineLevel="0" collapsed="false">
      <c r="A475" s="122" t="n">
        <v>65299010.78</v>
      </c>
      <c r="B475" s="122" t="n">
        <v>65439438.75</v>
      </c>
      <c r="C475" s="122" t="n">
        <v>119529.88</v>
      </c>
    </row>
    <row r="476" customFormat="false" ht="15" hidden="false" customHeight="false" outlineLevel="0" collapsed="false">
      <c r="A476" s="121" t="n">
        <v>65439438.76</v>
      </c>
      <c r="B476" s="121" t="n">
        <v>65579866.73</v>
      </c>
      <c r="C476" s="121" t="n">
        <v>119782.31</v>
      </c>
    </row>
    <row r="477" customFormat="false" ht="15" hidden="false" customHeight="false" outlineLevel="0" collapsed="false">
      <c r="A477" s="122" t="n">
        <v>65579866.74</v>
      </c>
      <c r="B477" s="122" t="n">
        <v>65720294.71</v>
      </c>
      <c r="C477" s="122" t="n">
        <v>120034.74</v>
      </c>
    </row>
    <row r="478" customFormat="false" ht="15" hidden="false" customHeight="false" outlineLevel="0" collapsed="false">
      <c r="A478" s="121" t="n">
        <v>65720294.72</v>
      </c>
      <c r="B478" s="121" t="n">
        <v>65860722.69</v>
      </c>
      <c r="C478" s="121" t="n">
        <v>120287.17</v>
      </c>
    </row>
    <row r="479" customFormat="false" ht="15" hidden="false" customHeight="false" outlineLevel="0" collapsed="false">
      <c r="A479" s="122" t="n">
        <v>65860722.7</v>
      </c>
      <c r="B479" s="122" t="n">
        <v>66001150.67</v>
      </c>
      <c r="C479" s="122" t="n">
        <v>120539.6</v>
      </c>
    </row>
    <row r="480" customFormat="false" ht="15" hidden="false" customHeight="false" outlineLevel="0" collapsed="false">
      <c r="A480" s="121" t="n">
        <v>66001150.68</v>
      </c>
      <c r="B480" s="121" t="n">
        <v>66141578.65</v>
      </c>
      <c r="C480" s="121" t="n">
        <v>120792.03</v>
      </c>
    </row>
    <row r="481" customFormat="false" ht="15" hidden="false" customHeight="false" outlineLevel="0" collapsed="false">
      <c r="A481" s="122" t="n">
        <v>66141578.66</v>
      </c>
      <c r="B481" s="122" t="n">
        <v>66282006.63</v>
      </c>
      <c r="C481" s="122" t="n">
        <v>121044.46</v>
      </c>
    </row>
    <row r="482" customFormat="false" ht="15" hidden="false" customHeight="false" outlineLevel="0" collapsed="false">
      <c r="A482" s="121" t="n">
        <v>66282006.64</v>
      </c>
      <c r="B482" s="121" t="n">
        <v>66422434.61</v>
      </c>
      <c r="C482" s="121" t="n">
        <v>121296.89</v>
      </c>
    </row>
    <row r="483" customFormat="false" ht="15" hidden="false" customHeight="false" outlineLevel="0" collapsed="false">
      <c r="A483" s="122" t="n">
        <v>66422434.62</v>
      </c>
      <c r="B483" s="122" t="n">
        <v>66562862.59</v>
      </c>
      <c r="C483" s="122" t="n">
        <v>121549.32</v>
      </c>
    </row>
    <row r="484" customFormat="false" ht="15" hidden="false" customHeight="false" outlineLevel="0" collapsed="false">
      <c r="A484" s="121" t="n">
        <v>66562862.6</v>
      </c>
      <c r="B484" s="121" t="n">
        <v>66703290.57</v>
      </c>
      <c r="C484" s="121" t="n">
        <v>121801.75</v>
      </c>
    </row>
    <row r="485" customFormat="false" ht="15" hidden="false" customHeight="false" outlineLevel="0" collapsed="false">
      <c r="A485" s="122" t="n">
        <v>66703290.58</v>
      </c>
      <c r="B485" s="122" t="n">
        <v>66843718.55</v>
      </c>
      <c r="C485" s="122" t="n">
        <v>122054.18</v>
      </c>
    </row>
    <row r="486" customFormat="false" ht="15" hidden="false" customHeight="false" outlineLevel="0" collapsed="false">
      <c r="A486" s="121" t="n">
        <v>66843718.56</v>
      </c>
      <c r="B486" s="121" t="n">
        <v>66984146.53</v>
      </c>
      <c r="C486" s="121" t="n">
        <v>122306.61</v>
      </c>
    </row>
    <row r="487" customFormat="false" ht="15" hidden="false" customHeight="false" outlineLevel="0" collapsed="false">
      <c r="A487" s="122" t="n">
        <v>66984146.54</v>
      </c>
      <c r="B487" s="122" t="n">
        <v>67124574.51</v>
      </c>
      <c r="C487" s="122" t="n">
        <v>122559.04</v>
      </c>
    </row>
    <row r="488" customFormat="false" ht="15" hidden="false" customHeight="false" outlineLevel="0" collapsed="false">
      <c r="A488" s="121" t="n">
        <v>67124574.52</v>
      </c>
      <c r="B488" s="121" t="n">
        <v>67265002.49</v>
      </c>
      <c r="C488" s="121" t="n">
        <v>122811.47</v>
      </c>
    </row>
    <row r="489" customFormat="false" ht="15" hidden="false" customHeight="false" outlineLevel="0" collapsed="false">
      <c r="A489" s="122" t="n">
        <v>67265002.5</v>
      </c>
      <c r="B489" s="122" t="n">
        <v>67405430.47</v>
      </c>
      <c r="C489" s="122" t="n">
        <v>123063.9</v>
      </c>
    </row>
    <row r="490" customFormat="false" ht="15" hidden="false" customHeight="false" outlineLevel="0" collapsed="false">
      <c r="A490" s="121" t="n">
        <v>67405430.48</v>
      </c>
      <c r="B490" s="121" t="n">
        <v>67545858.45</v>
      </c>
      <c r="C490" s="121" t="n">
        <v>123316.33</v>
      </c>
    </row>
    <row r="491" customFormat="false" ht="15" hidden="false" customHeight="false" outlineLevel="0" collapsed="false">
      <c r="A491" s="122" t="n">
        <v>67545858.46</v>
      </c>
      <c r="B491" s="122" t="n">
        <v>67686286.43</v>
      </c>
      <c r="C491" s="122" t="n">
        <v>123568.76</v>
      </c>
    </row>
    <row r="492" customFormat="false" ht="15" hidden="false" customHeight="false" outlineLevel="0" collapsed="false">
      <c r="A492" s="121" t="n">
        <v>67686286.44</v>
      </c>
      <c r="B492" s="121" t="n">
        <v>67826714.41</v>
      </c>
      <c r="C492" s="121" t="n">
        <v>123821.19</v>
      </c>
    </row>
    <row r="493" customFormat="false" ht="15" hidden="false" customHeight="false" outlineLevel="0" collapsed="false">
      <c r="A493" s="122" t="n">
        <v>67826714.42</v>
      </c>
      <c r="B493" s="122" t="n">
        <v>67967142.39</v>
      </c>
      <c r="C493" s="122" t="n">
        <v>124073.62</v>
      </c>
    </row>
    <row r="494" customFormat="false" ht="15" hidden="false" customHeight="false" outlineLevel="0" collapsed="false">
      <c r="A494" s="121" t="n">
        <v>67967142.4</v>
      </c>
      <c r="B494" s="121" t="n">
        <v>68107570.37</v>
      </c>
      <c r="C494" s="121" t="n">
        <v>124326.05</v>
      </c>
    </row>
    <row r="495" customFormat="false" ht="15" hidden="false" customHeight="false" outlineLevel="0" collapsed="false">
      <c r="A495" s="122" t="n">
        <v>68107570.38</v>
      </c>
      <c r="B495" s="122" t="n">
        <v>68247998.35</v>
      </c>
      <c r="C495" s="122" t="n">
        <v>124578.48</v>
      </c>
    </row>
    <row r="496" customFormat="false" ht="15" hidden="false" customHeight="false" outlineLevel="0" collapsed="false">
      <c r="A496" s="121" t="n">
        <v>68247998.36</v>
      </c>
      <c r="B496" s="121" t="n">
        <v>68388426.33</v>
      </c>
      <c r="C496" s="121" t="n">
        <v>124830.91</v>
      </c>
    </row>
    <row r="497" customFormat="false" ht="15" hidden="false" customHeight="false" outlineLevel="0" collapsed="false">
      <c r="A497" s="122" t="n">
        <v>68388426.34</v>
      </c>
      <c r="B497" s="122" t="n">
        <v>68528854.31</v>
      </c>
      <c r="C497" s="122" t="n">
        <v>125083.34</v>
      </c>
    </row>
    <row r="498" customFormat="false" ht="15" hidden="false" customHeight="false" outlineLevel="0" collapsed="false">
      <c r="A498" s="121" t="n">
        <v>68528854.32</v>
      </c>
      <c r="B498" s="121" t="n">
        <v>68669282.29</v>
      </c>
      <c r="C498" s="121" t="n">
        <v>125335.77</v>
      </c>
    </row>
    <row r="499" customFormat="false" ht="15" hidden="false" customHeight="false" outlineLevel="0" collapsed="false">
      <c r="A499" s="122" t="n">
        <v>68669282.3</v>
      </c>
      <c r="B499" s="122" t="n">
        <v>68809710.27</v>
      </c>
      <c r="C499" s="122" t="n">
        <v>125588.2</v>
      </c>
    </row>
    <row r="500" customFormat="false" ht="15" hidden="false" customHeight="false" outlineLevel="0" collapsed="false">
      <c r="A500" s="121" t="n">
        <v>68809710.28</v>
      </c>
      <c r="B500" s="121" t="n">
        <v>68950138.25</v>
      </c>
      <c r="C500" s="121" t="n">
        <v>125840.63</v>
      </c>
    </row>
    <row r="501" customFormat="false" ht="15" hidden="false" customHeight="false" outlineLevel="0" collapsed="false">
      <c r="A501" s="122" t="n">
        <v>68950138.26</v>
      </c>
      <c r="B501" s="122" t="n">
        <v>69090566.23</v>
      </c>
      <c r="C501" s="122" t="n">
        <v>126093.06</v>
      </c>
    </row>
    <row r="502" customFormat="false" ht="15" hidden="false" customHeight="false" outlineLevel="0" collapsed="false">
      <c r="A502" s="121" t="n">
        <v>69090566.24</v>
      </c>
      <c r="B502" s="121" t="n">
        <v>69230994.21</v>
      </c>
      <c r="C502" s="121" t="n">
        <v>126345.49</v>
      </c>
    </row>
    <row r="503" customFormat="false" ht="15" hidden="false" customHeight="false" outlineLevel="0" collapsed="false">
      <c r="A503" s="122" t="n">
        <v>69230994.22</v>
      </c>
      <c r="B503" s="122" t="n">
        <v>69371422.19</v>
      </c>
      <c r="C503" s="122" t="n">
        <v>126597.92</v>
      </c>
    </row>
    <row r="504" customFormat="false" ht="15" hidden="false" customHeight="false" outlineLevel="0" collapsed="false">
      <c r="A504" s="121" t="n">
        <v>69371422.2</v>
      </c>
      <c r="B504" s="121" t="n">
        <v>69511850.17</v>
      </c>
      <c r="C504" s="121" t="n">
        <v>126850.35</v>
      </c>
    </row>
    <row r="505" customFormat="false" ht="15" hidden="false" customHeight="false" outlineLevel="0" collapsed="false">
      <c r="A505" s="122" t="n">
        <v>69511850.18</v>
      </c>
      <c r="B505" s="122" t="n">
        <v>69652278.15</v>
      </c>
      <c r="C505" s="122" t="n">
        <v>127102.78</v>
      </c>
    </row>
    <row r="506" customFormat="false" ht="15" hidden="false" customHeight="false" outlineLevel="0" collapsed="false">
      <c r="A506" s="121" t="n">
        <v>69652278.16</v>
      </c>
      <c r="B506" s="121" t="n">
        <v>69792706.13</v>
      </c>
      <c r="C506" s="121" t="n">
        <v>127355.21</v>
      </c>
    </row>
    <row r="507" customFormat="false" ht="15" hidden="false" customHeight="false" outlineLevel="0" collapsed="false">
      <c r="A507" s="122" t="n">
        <v>69792706.14</v>
      </c>
      <c r="B507" s="122" t="n">
        <v>69933134.11</v>
      </c>
      <c r="C507" s="122" t="n">
        <v>127607.64</v>
      </c>
    </row>
    <row r="508" customFormat="false" ht="15" hidden="false" customHeight="false" outlineLevel="0" collapsed="false">
      <c r="A508" s="121" t="n">
        <v>69933134.12</v>
      </c>
      <c r="B508" s="121" t="n">
        <v>70073562.09</v>
      </c>
      <c r="C508" s="121" t="n">
        <v>127860.07</v>
      </c>
    </row>
    <row r="509" customFormat="false" ht="15" hidden="false" customHeight="false" outlineLevel="0" collapsed="false">
      <c r="A509" s="122" t="n">
        <v>70073562.1</v>
      </c>
      <c r="B509" s="122" t="n">
        <v>70213990.07</v>
      </c>
      <c r="C509" s="122" t="n">
        <v>128112.5</v>
      </c>
    </row>
    <row r="510" customFormat="false" ht="15" hidden="false" customHeight="false" outlineLevel="0" collapsed="false">
      <c r="A510" s="121" t="n">
        <v>70213990.08</v>
      </c>
      <c r="B510" s="121" t="n">
        <v>70354418.05</v>
      </c>
      <c r="C510" s="121" t="n">
        <v>128364.93</v>
      </c>
    </row>
    <row r="511" customFormat="false" ht="15" hidden="false" customHeight="false" outlineLevel="0" collapsed="false">
      <c r="A511" s="122" t="n">
        <v>70354418.06</v>
      </c>
      <c r="B511" s="122" t="n">
        <v>70494846.03</v>
      </c>
      <c r="C511" s="122" t="n">
        <v>128617.36</v>
      </c>
    </row>
    <row r="512" customFormat="false" ht="15" hidden="false" customHeight="false" outlineLevel="0" collapsed="false">
      <c r="A512" s="121" t="n">
        <v>70494846.04</v>
      </c>
      <c r="B512" s="121" t="n">
        <v>70635274.01</v>
      </c>
      <c r="C512" s="121" t="n">
        <v>128869.79</v>
      </c>
    </row>
    <row r="513" customFormat="false" ht="15" hidden="false" customHeight="false" outlineLevel="0" collapsed="false">
      <c r="A513" s="122" t="n">
        <v>70635274.02</v>
      </c>
      <c r="B513" s="122" t="n">
        <v>70775701.99</v>
      </c>
      <c r="C513" s="122" t="n">
        <v>129122.22</v>
      </c>
    </row>
    <row r="514" customFormat="false" ht="15" hidden="false" customHeight="false" outlineLevel="0" collapsed="false">
      <c r="A514" s="121" t="n">
        <v>70775702</v>
      </c>
      <c r="B514" s="121" t="n">
        <v>70916129.97</v>
      </c>
      <c r="C514" s="121" t="n">
        <v>129374.65</v>
      </c>
    </row>
    <row r="515" customFormat="false" ht="15" hidden="false" customHeight="false" outlineLevel="0" collapsed="false">
      <c r="A515" s="122" t="n">
        <v>70916129.98</v>
      </c>
      <c r="B515" s="122" t="n">
        <v>71056557.95</v>
      </c>
      <c r="C515" s="122" t="n">
        <v>129627.08</v>
      </c>
    </row>
    <row r="516" customFormat="false" ht="15" hidden="false" customHeight="false" outlineLevel="0" collapsed="false">
      <c r="A516" s="121" t="n">
        <v>71056557.96</v>
      </c>
      <c r="B516" s="121" t="n">
        <v>71196985.93</v>
      </c>
      <c r="C516" s="121" t="n">
        <v>129879.51</v>
      </c>
    </row>
    <row r="517" customFormat="false" ht="15" hidden="false" customHeight="false" outlineLevel="0" collapsed="false">
      <c r="A517" s="122" t="n">
        <v>71196985.94</v>
      </c>
      <c r="B517" s="122" t="n">
        <v>71337413.91</v>
      </c>
      <c r="C517" s="122" t="n">
        <v>130131.94</v>
      </c>
    </row>
    <row r="518" customFormat="false" ht="15" hidden="false" customHeight="false" outlineLevel="0" collapsed="false">
      <c r="A518" s="121" t="n">
        <v>71337413.92</v>
      </c>
      <c r="B518" s="121" t="n">
        <v>71477841.89</v>
      </c>
      <c r="C518" s="121" t="n">
        <v>130384.37</v>
      </c>
    </row>
    <row r="519" customFormat="false" ht="15" hidden="false" customHeight="false" outlineLevel="0" collapsed="false">
      <c r="A519" s="122" t="n">
        <v>71477841.9</v>
      </c>
      <c r="B519" s="122" t="n">
        <v>71618269.87</v>
      </c>
      <c r="C519" s="122" t="n">
        <v>130636.8</v>
      </c>
    </row>
    <row r="520" customFormat="false" ht="15" hidden="false" customHeight="false" outlineLevel="0" collapsed="false">
      <c r="A520" s="121" t="n">
        <v>71618269.88</v>
      </c>
      <c r="B520" s="121" t="n">
        <v>71758697.85</v>
      </c>
      <c r="C520" s="121" t="n">
        <v>130889.23</v>
      </c>
    </row>
    <row r="521" customFormat="false" ht="15" hidden="false" customHeight="false" outlineLevel="0" collapsed="false">
      <c r="A521" s="122" t="n">
        <v>71758697.86</v>
      </c>
      <c r="B521" s="122" t="n">
        <v>71899125.83</v>
      </c>
      <c r="C521" s="122" t="n">
        <v>131141.66</v>
      </c>
    </row>
    <row r="522" customFormat="false" ht="15" hidden="false" customHeight="false" outlineLevel="0" collapsed="false">
      <c r="A522" s="121" t="n">
        <v>71899125.84</v>
      </c>
      <c r="B522" s="121" t="n">
        <v>72039553.81</v>
      </c>
      <c r="C522" s="121" t="n">
        <v>131394.09</v>
      </c>
    </row>
    <row r="523" customFormat="false" ht="15" hidden="false" customHeight="false" outlineLevel="0" collapsed="false">
      <c r="A523" s="122" t="n">
        <v>72039553.82</v>
      </c>
      <c r="B523" s="122" t="n">
        <v>72179981.79</v>
      </c>
      <c r="C523" s="122" t="n">
        <v>131646.52</v>
      </c>
    </row>
    <row r="524" customFormat="false" ht="15" hidden="false" customHeight="false" outlineLevel="0" collapsed="false">
      <c r="A524" s="121" t="n">
        <v>72179981.8</v>
      </c>
      <c r="B524" s="121" t="n">
        <v>72320409.77</v>
      </c>
      <c r="C524" s="121" t="n">
        <v>131898.95</v>
      </c>
    </row>
    <row r="525" customFormat="false" ht="15" hidden="false" customHeight="false" outlineLevel="0" collapsed="false">
      <c r="A525" s="122" t="n">
        <v>72320409.78</v>
      </c>
      <c r="B525" s="122" t="n">
        <v>72460837.75</v>
      </c>
      <c r="C525" s="122" t="n">
        <v>132151.38</v>
      </c>
    </row>
    <row r="526" customFormat="false" ht="15" hidden="false" customHeight="false" outlineLevel="0" collapsed="false">
      <c r="A526" s="121" t="n">
        <v>72460837.76</v>
      </c>
      <c r="B526" s="121" t="n">
        <v>72601265.73</v>
      </c>
      <c r="C526" s="121" t="n">
        <v>132403.81</v>
      </c>
    </row>
    <row r="527" customFormat="false" ht="15" hidden="false" customHeight="false" outlineLevel="0" collapsed="false">
      <c r="A527" s="122" t="n">
        <v>72601265.74</v>
      </c>
      <c r="B527" s="122" t="n">
        <v>72741693.71</v>
      </c>
      <c r="C527" s="122" t="n">
        <v>132656.24</v>
      </c>
    </row>
    <row r="528" customFormat="false" ht="15" hidden="false" customHeight="false" outlineLevel="0" collapsed="false">
      <c r="A528" s="121" t="n">
        <v>72741693.72</v>
      </c>
      <c r="B528" s="121" t="n">
        <v>72882121.69</v>
      </c>
      <c r="C528" s="121" t="n">
        <v>132908.67</v>
      </c>
    </row>
    <row r="529" customFormat="false" ht="15" hidden="false" customHeight="false" outlineLevel="0" collapsed="false">
      <c r="A529" s="122" t="n">
        <v>72882121.7</v>
      </c>
      <c r="B529" s="122" t="n">
        <v>73022549.67</v>
      </c>
      <c r="C529" s="122" t="n">
        <v>133161.1</v>
      </c>
    </row>
    <row r="530" customFormat="false" ht="15" hidden="false" customHeight="false" outlineLevel="0" collapsed="false">
      <c r="A530" s="121" t="n">
        <v>73022549.68</v>
      </c>
      <c r="B530" s="121" t="n">
        <v>73162977.65</v>
      </c>
      <c r="C530" s="121" t="n">
        <v>133413.53</v>
      </c>
    </row>
    <row r="531" customFormat="false" ht="15" hidden="false" customHeight="false" outlineLevel="0" collapsed="false">
      <c r="A531" s="122" t="n">
        <v>73162977.66</v>
      </c>
      <c r="B531" s="122" t="n">
        <v>73303405.63</v>
      </c>
      <c r="C531" s="122" t="n">
        <v>133665.96</v>
      </c>
    </row>
    <row r="532" customFormat="false" ht="15" hidden="false" customHeight="false" outlineLevel="0" collapsed="false">
      <c r="A532" s="121" t="n">
        <v>73303405.64</v>
      </c>
      <c r="B532" s="121" t="n">
        <v>73443833.61</v>
      </c>
      <c r="C532" s="121" t="n">
        <v>133918.39</v>
      </c>
    </row>
    <row r="533" customFormat="false" ht="15" hidden="false" customHeight="false" outlineLevel="0" collapsed="false">
      <c r="A533" s="122" t="n">
        <v>73443833.62</v>
      </c>
      <c r="B533" s="122" t="n">
        <v>73584261.59</v>
      </c>
      <c r="C533" s="122" t="n">
        <v>134170.82</v>
      </c>
    </row>
    <row r="534" customFormat="false" ht="15" hidden="false" customHeight="false" outlineLevel="0" collapsed="false">
      <c r="A534" s="121" t="n">
        <v>73584261.6</v>
      </c>
      <c r="B534" s="121" t="n">
        <v>73724689.57</v>
      </c>
      <c r="C534" s="121" t="n">
        <v>134423.25</v>
      </c>
    </row>
    <row r="535" customFormat="false" ht="15" hidden="false" customHeight="false" outlineLevel="0" collapsed="false">
      <c r="A535" s="122" t="n">
        <v>73724689.58</v>
      </c>
      <c r="B535" s="122" t="n">
        <v>73865117.55</v>
      </c>
      <c r="C535" s="122" t="n">
        <v>134675.68</v>
      </c>
    </row>
    <row r="536" customFormat="false" ht="15" hidden="false" customHeight="false" outlineLevel="0" collapsed="false">
      <c r="A536" s="121" t="n">
        <v>73865117.56</v>
      </c>
      <c r="B536" s="121" t="n">
        <v>74005545.53</v>
      </c>
      <c r="C536" s="121" t="n">
        <v>134928.11</v>
      </c>
    </row>
    <row r="537" customFormat="false" ht="15" hidden="false" customHeight="false" outlineLevel="0" collapsed="false">
      <c r="A537" s="122" t="n">
        <v>74005545.54</v>
      </c>
      <c r="B537" s="122" t="n">
        <v>74145973.51</v>
      </c>
      <c r="C537" s="122" t="n">
        <v>135180.54</v>
      </c>
    </row>
    <row r="538" customFormat="false" ht="15" hidden="false" customHeight="false" outlineLevel="0" collapsed="false">
      <c r="A538" s="121" t="n">
        <v>74145973.52</v>
      </c>
      <c r="B538" s="121" t="n">
        <v>74286401.49</v>
      </c>
      <c r="C538" s="121" t="n">
        <v>135432.97</v>
      </c>
    </row>
    <row r="539" customFormat="false" ht="15" hidden="false" customHeight="false" outlineLevel="0" collapsed="false">
      <c r="A539" s="122" t="n">
        <v>74286401.5</v>
      </c>
      <c r="B539" s="122" t="n">
        <v>74426829.47</v>
      </c>
      <c r="C539" s="122" t="n">
        <v>135685.4</v>
      </c>
    </row>
    <row r="540" customFormat="false" ht="15" hidden="false" customHeight="false" outlineLevel="0" collapsed="false">
      <c r="A540" s="121" t="n">
        <v>74426829.48</v>
      </c>
      <c r="B540" s="121" t="n">
        <v>74567257.45</v>
      </c>
      <c r="C540" s="121" t="n">
        <v>135937.83</v>
      </c>
    </row>
    <row r="541" customFormat="false" ht="15" hidden="false" customHeight="false" outlineLevel="0" collapsed="false">
      <c r="A541" s="122" t="n">
        <v>74567257.46</v>
      </c>
      <c r="B541" s="122" t="n">
        <v>74707685.43</v>
      </c>
      <c r="C541" s="122" t="n">
        <v>136190.26</v>
      </c>
    </row>
    <row r="542" customFormat="false" ht="15" hidden="false" customHeight="false" outlineLevel="0" collapsed="false">
      <c r="A542" s="121" t="n">
        <v>74707685.44</v>
      </c>
      <c r="B542" s="121" t="n">
        <v>74848113.41</v>
      </c>
      <c r="C542" s="121" t="n">
        <v>136442.69</v>
      </c>
    </row>
    <row r="543" customFormat="false" ht="15" hidden="false" customHeight="false" outlineLevel="0" collapsed="false">
      <c r="A543" s="122" t="n">
        <v>74848113.42</v>
      </c>
      <c r="B543" s="122" t="n">
        <v>74988541.39</v>
      </c>
      <c r="C543" s="122" t="n">
        <v>136695.12</v>
      </c>
    </row>
    <row r="544" customFormat="false" ht="15" hidden="false" customHeight="false" outlineLevel="0" collapsed="false">
      <c r="A544" s="121" t="n">
        <v>74988541.4</v>
      </c>
      <c r="B544" s="121" t="n">
        <v>75128969.37</v>
      </c>
      <c r="C544" s="121" t="n">
        <v>136947.55</v>
      </c>
    </row>
    <row r="545" customFormat="false" ht="15" hidden="false" customHeight="false" outlineLevel="0" collapsed="false">
      <c r="A545" s="122" t="n">
        <v>75128969.38</v>
      </c>
      <c r="B545" s="122" t="n">
        <v>75269397.35</v>
      </c>
      <c r="C545" s="122" t="n">
        <v>137199.98</v>
      </c>
    </row>
    <row r="546" customFormat="false" ht="15" hidden="false" customHeight="false" outlineLevel="0" collapsed="false">
      <c r="A546" s="121" t="n">
        <v>75269397.36</v>
      </c>
      <c r="B546" s="121" t="n">
        <v>75409825.33</v>
      </c>
      <c r="C546" s="121" t="n">
        <v>137452.41</v>
      </c>
    </row>
    <row r="547" customFormat="false" ht="15" hidden="false" customHeight="false" outlineLevel="0" collapsed="false">
      <c r="A547" s="122" t="n">
        <v>75409825.34</v>
      </c>
      <c r="B547" s="122" t="n">
        <v>75550253.31</v>
      </c>
      <c r="C547" s="122" t="n">
        <v>137704.84</v>
      </c>
    </row>
    <row r="548" customFormat="false" ht="15" hidden="false" customHeight="false" outlineLevel="0" collapsed="false">
      <c r="A548" s="121" t="n">
        <v>75550253.32</v>
      </c>
      <c r="B548" s="121" t="n">
        <v>75690681.29</v>
      </c>
      <c r="C548" s="121" t="n">
        <v>137957.27</v>
      </c>
    </row>
    <row r="549" customFormat="false" ht="15" hidden="false" customHeight="false" outlineLevel="0" collapsed="false">
      <c r="A549" s="122" t="n">
        <v>75690681.3</v>
      </c>
      <c r="B549" s="122" t="n">
        <v>75831109.27</v>
      </c>
      <c r="C549" s="122" t="n">
        <v>138209.7</v>
      </c>
    </row>
    <row r="550" customFormat="false" ht="15" hidden="false" customHeight="false" outlineLevel="0" collapsed="false">
      <c r="A550" s="121" t="n">
        <v>75831109.28</v>
      </c>
      <c r="B550" s="121" t="n">
        <v>75971537.25</v>
      </c>
      <c r="C550" s="121" t="n">
        <v>138462.13</v>
      </c>
    </row>
    <row r="551" customFormat="false" ht="15" hidden="false" customHeight="false" outlineLevel="0" collapsed="false">
      <c r="A551" s="122" t="n">
        <v>75971537.26</v>
      </c>
      <c r="B551" s="122" t="n">
        <v>76111965.23</v>
      </c>
      <c r="C551" s="122" t="n">
        <v>138714.56</v>
      </c>
    </row>
    <row r="552" customFormat="false" ht="15" hidden="false" customHeight="false" outlineLevel="0" collapsed="false">
      <c r="A552" s="121" t="n">
        <v>76111965.24</v>
      </c>
      <c r="B552" s="121" t="n">
        <v>76252393.21</v>
      </c>
      <c r="C552" s="121" t="n">
        <v>138966.99</v>
      </c>
    </row>
    <row r="553" customFormat="false" ht="15" hidden="false" customHeight="false" outlineLevel="0" collapsed="false">
      <c r="A553" s="122" t="n">
        <v>76252393.22</v>
      </c>
      <c r="B553" s="122" t="n">
        <v>76392821.19</v>
      </c>
      <c r="C553" s="122" t="n">
        <v>139219.42</v>
      </c>
    </row>
    <row r="554" customFormat="false" ht="15" hidden="false" customHeight="false" outlineLevel="0" collapsed="false">
      <c r="A554" s="121" t="n">
        <v>76392821.2</v>
      </c>
      <c r="B554" s="121" t="n">
        <v>76533249.17</v>
      </c>
      <c r="C554" s="121" t="n">
        <v>139471.85</v>
      </c>
    </row>
    <row r="555" customFormat="false" ht="15" hidden="false" customHeight="false" outlineLevel="0" collapsed="false">
      <c r="A555" s="122" t="n">
        <v>76533249.18</v>
      </c>
      <c r="B555" s="122" t="n">
        <v>76673677.15</v>
      </c>
      <c r="C555" s="122" t="n">
        <v>139724.28</v>
      </c>
    </row>
    <row r="556" customFormat="false" ht="15" hidden="false" customHeight="false" outlineLevel="0" collapsed="false">
      <c r="A556" s="121" t="n">
        <v>76673677.16</v>
      </c>
      <c r="B556" s="121" t="n">
        <v>76814105.13</v>
      </c>
      <c r="C556" s="121" t="n">
        <v>139976.71</v>
      </c>
    </row>
    <row r="557" customFormat="false" ht="15" hidden="false" customHeight="false" outlineLevel="0" collapsed="false">
      <c r="A557" s="122" t="n">
        <v>76814105.14</v>
      </c>
      <c r="B557" s="122" t="n">
        <v>76954533.11</v>
      </c>
      <c r="C557" s="122" t="n">
        <v>140229.14</v>
      </c>
    </row>
    <row r="558" customFormat="false" ht="15" hidden="false" customHeight="false" outlineLevel="0" collapsed="false">
      <c r="A558" s="121" t="n">
        <v>76954533.12</v>
      </c>
      <c r="B558" s="121" t="n">
        <v>77094961.09</v>
      </c>
      <c r="C558" s="121" t="n">
        <v>140481.57</v>
      </c>
    </row>
    <row r="559" customFormat="false" ht="15" hidden="false" customHeight="false" outlineLevel="0" collapsed="false">
      <c r="A559" s="122" t="n">
        <v>77094961.1</v>
      </c>
      <c r="B559" s="122" t="n">
        <v>77235389.07</v>
      </c>
      <c r="C559" s="122" t="n">
        <v>140734</v>
      </c>
    </row>
    <row r="560" customFormat="false" ht="15" hidden="false" customHeight="false" outlineLevel="0" collapsed="false">
      <c r="A560" s="121" t="n">
        <v>77235389.08</v>
      </c>
      <c r="B560" s="121" t="n">
        <v>77375817.05</v>
      </c>
      <c r="C560" s="121" t="n">
        <v>140986.43</v>
      </c>
    </row>
    <row r="561" customFormat="false" ht="15" hidden="false" customHeight="false" outlineLevel="0" collapsed="false">
      <c r="A561" s="122" t="n">
        <v>77375817.06</v>
      </c>
      <c r="B561" s="122" t="n">
        <v>77516245.03</v>
      </c>
      <c r="C561" s="122" t="n">
        <v>141238.86</v>
      </c>
    </row>
    <row r="562" customFormat="false" ht="15" hidden="false" customHeight="false" outlineLevel="0" collapsed="false">
      <c r="A562" s="121" t="n">
        <v>77516245.04</v>
      </c>
      <c r="B562" s="121" t="n">
        <v>77656673.01</v>
      </c>
      <c r="C562" s="121" t="n">
        <v>141491.29</v>
      </c>
    </row>
    <row r="563" customFormat="false" ht="15" hidden="false" customHeight="false" outlineLevel="0" collapsed="false">
      <c r="A563" s="122" t="n">
        <v>77656673.02</v>
      </c>
      <c r="B563" s="122" t="n">
        <v>77797100.99</v>
      </c>
      <c r="C563" s="122" t="n">
        <v>141743.72</v>
      </c>
    </row>
    <row r="564" customFormat="false" ht="15" hidden="false" customHeight="false" outlineLevel="0" collapsed="false">
      <c r="A564" s="121" t="n">
        <v>77797101</v>
      </c>
      <c r="B564" s="121" t="n">
        <v>77937528.97</v>
      </c>
      <c r="C564" s="121" t="n">
        <v>141996.15</v>
      </c>
    </row>
    <row r="565" customFormat="false" ht="15" hidden="false" customHeight="false" outlineLevel="0" collapsed="false">
      <c r="A565" s="122" t="n">
        <v>77937528.98</v>
      </c>
      <c r="B565" s="122" t="n">
        <v>78077956.95</v>
      </c>
      <c r="C565" s="122" t="n">
        <v>142248.58</v>
      </c>
    </row>
    <row r="566" customFormat="false" ht="15" hidden="false" customHeight="false" outlineLevel="0" collapsed="false">
      <c r="A566" s="121" t="n">
        <v>78077956.96</v>
      </c>
      <c r="B566" s="121" t="n">
        <v>78218384.93</v>
      </c>
      <c r="C566" s="121" t="n">
        <v>142501.01</v>
      </c>
    </row>
    <row r="567" customFormat="false" ht="15" hidden="false" customHeight="false" outlineLevel="0" collapsed="false">
      <c r="A567" s="122" t="n">
        <v>78218384.94</v>
      </c>
      <c r="B567" s="122" t="n">
        <v>78358812.91</v>
      </c>
      <c r="C567" s="122" t="n">
        <v>142753.44</v>
      </c>
    </row>
    <row r="568" customFormat="false" ht="15" hidden="false" customHeight="false" outlineLevel="0" collapsed="false">
      <c r="A568" s="121" t="n">
        <v>78358812.92</v>
      </c>
      <c r="B568" s="121" t="n">
        <v>78499240.89</v>
      </c>
      <c r="C568" s="121" t="n">
        <v>143005.87</v>
      </c>
    </row>
    <row r="569" customFormat="false" ht="15" hidden="false" customHeight="false" outlineLevel="0" collapsed="false">
      <c r="A569" s="122" t="n">
        <v>78499240.9</v>
      </c>
      <c r="B569" s="122" t="n">
        <v>78639668.87</v>
      </c>
      <c r="C569" s="122" t="n">
        <v>143258.3</v>
      </c>
    </row>
    <row r="570" customFormat="false" ht="15" hidden="false" customHeight="false" outlineLevel="0" collapsed="false">
      <c r="A570" s="121" t="n">
        <v>78639668.88</v>
      </c>
      <c r="B570" s="121" t="n">
        <v>78780096.85</v>
      </c>
      <c r="C570" s="121" t="n">
        <v>143510.73</v>
      </c>
    </row>
    <row r="571" customFormat="false" ht="15" hidden="false" customHeight="false" outlineLevel="0" collapsed="false">
      <c r="A571" s="122" t="n">
        <v>78780096.86</v>
      </c>
      <c r="B571" s="122" t="n">
        <v>78920524.83</v>
      </c>
      <c r="C571" s="122" t="n">
        <v>143763.16</v>
      </c>
    </row>
    <row r="572" customFormat="false" ht="15" hidden="false" customHeight="false" outlineLevel="0" collapsed="false">
      <c r="A572" s="121" t="n">
        <v>78920524.84</v>
      </c>
      <c r="B572" s="121" t="n">
        <v>79060952.81</v>
      </c>
      <c r="C572" s="121" t="n">
        <v>144015.59</v>
      </c>
    </row>
    <row r="573" customFormat="false" ht="15" hidden="false" customHeight="false" outlineLevel="0" collapsed="false">
      <c r="A573" s="122" t="n">
        <v>79060952.82</v>
      </c>
      <c r="B573" s="122" t="n">
        <v>79201380.79</v>
      </c>
      <c r="C573" s="122" t="n">
        <v>144268.02</v>
      </c>
    </row>
    <row r="574" customFormat="false" ht="15" hidden="false" customHeight="false" outlineLevel="0" collapsed="false">
      <c r="A574" s="121" t="n">
        <v>79201380.8</v>
      </c>
      <c r="B574" s="121" t="n">
        <v>79341808.77</v>
      </c>
      <c r="C574" s="121" t="n">
        <v>144520.45</v>
      </c>
    </row>
    <row r="575" customFormat="false" ht="15" hidden="false" customHeight="false" outlineLevel="0" collapsed="false">
      <c r="A575" s="122" t="n">
        <v>79341808.78</v>
      </c>
      <c r="B575" s="122" t="n">
        <v>79482236.75</v>
      </c>
      <c r="C575" s="122" t="n">
        <v>144772.88</v>
      </c>
    </row>
    <row r="576" customFormat="false" ht="15" hidden="false" customHeight="false" outlineLevel="0" collapsed="false">
      <c r="A576" s="121" t="n">
        <v>79482236.76</v>
      </c>
      <c r="B576" s="121" t="n">
        <v>79622664.73</v>
      </c>
      <c r="C576" s="121" t="n">
        <v>145025.31</v>
      </c>
    </row>
    <row r="577" customFormat="false" ht="15" hidden="false" customHeight="false" outlineLevel="0" collapsed="false">
      <c r="A577" s="122" t="n">
        <v>79622664.74</v>
      </c>
      <c r="B577" s="122" t="n">
        <v>79763092.71</v>
      </c>
      <c r="C577" s="122" t="n">
        <v>145277.74</v>
      </c>
    </row>
    <row r="578" customFormat="false" ht="15" hidden="false" customHeight="false" outlineLevel="0" collapsed="false">
      <c r="A578" s="121" t="n">
        <v>79763092.72</v>
      </c>
      <c r="B578" s="121" t="n">
        <v>79903520.69</v>
      </c>
      <c r="C578" s="121" t="n">
        <v>145530.17</v>
      </c>
    </row>
    <row r="579" customFormat="false" ht="15" hidden="false" customHeight="false" outlineLevel="0" collapsed="false">
      <c r="A579" s="122" t="n">
        <v>79903520.7</v>
      </c>
      <c r="B579" s="122" t="n">
        <v>80043948.67</v>
      </c>
      <c r="C579" s="122" t="n">
        <v>145782.6</v>
      </c>
    </row>
    <row r="580" customFormat="false" ht="15" hidden="false" customHeight="false" outlineLevel="0" collapsed="false">
      <c r="A580" s="121" t="n">
        <v>80043948.68</v>
      </c>
      <c r="B580" s="121" t="n">
        <v>80184376.65</v>
      </c>
      <c r="C580" s="121" t="n">
        <v>146035.03</v>
      </c>
    </row>
    <row r="581" customFormat="false" ht="15" hidden="false" customHeight="false" outlineLevel="0" collapsed="false">
      <c r="A581" s="122" t="n">
        <v>80184376.66</v>
      </c>
      <c r="B581" s="122" t="n">
        <v>80324804.63</v>
      </c>
      <c r="C581" s="122" t="n">
        <v>146287.46</v>
      </c>
    </row>
    <row r="582" customFormat="false" ht="15" hidden="false" customHeight="false" outlineLevel="0" collapsed="false">
      <c r="A582" s="121" t="n">
        <v>80324804.64</v>
      </c>
      <c r="B582" s="121" t="n">
        <v>80465232.61</v>
      </c>
      <c r="C582" s="121" t="n">
        <v>146539.89</v>
      </c>
    </row>
    <row r="583" customFormat="false" ht="15" hidden="false" customHeight="false" outlineLevel="0" collapsed="false">
      <c r="A583" s="122" t="n">
        <v>80465232.62</v>
      </c>
      <c r="B583" s="122" t="n">
        <v>80605660.59</v>
      </c>
      <c r="C583" s="122" t="n">
        <v>146792.32</v>
      </c>
    </row>
    <row r="584" customFormat="false" ht="15" hidden="false" customHeight="false" outlineLevel="0" collapsed="false">
      <c r="A584" s="121" t="n">
        <v>80605660.6</v>
      </c>
      <c r="B584" s="121" t="n">
        <v>80746088.57</v>
      </c>
      <c r="C584" s="121" t="n">
        <v>147044.75</v>
      </c>
    </row>
    <row r="585" customFormat="false" ht="15" hidden="false" customHeight="false" outlineLevel="0" collapsed="false">
      <c r="A585" s="122" t="n">
        <v>80746088.58</v>
      </c>
      <c r="B585" s="122" t="n">
        <v>80886516.55</v>
      </c>
      <c r="C585" s="122" t="n">
        <v>147297.18</v>
      </c>
    </row>
    <row r="586" customFormat="false" ht="15" hidden="false" customHeight="false" outlineLevel="0" collapsed="false">
      <c r="A586" s="121" t="n">
        <v>80886516.56</v>
      </c>
      <c r="B586" s="121" t="n">
        <v>81026944.53</v>
      </c>
      <c r="C586" s="121" t="n">
        <v>147549.61</v>
      </c>
    </row>
    <row r="587" customFormat="false" ht="15" hidden="false" customHeight="false" outlineLevel="0" collapsed="false">
      <c r="A587" s="122" t="n">
        <v>81026944.54</v>
      </c>
      <c r="B587" s="122" t="n">
        <v>81167372.51</v>
      </c>
      <c r="C587" s="122" t="n">
        <v>147802.04</v>
      </c>
    </row>
    <row r="588" customFormat="false" ht="15" hidden="false" customHeight="false" outlineLevel="0" collapsed="false">
      <c r="A588" s="121" t="n">
        <v>81167372.52</v>
      </c>
      <c r="B588" s="121" t="n">
        <v>81307800.49</v>
      </c>
      <c r="C588" s="121" t="n">
        <v>148054.47</v>
      </c>
    </row>
    <row r="589" customFormat="false" ht="15" hidden="false" customHeight="false" outlineLevel="0" collapsed="false">
      <c r="A589" s="122" t="n">
        <v>81307800.5</v>
      </c>
      <c r="B589" s="122" t="n">
        <v>81448228.47</v>
      </c>
      <c r="C589" s="122" t="n">
        <v>148306.9</v>
      </c>
    </row>
    <row r="590" customFormat="false" ht="15" hidden="false" customHeight="false" outlineLevel="0" collapsed="false">
      <c r="A590" s="121" t="n">
        <v>81448228.48</v>
      </c>
      <c r="B590" s="121" t="n">
        <v>81588656.45</v>
      </c>
      <c r="C590" s="121" t="n">
        <v>148559.33</v>
      </c>
    </row>
    <row r="591" customFormat="false" ht="15" hidden="false" customHeight="false" outlineLevel="0" collapsed="false">
      <c r="A591" s="122" t="n">
        <v>81588656.46</v>
      </c>
      <c r="B591" s="122" t="n">
        <v>81729084.43</v>
      </c>
      <c r="C591" s="122" t="n">
        <v>148811.76</v>
      </c>
    </row>
    <row r="592" customFormat="false" ht="15" hidden="false" customHeight="false" outlineLevel="0" collapsed="false">
      <c r="A592" s="121" t="n">
        <v>81729084.44</v>
      </c>
      <c r="B592" s="121" t="n">
        <v>81869512.41</v>
      </c>
      <c r="C592" s="121" t="n">
        <v>149064.19</v>
      </c>
    </row>
    <row r="593" customFormat="false" ht="15" hidden="false" customHeight="false" outlineLevel="0" collapsed="false">
      <c r="A593" s="122" t="n">
        <v>81869512.42</v>
      </c>
      <c r="B593" s="122" t="n">
        <v>82009940.39</v>
      </c>
      <c r="C593" s="122" t="n">
        <v>149316.62</v>
      </c>
    </row>
    <row r="594" customFormat="false" ht="15" hidden="false" customHeight="false" outlineLevel="0" collapsed="false">
      <c r="A594" s="121" t="n">
        <v>82009940.4</v>
      </c>
      <c r="B594" s="121" t="n">
        <v>82150368.37</v>
      </c>
      <c r="C594" s="121" t="n">
        <v>149569.05</v>
      </c>
    </row>
    <row r="595" customFormat="false" ht="15" hidden="false" customHeight="false" outlineLevel="0" collapsed="false">
      <c r="A595" s="122" t="n">
        <v>82150368.38</v>
      </c>
      <c r="B595" s="122" t="n">
        <v>82290796.35</v>
      </c>
      <c r="C595" s="122" t="n">
        <v>149821.48</v>
      </c>
    </row>
    <row r="596" customFormat="false" ht="15" hidden="false" customHeight="false" outlineLevel="0" collapsed="false">
      <c r="A596" s="121" t="n">
        <v>82290796.36</v>
      </c>
      <c r="B596" s="121" t="n">
        <v>82431224.33</v>
      </c>
      <c r="C596" s="121" t="n">
        <v>150073.91</v>
      </c>
    </row>
    <row r="597" customFormat="false" ht="15" hidden="false" customHeight="false" outlineLevel="0" collapsed="false">
      <c r="A597" s="122" t="n">
        <v>82431224.34</v>
      </c>
      <c r="B597" s="122" t="n">
        <v>82571652.31</v>
      </c>
      <c r="C597" s="122" t="n">
        <v>150326.34</v>
      </c>
    </row>
    <row r="598" customFormat="false" ht="15" hidden="false" customHeight="false" outlineLevel="0" collapsed="false">
      <c r="A598" s="121" t="n">
        <v>82571652.32</v>
      </c>
      <c r="B598" s="121" t="n">
        <v>82712080.29</v>
      </c>
      <c r="C598" s="121" t="n">
        <v>150578.77</v>
      </c>
    </row>
    <row r="599" customFormat="false" ht="15" hidden="false" customHeight="false" outlineLevel="0" collapsed="false">
      <c r="A599" s="122" t="n">
        <v>82712080.3</v>
      </c>
      <c r="B599" s="122" t="n">
        <v>82852508.27</v>
      </c>
      <c r="C599" s="122" t="n">
        <v>150831.2</v>
      </c>
    </row>
    <row r="600" customFormat="false" ht="15" hidden="false" customHeight="false" outlineLevel="0" collapsed="false">
      <c r="A600" s="121" t="n">
        <v>82852508.28</v>
      </c>
      <c r="B600" s="121" t="n">
        <v>82992936.25</v>
      </c>
      <c r="C600" s="121" t="n">
        <v>151083.63</v>
      </c>
    </row>
    <row r="601" customFormat="false" ht="15" hidden="false" customHeight="false" outlineLevel="0" collapsed="false">
      <c r="A601" s="122" t="n">
        <v>82992936.26</v>
      </c>
      <c r="B601" s="122" t="n">
        <v>83133364.23</v>
      </c>
      <c r="C601" s="122" t="n">
        <v>151336.06</v>
      </c>
    </row>
    <row r="602" customFormat="false" ht="15" hidden="false" customHeight="false" outlineLevel="0" collapsed="false">
      <c r="A602" s="121" t="n">
        <v>83133364.24</v>
      </c>
      <c r="B602" s="121" t="n">
        <v>83273792.21</v>
      </c>
      <c r="C602" s="121" t="n">
        <v>151588.49</v>
      </c>
    </row>
    <row r="603" customFormat="false" ht="15" hidden="false" customHeight="false" outlineLevel="0" collapsed="false">
      <c r="A603" s="122" t="n">
        <v>83273792.22</v>
      </c>
      <c r="B603" s="122" t="n">
        <v>83414220.19</v>
      </c>
      <c r="C603" s="122" t="n">
        <v>151840.92</v>
      </c>
    </row>
    <row r="604" customFormat="false" ht="15" hidden="false" customHeight="false" outlineLevel="0" collapsed="false">
      <c r="A604" s="121" t="n">
        <v>83414220.2</v>
      </c>
      <c r="B604" s="121" t="n">
        <v>83554648.17</v>
      </c>
      <c r="C604" s="121" t="n">
        <v>152093.35</v>
      </c>
    </row>
    <row r="605" customFormat="false" ht="15" hidden="false" customHeight="false" outlineLevel="0" collapsed="false">
      <c r="A605" s="122" t="n">
        <v>83554648.18</v>
      </c>
      <c r="B605" s="122" t="n">
        <v>83695076.15</v>
      </c>
      <c r="C605" s="122" t="n">
        <v>152345.78</v>
      </c>
    </row>
    <row r="606" customFormat="false" ht="15" hidden="false" customHeight="false" outlineLevel="0" collapsed="false">
      <c r="A606" s="121" t="n">
        <v>83695076.16</v>
      </c>
      <c r="B606" s="121" t="n">
        <v>83835504.13</v>
      </c>
      <c r="C606" s="121" t="n">
        <v>152598.21</v>
      </c>
    </row>
    <row r="607" customFormat="false" ht="15" hidden="false" customHeight="false" outlineLevel="0" collapsed="false">
      <c r="A607" s="122" t="n">
        <v>83835504.14</v>
      </c>
      <c r="B607" s="122" t="n">
        <v>83975932.11</v>
      </c>
      <c r="C607" s="122" t="n">
        <v>152850.64</v>
      </c>
    </row>
    <row r="608" customFormat="false" ht="15" hidden="false" customHeight="false" outlineLevel="0" collapsed="false">
      <c r="A608" s="121" t="n">
        <v>83975932.12</v>
      </c>
      <c r="B608" s="121" t="n">
        <v>84116360.09</v>
      </c>
      <c r="C608" s="121" t="n">
        <v>153103.07</v>
      </c>
    </row>
    <row r="609" customFormat="false" ht="15" hidden="false" customHeight="false" outlineLevel="0" collapsed="false">
      <c r="A609" s="122" t="n">
        <v>84116360.1</v>
      </c>
      <c r="B609" s="122" t="n">
        <v>84256788.07</v>
      </c>
      <c r="C609" s="122" t="n">
        <v>153355.5</v>
      </c>
    </row>
    <row r="610" customFormat="false" ht="15" hidden="false" customHeight="false" outlineLevel="0" collapsed="false">
      <c r="A610" s="121" t="n">
        <v>84256788.08</v>
      </c>
      <c r="B610" s="121" t="n">
        <v>84397216.05</v>
      </c>
      <c r="C610" s="121" t="n">
        <v>153607.93</v>
      </c>
    </row>
    <row r="611" customFormat="false" ht="15" hidden="false" customHeight="false" outlineLevel="0" collapsed="false">
      <c r="A611" s="122" t="n">
        <v>84397216.06</v>
      </c>
      <c r="B611" s="122" t="n">
        <v>84537644.03</v>
      </c>
      <c r="C611" s="122" t="n">
        <v>153860.36</v>
      </c>
    </row>
    <row r="612" customFormat="false" ht="15" hidden="false" customHeight="false" outlineLevel="0" collapsed="false">
      <c r="A612" s="121" t="n">
        <v>84537644.04</v>
      </c>
      <c r="B612" s="121" t="n">
        <v>84678072.01</v>
      </c>
      <c r="C612" s="121" t="n">
        <v>154112.79</v>
      </c>
    </row>
    <row r="613" customFormat="false" ht="15" hidden="false" customHeight="false" outlineLevel="0" collapsed="false">
      <c r="A613" s="122" t="n">
        <v>84678072.02</v>
      </c>
      <c r="B613" s="122" t="n">
        <v>84818499.99</v>
      </c>
      <c r="C613" s="122" t="n">
        <v>154365.22</v>
      </c>
    </row>
    <row r="614" customFormat="false" ht="15" hidden="false" customHeight="false" outlineLevel="0" collapsed="false">
      <c r="A614" s="121" t="n">
        <v>84818500</v>
      </c>
      <c r="B614" s="121" t="n">
        <v>84958927.97</v>
      </c>
      <c r="C614" s="121" t="n">
        <v>154617.65</v>
      </c>
    </row>
    <row r="615" customFormat="false" ht="15" hidden="false" customHeight="false" outlineLevel="0" collapsed="false">
      <c r="A615" s="122" t="n">
        <v>84958927.98</v>
      </c>
      <c r="B615" s="122" t="n">
        <v>85099355.95</v>
      </c>
      <c r="C615" s="122" t="n">
        <v>154870.08</v>
      </c>
    </row>
    <row r="616" customFormat="false" ht="15" hidden="false" customHeight="false" outlineLevel="0" collapsed="false">
      <c r="A616" s="121" t="n">
        <v>85099355.96</v>
      </c>
      <c r="B616" s="121" t="n">
        <v>85239783.93</v>
      </c>
      <c r="C616" s="121" t="n">
        <v>155122.51</v>
      </c>
    </row>
    <row r="617" customFormat="false" ht="15" hidden="false" customHeight="false" outlineLevel="0" collapsed="false">
      <c r="A617" s="122" t="n">
        <v>85239783.94</v>
      </c>
      <c r="B617" s="122" t="n">
        <v>85380211.91</v>
      </c>
      <c r="C617" s="122" t="n">
        <v>155374.94</v>
      </c>
    </row>
    <row r="618" customFormat="false" ht="15" hidden="false" customHeight="false" outlineLevel="0" collapsed="false">
      <c r="A618" s="121" t="n">
        <v>85380211.92</v>
      </c>
      <c r="B618" s="121" t="n">
        <v>85520639.89</v>
      </c>
      <c r="C618" s="121" t="n">
        <v>155627.37</v>
      </c>
    </row>
    <row r="619" customFormat="false" ht="15" hidden="false" customHeight="false" outlineLevel="0" collapsed="false">
      <c r="A619" s="122" t="n">
        <v>85520639.9</v>
      </c>
      <c r="B619" s="122" t="n">
        <v>85661067.87</v>
      </c>
      <c r="C619" s="122" t="n">
        <v>155879.8</v>
      </c>
    </row>
    <row r="620" customFormat="false" ht="15" hidden="false" customHeight="false" outlineLevel="0" collapsed="false">
      <c r="A620" s="121" t="n">
        <v>85661067.88</v>
      </c>
      <c r="B620" s="121" t="n">
        <v>85801495.85</v>
      </c>
      <c r="C620" s="121" t="n">
        <v>156132.23</v>
      </c>
    </row>
    <row r="621" customFormat="false" ht="15" hidden="false" customHeight="false" outlineLevel="0" collapsed="false">
      <c r="A621" s="122" t="n">
        <v>85801495.86</v>
      </c>
      <c r="B621" s="122" t="n">
        <v>85941923.83</v>
      </c>
      <c r="C621" s="122" t="n">
        <v>156384.66</v>
      </c>
    </row>
    <row r="622" customFormat="false" ht="15" hidden="false" customHeight="false" outlineLevel="0" collapsed="false">
      <c r="A622" s="121" t="n">
        <v>85941923.84</v>
      </c>
      <c r="B622" s="121" t="n">
        <v>86082351.81</v>
      </c>
      <c r="C622" s="121" t="n">
        <v>156637.09</v>
      </c>
    </row>
    <row r="623" customFormat="false" ht="15" hidden="false" customHeight="false" outlineLevel="0" collapsed="false">
      <c r="A623" s="122" t="n">
        <v>86082351.82</v>
      </c>
      <c r="B623" s="122" t="n">
        <v>86222779.79</v>
      </c>
      <c r="C623" s="122" t="n">
        <v>156889.52</v>
      </c>
    </row>
    <row r="624" customFormat="false" ht="15" hidden="false" customHeight="false" outlineLevel="0" collapsed="false">
      <c r="A624" s="121" t="n">
        <v>86222779.8</v>
      </c>
      <c r="B624" s="121" t="n">
        <v>86363207.77</v>
      </c>
      <c r="C624" s="121" t="n">
        <v>157141.95</v>
      </c>
    </row>
    <row r="625" customFormat="false" ht="15" hidden="false" customHeight="false" outlineLevel="0" collapsed="false">
      <c r="A625" s="122" t="n">
        <v>86363207.78</v>
      </c>
      <c r="B625" s="122" t="n">
        <v>86503635.75</v>
      </c>
      <c r="C625" s="122" t="n">
        <v>157394.38</v>
      </c>
    </row>
    <row r="626" customFormat="false" ht="15" hidden="false" customHeight="false" outlineLevel="0" collapsed="false">
      <c r="A626" s="121" t="n">
        <v>86503635.76</v>
      </c>
      <c r="B626" s="121" t="n">
        <v>86644063.73</v>
      </c>
      <c r="C626" s="121" t="n">
        <v>157646.81</v>
      </c>
    </row>
    <row r="627" customFormat="false" ht="15" hidden="false" customHeight="false" outlineLevel="0" collapsed="false">
      <c r="A627" s="122" t="n">
        <v>86644063.74</v>
      </c>
      <c r="B627" s="122" t="n">
        <v>86784491.71</v>
      </c>
      <c r="C627" s="122" t="n">
        <v>157899.24</v>
      </c>
    </row>
    <row r="628" customFormat="false" ht="15" hidden="false" customHeight="false" outlineLevel="0" collapsed="false">
      <c r="A628" s="121" t="n">
        <v>86784491.72</v>
      </c>
      <c r="B628" s="121" t="n">
        <v>86924919.69</v>
      </c>
      <c r="C628" s="121" t="n">
        <v>158151.67</v>
      </c>
    </row>
    <row r="629" customFormat="false" ht="15" hidden="false" customHeight="false" outlineLevel="0" collapsed="false">
      <c r="A629" s="122" t="n">
        <v>86924919.7</v>
      </c>
      <c r="B629" s="122" t="n">
        <v>87065347.67</v>
      </c>
      <c r="C629" s="122" t="n">
        <v>158404.1</v>
      </c>
    </row>
    <row r="630" customFormat="false" ht="15" hidden="false" customHeight="false" outlineLevel="0" collapsed="false">
      <c r="A630" s="121" t="n">
        <v>87065347.68</v>
      </c>
      <c r="B630" s="121" t="n">
        <v>87205775.65</v>
      </c>
      <c r="C630" s="121" t="n">
        <v>158656.53</v>
      </c>
    </row>
    <row r="631" customFormat="false" ht="15" hidden="false" customHeight="false" outlineLevel="0" collapsed="false">
      <c r="A631" s="122" t="n">
        <v>87205775.66</v>
      </c>
      <c r="B631" s="122" t="n">
        <v>87346203.63</v>
      </c>
      <c r="C631" s="122" t="n">
        <v>158908.96</v>
      </c>
    </row>
    <row r="632" customFormat="false" ht="15" hidden="false" customHeight="false" outlineLevel="0" collapsed="false">
      <c r="A632" s="121" t="n">
        <v>87346203.64</v>
      </c>
      <c r="B632" s="121" t="n">
        <v>87486631.61</v>
      </c>
      <c r="C632" s="121" t="n">
        <v>159161.39</v>
      </c>
    </row>
    <row r="633" customFormat="false" ht="15" hidden="false" customHeight="false" outlineLevel="0" collapsed="false">
      <c r="A633" s="122" t="n">
        <v>87486631.62</v>
      </c>
      <c r="B633" s="122" t="n">
        <v>87627059.59</v>
      </c>
      <c r="C633" s="122" t="n">
        <v>159413.82</v>
      </c>
    </row>
    <row r="634" customFormat="false" ht="15" hidden="false" customHeight="false" outlineLevel="0" collapsed="false">
      <c r="A634" s="121" t="n">
        <v>87627059.6</v>
      </c>
      <c r="B634" s="121" t="n">
        <v>87767487.57</v>
      </c>
      <c r="C634" s="121" t="n">
        <v>159666.25</v>
      </c>
    </row>
    <row r="635" customFormat="false" ht="15" hidden="false" customHeight="false" outlineLevel="0" collapsed="false">
      <c r="A635" s="122" t="n">
        <v>87767487.58</v>
      </c>
      <c r="B635" s="122" t="n">
        <v>87907915.55</v>
      </c>
      <c r="C635" s="122" t="n">
        <v>159918.68</v>
      </c>
    </row>
    <row r="636" customFormat="false" ht="15" hidden="false" customHeight="false" outlineLevel="0" collapsed="false">
      <c r="A636" s="121" t="n">
        <v>87907915.56</v>
      </c>
      <c r="B636" s="121" t="n">
        <v>88048343.53</v>
      </c>
      <c r="C636" s="121" t="n">
        <v>160171.11</v>
      </c>
    </row>
    <row r="637" customFormat="false" ht="15" hidden="false" customHeight="false" outlineLevel="0" collapsed="false">
      <c r="A637" s="122" t="n">
        <v>88048343.54</v>
      </c>
      <c r="B637" s="122" t="n">
        <v>88188771.51</v>
      </c>
      <c r="C637" s="122" t="n">
        <v>160423.54</v>
      </c>
    </row>
    <row r="638" customFormat="false" ht="15" hidden="false" customHeight="false" outlineLevel="0" collapsed="false">
      <c r="A638" s="121" t="n">
        <v>88188771.52</v>
      </c>
      <c r="B638" s="121" t="n">
        <v>88329199.49</v>
      </c>
      <c r="C638" s="121" t="n">
        <v>160675.97</v>
      </c>
    </row>
    <row r="639" customFormat="false" ht="15" hidden="false" customHeight="false" outlineLevel="0" collapsed="false">
      <c r="A639" s="122" t="n">
        <v>88329199.5</v>
      </c>
      <c r="B639" s="122" t="n">
        <v>88469627.47</v>
      </c>
      <c r="C639" s="122" t="n">
        <v>160928.4</v>
      </c>
    </row>
    <row r="640" customFormat="false" ht="15" hidden="false" customHeight="false" outlineLevel="0" collapsed="false">
      <c r="A640" s="121" t="n">
        <v>88469627.48</v>
      </c>
      <c r="B640" s="121" t="n">
        <v>88610055.45</v>
      </c>
      <c r="C640" s="121" t="n">
        <v>161180.83</v>
      </c>
    </row>
    <row r="641" customFormat="false" ht="15" hidden="false" customHeight="false" outlineLevel="0" collapsed="false">
      <c r="A641" s="122" t="n">
        <v>88610055.46</v>
      </c>
      <c r="B641" s="122" t="n">
        <v>88750483.43</v>
      </c>
      <c r="C641" s="122" t="n">
        <v>161433.26</v>
      </c>
    </row>
    <row r="642" customFormat="false" ht="15" hidden="false" customHeight="false" outlineLevel="0" collapsed="false">
      <c r="A642" s="121" t="n">
        <v>88750483.44</v>
      </c>
      <c r="B642" s="121" t="n">
        <v>88890911.41</v>
      </c>
      <c r="C642" s="121" t="n">
        <v>161685.69</v>
      </c>
    </row>
    <row r="643" customFormat="false" ht="15" hidden="false" customHeight="false" outlineLevel="0" collapsed="false">
      <c r="A643" s="122" t="n">
        <v>88890911.42</v>
      </c>
      <c r="B643" s="122" t="n">
        <v>89031339.39</v>
      </c>
      <c r="C643" s="122" t="n">
        <v>161938.12</v>
      </c>
    </row>
    <row r="644" customFormat="false" ht="15" hidden="false" customHeight="false" outlineLevel="0" collapsed="false">
      <c r="A644" s="121" t="n">
        <v>89031339.4</v>
      </c>
      <c r="B644" s="121" t="n">
        <v>89171767.37</v>
      </c>
      <c r="C644" s="121" t="n">
        <v>162190.55</v>
      </c>
    </row>
    <row r="645" customFormat="false" ht="15" hidden="false" customHeight="false" outlineLevel="0" collapsed="false">
      <c r="A645" s="122" t="n">
        <v>89171767.38</v>
      </c>
      <c r="B645" s="122" t="n">
        <v>89312195.35</v>
      </c>
      <c r="C645" s="122" t="n">
        <v>162442.98</v>
      </c>
    </row>
    <row r="646" customFormat="false" ht="15" hidden="false" customHeight="false" outlineLevel="0" collapsed="false">
      <c r="A646" s="121" t="n">
        <v>89312195.36</v>
      </c>
      <c r="B646" s="121" t="n">
        <v>89452623.33</v>
      </c>
      <c r="C646" s="121" t="n">
        <v>162695.41</v>
      </c>
    </row>
    <row r="647" customFormat="false" ht="15" hidden="false" customHeight="false" outlineLevel="0" collapsed="false">
      <c r="A647" s="122" t="n">
        <v>89452623.34</v>
      </c>
      <c r="B647" s="122" t="n">
        <v>89593051.31</v>
      </c>
      <c r="C647" s="122" t="n">
        <v>162947.84</v>
      </c>
    </row>
    <row r="648" customFormat="false" ht="15" hidden="false" customHeight="false" outlineLevel="0" collapsed="false">
      <c r="A648" s="121" t="n">
        <v>89593051.32</v>
      </c>
      <c r="B648" s="121" t="n">
        <v>89733479.29</v>
      </c>
      <c r="C648" s="121" t="n">
        <v>163200.27</v>
      </c>
    </row>
    <row r="649" customFormat="false" ht="15" hidden="false" customHeight="false" outlineLevel="0" collapsed="false">
      <c r="A649" s="122" t="n">
        <v>89733479.3</v>
      </c>
      <c r="B649" s="122" t="n">
        <v>89873907.27</v>
      </c>
      <c r="C649" s="122" t="n">
        <v>163452.7</v>
      </c>
    </row>
    <row r="650" customFormat="false" ht="15" hidden="false" customHeight="false" outlineLevel="0" collapsed="false">
      <c r="A650" s="121" t="n">
        <v>89873907.28</v>
      </c>
      <c r="B650" s="121" t="n">
        <v>90014335.25</v>
      </c>
      <c r="C650" s="121" t="n">
        <v>163705.13</v>
      </c>
    </row>
    <row r="651" customFormat="false" ht="15" hidden="false" customHeight="false" outlineLevel="0" collapsed="false">
      <c r="A651" s="122" t="n">
        <v>90014335.26</v>
      </c>
      <c r="B651" s="122" t="n">
        <v>90154763.23</v>
      </c>
      <c r="C651" s="122" t="n">
        <v>163957.56</v>
      </c>
    </row>
    <row r="652" customFormat="false" ht="15" hidden="false" customHeight="false" outlineLevel="0" collapsed="false">
      <c r="A652" s="121" t="n">
        <v>90154763.24</v>
      </c>
      <c r="B652" s="121" t="n">
        <v>90295191.21</v>
      </c>
      <c r="C652" s="121" t="n">
        <v>164209.99</v>
      </c>
    </row>
    <row r="653" customFormat="false" ht="15" hidden="false" customHeight="false" outlineLevel="0" collapsed="false">
      <c r="A653" s="122" t="n">
        <v>90295191.22</v>
      </c>
      <c r="B653" s="122" t="n">
        <v>90435619.19</v>
      </c>
      <c r="C653" s="122" t="n">
        <v>164462.42</v>
      </c>
    </row>
    <row r="654" customFormat="false" ht="15" hidden="false" customHeight="false" outlineLevel="0" collapsed="false">
      <c r="A654" s="121" t="n">
        <v>90435619.2</v>
      </c>
      <c r="B654" s="121" t="n">
        <v>90576047.17</v>
      </c>
      <c r="C654" s="121" t="n">
        <v>164714.85</v>
      </c>
    </row>
    <row r="655" customFormat="false" ht="15" hidden="false" customHeight="false" outlineLevel="0" collapsed="false">
      <c r="A655" s="122" t="n">
        <v>90576047.18</v>
      </c>
      <c r="B655" s="122" t="n">
        <v>90716475.15</v>
      </c>
      <c r="C655" s="122" t="n">
        <v>164967.28</v>
      </c>
    </row>
    <row r="656" customFormat="false" ht="15" hidden="false" customHeight="false" outlineLevel="0" collapsed="false">
      <c r="A656" s="121" t="n">
        <v>90716475.16</v>
      </c>
      <c r="B656" s="121" t="n">
        <v>90856903.13</v>
      </c>
      <c r="C656" s="121" t="n">
        <v>165472.14</v>
      </c>
    </row>
    <row r="657" customFormat="false" ht="15" hidden="false" customHeight="false" outlineLevel="0" collapsed="false">
      <c r="A657" s="122" t="n">
        <v>90856903.14</v>
      </c>
      <c r="B657" s="122" t="n">
        <v>90997331.11</v>
      </c>
      <c r="C657" s="122" t="n">
        <v>165724.57</v>
      </c>
    </row>
    <row r="658" customFormat="false" ht="15" hidden="false" customHeight="false" outlineLevel="0" collapsed="false">
      <c r="A658" s="121" t="n">
        <v>90997331.12</v>
      </c>
      <c r="B658" s="121" t="n">
        <v>91137759.09</v>
      </c>
      <c r="C658" s="121" t="n">
        <v>165977</v>
      </c>
    </row>
    <row r="659" customFormat="false" ht="15" hidden="false" customHeight="false" outlineLevel="0" collapsed="false">
      <c r="A659" s="122" t="n">
        <v>91137759.1</v>
      </c>
      <c r="B659" s="122" t="n">
        <v>91278187.07</v>
      </c>
      <c r="C659" s="122" t="n">
        <v>166229.43</v>
      </c>
    </row>
    <row r="660" customFormat="false" ht="15" hidden="false" customHeight="false" outlineLevel="0" collapsed="false">
      <c r="A660" s="121" t="n">
        <v>91278187.08</v>
      </c>
      <c r="B660" s="121" t="n">
        <v>91418615.05</v>
      </c>
      <c r="C660" s="121" t="n">
        <v>166481.86</v>
      </c>
    </row>
    <row r="661" customFormat="false" ht="15" hidden="false" customHeight="false" outlineLevel="0" collapsed="false">
      <c r="A661" s="122" t="n">
        <v>91418615.06</v>
      </c>
      <c r="B661" s="122" t="n">
        <v>91559043.03</v>
      </c>
      <c r="C661" s="122" t="n">
        <v>166734.29</v>
      </c>
    </row>
    <row r="662" customFormat="false" ht="15" hidden="false" customHeight="false" outlineLevel="0" collapsed="false">
      <c r="A662" s="121" t="n">
        <v>91559043.04</v>
      </c>
      <c r="B662" s="121" t="n">
        <v>91699471.01</v>
      </c>
      <c r="C662" s="121" t="n">
        <v>166986.72</v>
      </c>
    </row>
    <row r="663" customFormat="false" ht="15" hidden="false" customHeight="false" outlineLevel="0" collapsed="false">
      <c r="A663" s="122" t="n">
        <v>91699471.02</v>
      </c>
      <c r="B663" s="122" t="n">
        <v>91839898.99</v>
      </c>
      <c r="C663" s="122" t="n">
        <v>167239.15</v>
      </c>
    </row>
    <row r="664" customFormat="false" ht="15" hidden="false" customHeight="false" outlineLevel="0" collapsed="false">
      <c r="A664" s="121" t="n">
        <v>91839899</v>
      </c>
      <c r="B664" s="121" t="n">
        <v>91980326.97</v>
      </c>
      <c r="C664" s="121" t="n">
        <v>167491.58</v>
      </c>
    </row>
    <row r="665" customFormat="false" ht="15" hidden="false" customHeight="false" outlineLevel="0" collapsed="false">
      <c r="A665" s="122" t="n">
        <v>91980326.98</v>
      </c>
      <c r="B665" s="122" t="n">
        <v>92120754.95</v>
      </c>
      <c r="C665" s="122" t="n">
        <v>167744.01</v>
      </c>
    </row>
    <row r="666" customFormat="false" ht="15" hidden="false" customHeight="false" outlineLevel="0" collapsed="false">
      <c r="A666" s="121" t="n">
        <v>92120754.96</v>
      </c>
      <c r="B666" s="121" t="n">
        <v>92261182.93</v>
      </c>
      <c r="C666" s="121" t="n">
        <v>167996.44</v>
      </c>
    </row>
    <row r="667" customFormat="false" ht="15" hidden="false" customHeight="false" outlineLevel="0" collapsed="false">
      <c r="A667" s="122" t="n">
        <v>92261182.94</v>
      </c>
      <c r="B667" s="122" t="n">
        <v>92401610.91</v>
      </c>
      <c r="C667" s="122" t="n">
        <v>168248.87</v>
      </c>
    </row>
    <row r="668" customFormat="false" ht="15" hidden="false" customHeight="false" outlineLevel="0" collapsed="false">
      <c r="A668" s="121" t="n">
        <v>92401610.92</v>
      </c>
      <c r="B668" s="121" t="n">
        <v>92542038.89</v>
      </c>
      <c r="C668" s="121" t="n">
        <v>168501.3</v>
      </c>
    </row>
    <row r="669" customFormat="false" ht="15" hidden="false" customHeight="false" outlineLevel="0" collapsed="false">
      <c r="A669" s="122" t="n">
        <v>92542038.9</v>
      </c>
      <c r="B669" s="122" t="n">
        <v>92682466.87</v>
      </c>
      <c r="C669" s="122" t="n">
        <v>168753.73</v>
      </c>
    </row>
    <row r="670" customFormat="false" ht="15" hidden="false" customHeight="false" outlineLevel="0" collapsed="false">
      <c r="A670" s="121" t="n">
        <v>92682466.88</v>
      </c>
      <c r="B670" s="121" t="n">
        <v>92822894.85</v>
      </c>
      <c r="C670" s="121" t="n">
        <v>169006.16</v>
      </c>
    </row>
    <row r="671" customFormat="false" ht="15" hidden="false" customHeight="false" outlineLevel="0" collapsed="false">
      <c r="A671" s="122" t="n">
        <v>92822894.86</v>
      </c>
      <c r="B671" s="122" t="n">
        <v>92963322.83</v>
      </c>
      <c r="C671" s="122" t="n">
        <v>169258.59</v>
      </c>
    </row>
    <row r="672" customFormat="false" ht="15" hidden="false" customHeight="false" outlineLevel="0" collapsed="false">
      <c r="A672" s="121" t="n">
        <v>92963322.84</v>
      </c>
      <c r="B672" s="121" t="n">
        <v>93103750.81</v>
      </c>
      <c r="C672" s="121" t="n">
        <v>169511.02</v>
      </c>
    </row>
    <row r="673" customFormat="false" ht="15" hidden="false" customHeight="false" outlineLevel="0" collapsed="false">
      <c r="A673" s="122" t="n">
        <v>93103750.82</v>
      </c>
      <c r="B673" s="122" t="n">
        <v>93244178.79</v>
      </c>
      <c r="C673" s="122" t="n">
        <v>169763.45</v>
      </c>
    </row>
    <row r="674" customFormat="false" ht="15" hidden="false" customHeight="false" outlineLevel="0" collapsed="false">
      <c r="A674" s="121" t="n">
        <v>93244178.8</v>
      </c>
      <c r="B674" s="121" t="n">
        <v>93384606.77</v>
      </c>
      <c r="C674" s="121" t="n">
        <v>170015.88</v>
      </c>
    </row>
    <row r="675" customFormat="false" ht="15" hidden="false" customHeight="false" outlineLevel="0" collapsed="false">
      <c r="A675" s="122" t="n">
        <v>93384606.78</v>
      </c>
      <c r="B675" s="122" t="n">
        <v>93525034.75</v>
      </c>
      <c r="C675" s="122" t="n">
        <v>170268.31</v>
      </c>
    </row>
    <row r="676" customFormat="false" ht="15" hidden="false" customHeight="false" outlineLevel="0" collapsed="false">
      <c r="A676" s="121" t="n">
        <v>93525034.76</v>
      </c>
      <c r="B676" s="121" t="n">
        <v>93665462.73</v>
      </c>
      <c r="C676" s="121" t="n">
        <v>170520.74</v>
      </c>
    </row>
    <row r="677" customFormat="false" ht="15" hidden="false" customHeight="false" outlineLevel="0" collapsed="false">
      <c r="A677" s="122" t="n">
        <v>93665462.74</v>
      </c>
      <c r="B677" s="122" t="n">
        <v>93805890.71</v>
      </c>
      <c r="C677" s="122" t="n">
        <v>170773.17</v>
      </c>
    </row>
    <row r="678" customFormat="false" ht="15" hidden="false" customHeight="false" outlineLevel="0" collapsed="false">
      <c r="A678" s="121" t="n">
        <v>93805890.72</v>
      </c>
      <c r="B678" s="121" t="n">
        <v>93946318.69</v>
      </c>
      <c r="C678" s="121" t="n">
        <v>171025.6</v>
      </c>
    </row>
    <row r="679" customFormat="false" ht="15" hidden="false" customHeight="false" outlineLevel="0" collapsed="false">
      <c r="A679" s="122" t="n">
        <v>93946318.7</v>
      </c>
      <c r="B679" s="122" t="n">
        <v>94086746.67</v>
      </c>
      <c r="C679" s="122" t="n">
        <v>171278.03</v>
      </c>
    </row>
    <row r="680" customFormat="false" ht="15" hidden="false" customHeight="false" outlineLevel="0" collapsed="false">
      <c r="A680" s="121" t="n">
        <v>94086746.68</v>
      </c>
      <c r="B680" s="121" t="n">
        <v>94227174.65</v>
      </c>
      <c r="C680" s="121" t="n">
        <v>171530.46</v>
      </c>
    </row>
    <row r="681" customFormat="false" ht="15" hidden="false" customHeight="false" outlineLevel="0" collapsed="false">
      <c r="A681" s="122" t="n">
        <v>94227174.66</v>
      </c>
      <c r="B681" s="122" t="n">
        <v>94367602.63</v>
      </c>
      <c r="C681" s="122" t="n">
        <v>171782.89</v>
      </c>
    </row>
    <row r="682" customFormat="false" ht="15" hidden="false" customHeight="false" outlineLevel="0" collapsed="false">
      <c r="A682" s="121" t="n">
        <v>94367602.64</v>
      </c>
      <c r="B682" s="121" t="n">
        <v>94508030.61</v>
      </c>
      <c r="C682" s="121" t="n">
        <v>172035.32</v>
      </c>
    </row>
    <row r="683" customFormat="false" ht="15" hidden="false" customHeight="false" outlineLevel="0" collapsed="false">
      <c r="A683" s="122" t="n">
        <v>94508030.62</v>
      </c>
      <c r="B683" s="122" t="n">
        <v>94648458.59</v>
      </c>
      <c r="C683" s="122" t="n">
        <v>172287.75</v>
      </c>
    </row>
    <row r="684" customFormat="false" ht="15" hidden="false" customHeight="false" outlineLevel="0" collapsed="false">
      <c r="A684" s="121" t="n">
        <v>94648458.6</v>
      </c>
      <c r="B684" s="121" t="n">
        <v>94788886.57</v>
      </c>
      <c r="C684" s="121" t="n">
        <v>172540.18</v>
      </c>
    </row>
    <row r="685" customFormat="false" ht="15" hidden="false" customHeight="false" outlineLevel="0" collapsed="false">
      <c r="A685" s="122" t="n">
        <v>94788886.58</v>
      </c>
      <c r="B685" s="122" t="n">
        <v>94929314.55</v>
      </c>
      <c r="C685" s="122" t="n">
        <v>172792.61</v>
      </c>
    </row>
    <row r="686" customFormat="false" ht="15" hidden="false" customHeight="false" outlineLevel="0" collapsed="false">
      <c r="A686" s="121" t="n">
        <v>94929314.56</v>
      </c>
      <c r="B686" s="121" t="n">
        <v>95069742.53</v>
      </c>
      <c r="C686" s="121" t="n">
        <v>173045.04</v>
      </c>
    </row>
    <row r="687" customFormat="false" ht="15" hidden="false" customHeight="false" outlineLevel="0" collapsed="false">
      <c r="A687" s="122" t="n">
        <v>95069742.54</v>
      </c>
      <c r="B687" s="122" t="n">
        <v>95210170.51</v>
      </c>
      <c r="C687" s="122" t="n">
        <v>173297.47</v>
      </c>
    </row>
    <row r="688" customFormat="false" ht="15" hidden="false" customHeight="false" outlineLevel="0" collapsed="false">
      <c r="A688" s="121" t="n">
        <v>95210170.52</v>
      </c>
      <c r="B688" s="121" t="n">
        <v>95350598.49</v>
      </c>
      <c r="C688" s="121" t="n">
        <v>173549.9</v>
      </c>
    </row>
    <row r="689" customFormat="false" ht="15" hidden="false" customHeight="false" outlineLevel="0" collapsed="false">
      <c r="A689" s="122" t="n">
        <v>95350598.5</v>
      </c>
      <c r="B689" s="122" t="n">
        <v>95491026.47</v>
      </c>
      <c r="C689" s="122" t="n">
        <v>173802.33</v>
      </c>
    </row>
    <row r="690" customFormat="false" ht="15" hidden="false" customHeight="false" outlineLevel="0" collapsed="false">
      <c r="A690" s="121" t="n">
        <v>95491026.48</v>
      </c>
      <c r="B690" s="121" t="n">
        <v>95631454.45</v>
      </c>
      <c r="C690" s="121" t="n">
        <v>174054.76</v>
      </c>
    </row>
    <row r="691" customFormat="false" ht="15" hidden="false" customHeight="false" outlineLevel="0" collapsed="false">
      <c r="A691" s="122" t="n">
        <v>95631454.46</v>
      </c>
      <c r="B691" s="122" t="n">
        <v>95771882.43</v>
      </c>
      <c r="C691" s="122" t="n">
        <v>174307.19</v>
      </c>
    </row>
    <row r="692" customFormat="false" ht="15" hidden="false" customHeight="false" outlineLevel="0" collapsed="false">
      <c r="A692" s="121" t="n">
        <v>95771882.44</v>
      </c>
      <c r="B692" s="121" t="n">
        <v>95912310.41</v>
      </c>
      <c r="C692" s="121" t="n">
        <v>174559.62</v>
      </c>
    </row>
    <row r="693" customFormat="false" ht="15" hidden="false" customHeight="false" outlineLevel="0" collapsed="false">
      <c r="A693" s="122" t="n">
        <v>95912310.42</v>
      </c>
      <c r="B693" s="122" t="n">
        <v>96052738.39</v>
      </c>
      <c r="C693" s="122" t="n">
        <v>174812.05</v>
      </c>
    </row>
    <row r="694" customFormat="false" ht="15" hidden="false" customHeight="false" outlineLevel="0" collapsed="false">
      <c r="A694" s="121" t="n">
        <v>96052738.4</v>
      </c>
      <c r="B694" s="121" t="n">
        <v>96193166.37</v>
      </c>
      <c r="C694" s="121" t="n">
        <v>175064.48</v>
      </c>
    </row>
    <row r="695" customFormat="false" ht="15" hidden="false" customHeight="false" outlineLevel="0" collapsed="false">
      <c r="A695" s="122" t="n">
        <v>96193166.38</v>
      </c>
      <c r="B695" s="122" t="n">
        <v>96333594.35</v>
      </c>
      <c r="C695" s="122" t="n">
        <v>175316.91</v>
      </c>
    </row>
    <row r="696" customFormat="false" ht="15" hidden="false" customHeight="false" outlineLevel="0" collapsed="false">
      <c r="A696" s="121" t="n">
        <v>96333594.36</v>
      </c>
      <c r="B696" s="121" t="n">
        <v>96474022.33</v>
      </c>
      <c r="C696" s="121" t="n">
        <v>175569.34</v>
      </c>
    </row>
    <row r="697" customFormat="false" ht="15" hidden="false" customHeight="false" outlineLevel="0" collapsed="false">
      <c r="A697" s="122" t="n">
        <v>96474022.34</v>
      </c>
      <c r="B697" s="122" t="n">
        <v>96614450.31</v>
      </c>
      <c r="C697" s="122" t="n">
        <v>175821.77</v>
      </c>
    </row>
    <row r="698" customFormat="false" ht="15" hidden="false" customHeight="false" outlineLevel="0" collapsed="false">
      <c r="A698" s="121" t="n">
        <v>96614450.32</v>
      </c>
      <c r="B698" s="121" t="n">
        <v>96754878.29</v>
      </c>
      <c r="C698" s="121" t="n">
        <v>176074.2</v>
      </c>
    </row>
    <row r="699" customFormat="false" ht="15" hidden="false" customHeight="false" outlineLevel="0" collapsed="false">
      <c r="A699" s="122" t="n">
        <v>96754878.3</v>
      </c>
      <c r="B699" s="122" t="n">
        <v>96895306.27</v>
      </c>
      <c r="C699" s="122" t="n">
        <v>176326.63</v>
      </c>
    </row>
    <row r="700" customFormat="false" ht="15" hidden="false" customHeight="false" outlineLevel="0" collapsed="false">
      <c r="A700" s="121" t="n">
        <v>96895306.28</v>
      </c>
      <c r="B700" s="121" t="n">
        <v>97035734.25</v>
      </c>
      <c r="C700" s="121" t="n">
        <v>176579.06</v>
      </c>
    </row>
    <row r="701" customFormat="false" ht="15" hidden="false" customHeight="false" outlineLevel="0" collapsed="false">
      <c r="A701" s="122" t="n">
        <v>97035734.26</v>
      </c>
      <c r="B701" s="122" t="n">
        <v>97176162.23</v>
      </c>
      <c r="C701" s="122" t="n">
        <v>176831.49</v>
      </c>
    </row>
    <row r="702" customFormat="false" ht="15" hidden="false" customHeight="false" outlineLevel="0" collapsed="false">
      <c r="A702" s="121" t="n">
        <v>97176162.24</v>
      </c>
      <c r="B702" s="121" t="n">
        <v>97316590.21</v>
      </c>
      <c r="C702" s="121" t="n">
        <v>177083.92</v>
      </c>
    </row>
    <row r="703" customFormat="false" ht="15" hidden="false" customHeight="false" outlineLevel="0" collapsed="false">
      <c r="A703" s="122" t="n">
        <v>97316590.22</v>
      </c>
      <c r="B703" s="122" t="n">
        <v>97457018.19</v>
      </c>
      <c r="C703" s="122" t="n">
        <v>177336.35</v>
      </c>
    </row>
    <row r="704" customFormat="false" ht="15" hidden="false" customHeight="false" outlineLevel="0" collapsed="false">
      <c r="A704" s="121" t="n">
        <v>97457018.2</v>
      </c>
      <c r="B704" s="121" t="n">
        <v>97597446.17</v>
      </c>
      <c r="C704" s="121" t="n">
        <v>177588.78</v>
      </c>
    </row>
    <row r="705" customFormat="false" ht="15" hidden="false" customHeight="false" outlineLevel="0" collapsed="false">
      <c r="A705" s="122" t="n">
        <v>97597446.18</v>
      </c>
      <c r="B705" s="122" t="n">
        <v>97737874.15</v>
      </c>
      <c r="C705" s="122" t="n">
        <v>177841.21</v>
      </c>
    </row>
    <row r="706" customFormat="false" ht="15" hidden="false" customHeight="false" outlineLevel="0" collapsed="false">
      <c r="A706" s="121" t="n">
        <v>97737874.16</v>
      </c>
      <c r="B706" s="121" t="n">
        <v>97878302.13</v>
      </c>
      <c r="C706" s="121" t="n">
        <v>178093.64</v>
      </c>
    </row>
    <row r="707" customFormat="false" ht="15" hidden="false" customHeight="false" outlineLevel="0" collapsed="false">
      <c r="A707" s="122" t="n">
        <v>97878302.14</v>
      </c>
      <c r="B707" s="122" t="n">
        <v>98018730.11</v>
      </c>
      <c r="C707" s="122" t="n">
        <v>178346.07</v>
      </c>
    </row>
    <row r="708" customFormat="false" ht="15" hidden="false" customHeight="false" outlineLevel="0" collapsed="false">
      <c r="A708" s="121" t="n">
        <v>98018730.12</v>
      </c>
      <c r="B708" s="121" t="n">
        <v>98159158.09</v>
      </c>
      <c r="C708" s="121" t="n">
        <v>178598.5</v>
      </c>
    </row>
    <row r="709" customFormat="false" ht="15" hidden="false" customHeight="false" outlineLevel="0" collapsed="false">
      <c r="A709" s="122" t="n">
        <v>98159158.1</v>
      </c>
      <c r="B709" s="122" t="n">
        <v>98299586.07</v>
      </c>
      <c r="C709" s="122" t="n">
        <v>178850.93</v>
      </c>
    </row>
    <row r="710" customFormat="false" ht="15" hidden="false" customHeight="false" outlineLevel="0" collapsed="false">
      <c r="A710" s="121" t="n">
        <v>98299586.08</v>
      </c>
      <c r="B710" s="121" t="n">
        <v>98440014.05</v>
      </c>
      <c r="C710" s="121" t="n">
        <v>179103.36</v>
      </c>
    </row>
    <row r="711" customFormat="false" ht="15" hidden="false" customHeight="false" outlineLevel="0" collapsed="false">
      <c r="A711" s="122" t="n">
        <v>98440014.06</v>
      </c>
      <c r="B711" s="122" t="n">
        <v>98580442.03</v>
      </c>
      <c r="C711" s="122" t="n">
        <v>179355.79</v>
      </c>
    </row>
    <row r="712" customFormat="false" ht="15" hidden="false" customHeight="false" outlineLevel="0" collapsed="false">
      <c r="A712" s="121" t="n">
        <v>98580442.04</v>
      </c>
      <c r="B712" s="121" t="n">
        <v>98720870.01</v>
      </c>
      <c r="C712" s="121" t="n">
        <v>179608.22</v>
      </c>
    </row>
    <row r="713" customFormat="false" ht="15" hidden="false" customHeight="false" outlineLevel="0" collapsed="false">
      <c r="A713" s="122" t="n">
        <v>98720870.02</v>
      </c>
      <c r="B713" s="122" t="n">
        <v>98861297.99</v>
      </c>
      <c r="C713" s="122" t="n">
        <v>179860.65</v>
      </c>
    </row>
    <row r="714" customFormat="false" ht="15" hidden="false" customHeight="false" outlineLevel="0" collapsed="false">
      <c r="A714" s="121" t="n">
        <v>98861298</v>
      </c>
      <c r="B714" s="121" t="n">
        <v>99001725.97</v>
      </c>
      <c r="C714" s="121" t="n">
        <v>180113.08</v>
      </c>
    </row>
    <row r="715" customFormat="false" ht="15" hidden="false" customHeight="false" outlineLevel="0" collapsed="false">
      <c r="A715" s="122" t="n">
        <v>99001725.98</v>
      </c>
      <c r="B715" s="122" t="n">
        <v>99142153.95</v>
      </c>
      <c r="C715" s="122" t="n">
        <v>180365.51</v>
      </c>
    </row>
    <row r="716" customFormat="false" ht="15" hidden="false" customHeight="false" outlineLevel="0" collapsed="false">
      <c r="A716" s="121" t="n">
        <v>99142153.96</v>
      </c>
      <c r="B716" s="121" t="n">
        <v>99282581.93</v>
      </c>
      <c r="C716" s="121" t="n">
        <v>180617.94</v>
      </c>
    </row>
    <row r="717" customFormat="false" ht="15" hidden="false" customHeight="false" outlineLevel="0" collapsed="false">
      <c r="A717" s="122" t="n">
        <v>99282581.94</v>
      </c>
      <c r="B717" s="122" t="n">
        <v>99423009.91</v>
      </c>
      <c r="C717" s="122" t="n">
        <v>180870.37</v>
      </c>
    </row>
    <row r="718" customFormat="false" ht="15" hidden="false" customHeight="false" outlineLevel="0" collapsed="false">
      <c r="A718" s="121" t="n">
        <v>99423009.92</v>
      </c>
      <c r="B718" s="121" t="n">
        <v>99563437.89</v>
      </c>
      <c r="C718" s="121" t="n">
        <v>181122.8</v>
      </c>
    </row>
    <row r="719" customFormat="false" ht="15" hidden="false" customHeight="false" outlineLevel="0" collapsed="false">
      <c r="A719" s="122" t="n">
        <v>99563437.9</v>
      </c>
      <c r="B719" s="122" t="n">
        <v>99703865.87</v>
      </c>
      <c r="C719" s="122" t="n">
        <v>181375.23</v>
      </c>
    </row>
    <row r="720" customFormat="false" ht="15" hidden="false" customHeight="false" outlineLevel="0" collapsed="false">
      <c r="A720" s="121" t="n">
        <v>99703865.88</v>
      </c>
      <c r="B720" s="121" t="n">
        <v>99844293.85</v>
      </c>
      <c r="C720" s="121" t="n">
        <v>181627.66</v>
      </c>
    </row>
    <row r="721" customFormat="false" ht="15" hidden="false" customHeight="false" outlineLevel="0" collapsed="false">
      <c r="A721" s="122" t="n">
        <v>99844293.86</v>
      </c>
      <c r="B721" s="122" t="n">
        <v>99984721.83</v>
      </c>
      <c r="C721" s="122" t="n">
        <v>181880.09</v>
      </c>
    </row>
    <row r="722" customFormat="false" ht="15" hidden="false" customHeight="false" outlineLevel="0" collapsed="false">
      <c r="A722" s="121" t="n">
        <v>99984721.84</v>
      </c>
      <c r="B722" s="121" t="n">
        <v>999999999</v>
      </c>
      <c r="C722" s="121" t="n">
        <v>182132.52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141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184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10000</v>
      </c>
      <c r="C5" s="115" t="n">
        <v>339.69</v>
      </c>
    </row>
    <row r="6" customFormat="false" ht="15" hidden="false" customHeight="true" outlineLevel="0" collapsed="false">
      <c r="A6" s="114" t="n">
        <v>10000.01</v>
      </c>
      <c r="B6" s="114" t="n">
        <v>20000</v>
      </c>
      <c r="C6" s="114" t="n">
        <v>450.28</v>
      </c>
    </row>
    <row r="7" customFormat="false" ht="15" hidden="false" customHeight="true" outlineLevel="0" collapsed="false">
      <c r="A7" s="115" t="n">
        <v>20000.01</v>
      </c>
      <c r="B7" s="115" t="n">
        <v>30000</v>
      </c>
      <c r="C7" s="115" t="n">
        <v>679.24</v>
      </c>
    </row>
    <row r="8" customFormat="false" ht="15" hidden="false" customHeight="true" outlineLevel="0" collapsed="false">
      <c r="A8" s="114" t="n">
        <v>30000.01</v>
      </c>
      <c r="B8" s="114" t="n">
        <v>50000</v>
      </c>
      <c r="C8" s="114" t="n">
        <v>1350.74</v>
      </c>
    </row>
    <row r="9" customFormat="false" ht="15" hidden="false" customHeight="true" outlineLevel="0" collapsed="false">
      <c r="A9" s="115" t="n">
        <v>50000.01</v>
      </c>
      <c r="B9" s="115" t="n">
        <v>80000</v>
      </c>
      <c r="C9" s="115" t="n">
        <v>2245.36</v>
      </c>
    </row>
    <row r="10" customFormat="false" ht="15" hidden="false" customHeight="true" outlineLevel="0" collapsed="false">
      <c r="A10" s="114" t="n">
        <v>80000.01</v>
      </c>
      <c r="B10" s="114" t="n">
        <v>100000</v>
      </c>
      <c r="C10" s="114" t="n">
        <v>2843.74</v>
      </c>
    </row>
    <row r="11" customFormat="false" ht="15" hidden="false" customHeight="true" outlineLevel="0" collapsed="false">
      <c r="A11" s="115" t="n">
        <v>100000.01</v>
      </c>
      <c r="B11" s="115" t="n">
        <v>150000</v>
      </c>
      <c r="C11" s="115" t="n">
        <v>3751.93</v>
      </c>
    </row>
    <row r="12" customFormat="false" ht="15" hidden="false" customHeight="true" outlineLevel="0" collapsed="false">
      <c r="A12" s="114" t="n">
        <v>150000.01</v>
      </c>
      <c r="B12" s="114" t="n">
        <v>200000</v>
      </c>
      <c r="C12" s="114" t="n">
        <v>5244.94</v>
      </c>
    </row>
    <row r="13" customFormat="false" ht="15" hidden="false" customHeight="true" outlineLevel="0" collapsed="false">
      <c r="A13" s="115" t="n">
        <v>200000.01</v>
      </c>
      <c r="B13" s="115" t="n">
        <v>300000</v>
      </c>
      <c r="C13" s="115" t="n">
        <v>8205.01</v>
      </c>
    </row>
    <row r="14" customFormat="false" ht="15" hidden="false" customHeight="true" outlineLevel="0" collapsed="false">
      <c r="A14" s="114" t="n">
        <v>300000.01</v>
      </c>
      <c r="B14" s="114" t="n">
        <v>400000</v>
      </c>
      <c r="C14" s="114" t="n">
        <v>11155.01</v>
      </c>
    </row>
    <row r="15" customFormat="false" ht="15" hidden="false" customHeight="true" outlineLevel="0" collapsed="false">
      <c r="A15" s="115" t="n">
        <v>400000.01</v>
      </c>
      <c r="B15" s="115" t="n">
        <v>500000</v>
      </c>
      <c r="C15" s="115" t="n">
        <v>14108.04</v>
      </c>
    </row>
    <row r="16" customFormat="false" ht="15" hidden="false" customHeight="true" outlineLevel="0" collapsed="false">
      <c r="A16" s="114" t="n">
        <v>500000.01</v>
      </c>
      <c r="B16" s="114" t="n">
        <v>999999999</v>
      </c>
      <c r="C16" s="114" t="n">
        <v>15495.85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142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185</v>
      </c>
    </row>
    <row r="3" customFormat="false" ht="15" hidden="false" customHeight="true" outlineLevel="0" collapsed="false">
      <c r="A3" s="116" t="s">
        <v>186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2481.8</v>
      </c>
      <c r="C6" s="114" t="n">
        <v>222.8</v>
      </c>
    </row>
    <row r="7" customFormat="false" ht="15" hidden="false" customHeight="true" outlineLevel="0" collapsed="false">
      <c r="A7" s="115" t="n">
        <v>2481.81</v>
      </c>
      <c r="B7" s="115" t="n">
        <v>7445.2</v>
      </c>
      <c r="C7" s="115" t="n">
        <v>252.5</v>
      </c>
    </row>
    <row r="8" customFormat="false" ht="15" hidden="false" customHeight="true" outlineLevel="0" collapsed="false">
      <c r="A8" s="114" t="n">
        <v>7445.21</v>
      </c>
      <c r="B8" s="114" t="n">
        <v>12408.7</v>
      </c>
      <c r="C8" s="114" t="n">
        <v>292.4</v>
      </c>
    </row>
    <row r="9" customFormat="false" ht="15" hidden="false" customHeight="true" outlineLevel="0" collapsed="false">
      <c r="A9" s="115" t="n">
        <v>12408.71</v>
      </c>
      <c r="B9" s="115" t="n">
        <v>18612.9</v>
      </c>
      <c r="C9" s="115" t="n">
        <v>346.1</v>
      </c>
    </row>
    <row r="10" customFormat="false" ht="15" hidden="false" customHeight="true" outlineLevel="0" collapsed="false">
      <c r="A10" s="114" t="n">
        <v>18612.91</v>
      </c>
      <c r="B10" s="114" t="n">
        <v>24816.8</v>
      </c>
      <c r="C10" s="114" t="n">
        <v>395.6</v>
      </c>
    </row>
    <row r="11" customFormat="false" ht="15" hidden="false" customHeight="true" outlineLevel="0" collapsed="false">
      <c r="A11" s="115" t="n">
        <v>24816.81</v>
      </c>
      <c r="B11" s="115" t="n">
        <v>37225.2</v>
      </c>
      <c r="C11" s="115" t="n">
        <v>468.1</v>
      </c>
    </row>
    <row r="12" customFormat="false" ht="15" hidden="false" customHeight="true" outlineLevel="0" collapsed="false">
      <c r="A12" s="114" t="n">
        <v>37225.21</v>
      </c>
      <c r="B12" s="114" t="n">
        <v>49633.8</v>
      </c>
      <c r="C12" s="114" t="n">
        <v>552.7</v>
      </c>
    </row>
    <row r="13" customFormat="false" ht="15" hidden="false" customHeight="true" outlineLevel="0" collapsed="false">
      <c r="A13" s="115" t="n">
        <v>49633.81</v>
      </c>
      <c r="B13" s="115" t="n">
        <v>74451</v>
      </c>
      <c r="C13" s="115" t="n">
        <v>628.7</v>
      </c>
    </row>
    <row r="14" customFormat="false" ht="15" hidden="false" customHeight="true" outlineLevel="0" collapsed="false">
      <c r="A14" s="114" t="n">
        <v>74451.01</v>
      </c>
      <c r="B14" s="114" t="n">
        <v>99267.8</v>
      </c>
      <c r="C14" s="114" t="n">
        <v>728.6</v>
      </c>
    </row>
    <row r="15" customFormat="false" ht="15" hidden="false" customHeight="true" outlineLevel="0" collapsed="false">
      <c r="A15" s="115" t="n">
        <v>99267.81</v>
      </c>
      <c r="B15" s="115" t="n">
        <v>124085</v>
      </c>
      <c r="C15" s="115" t="n">
        <v>828.5</v>
      </c>
    </row>
    <row r="16" customFormat="false" ht="15" hidden="false" customHeight="true" outlineLevel="0" collapsed="false">
      <c r="A16" s="114" t="n">
        <v>124085.01</v>
      </c>
      <c r="B16" s="114" t="n">
        <v>148901.6</v>
      </c>
      <c r="C16" s="114" t="n">
        <v>928.1</v>
      </c>
    </row>
    <row r="17" customFormat="false" ht="15" hidden="false" customHeight="true" outlineLevel="0" collapsed="false">
      <c r="A17" s="115" t="n">
        <v>148901.61</v>
      </c>
      <c r="B17" s="115" t="n">
        <v>198535.7</v>
      </c>
      <c r="C17" s="115" t="n">
        <v>1076.7</v>
      </c>
    </row>
    <row r="18" customFormat="false" ht="15" hidden="false" customHeight="true" outlineLevel="0" collapsed="false">
      <c r="A18" s="114" t="n">
        <v>198535.71</v>
      </c>
      <c r="B18" s="114" t="n">
        <v>248169.5</v>
      </c>
      <c r="C18" s="114" t="n">
        <v>1277.1</v>
      </c>
    </row>
    <row r="19" customFormat="false" ht="15" hidden="false" customHeight="true" outlineLevel="0" collapsed="false">
      <c r="A19" s="115" t="n">
        <v>248169.51</v>
      </c>
      <c r="B19" s="115" t="n">
        <v>297803.6</v>
      </c>
      <c r="C19" s="115" t="n">
        <v>1475.8</v>
      </c>
    </row>
    <row r="20" customFormat="false" ht="15" hidden="false" customHeight="true" outlineLevel="0" collapsed="false">
      <c r="A20" s="114" t="n">
        <v>297803.61</v>
      </c>
      <c r="B20" s="114" t="n">
        <v>347437.3</v>
      </c>
      <c r="C20" s="114" t="n">
        <v>1675.3</v>
      </c>
    </row>
    <row r="21" customFormat="false" ht="15" hidden="false" customHeight="true" outlineLevel="0" collapsed="false">
      <c r="A21" s="115" t="n">
        <v>347437.31</v>
      </c>
      <c r="B21" s="115" t="n">
        <v>397071</v>
      </c>
      <c r="C21" s="115" t="n">
        <v>1889.8</v>
      </c>
    </row>
    <row r="22" customFormat="false" ht="15" hidden="false" customHeight="true" outlineLevel="0" collapsed="false">
      <c r="A22" s="114" t="n">
        <v>397071.01</v>
      </c>
      <c r="B22" s="114" t="n">
        <v>446705</v>
      </c>
      <c r="C22" s="114" t="n">
        <v>2075</v>
      </c>
    </row>
    <row r="23" customFormat="false" ht="15" hidden="false" customHeight="true" outlineLevel="0" collapsed="false">
      <c r="A23" s="115" t="n">
        <v>446705.01</v>
      </c>
      <c r="B23" s="115" t="n">
        <v>496338.9</v>
      </c>
      <c r="C23" s="115" t="n">
        <v>2274.4</v>
      </c>
    </row>
    <row r="24" customFormat="false" ht="15" hidden="false" customHeight="true" outlineLevel="0" collapsed="false">
      <c r="A24" s="114" t="n">
        <v>496338.91</v>
      </c>
      <c r="B24" s="114" t="n">
        <v>545972.8</v>
      </c>
      <c r="C24" s="114" t="n">
        <v>2473.7</v>
      </c>
    </row>
    <row r="25" customFormat="false" ht="15" hidden="false" customHeight="true" outlineLevel="0" collapsed="false">
      <c r="A25" s="115" t="n">
        <v>545972.81</v>
      </c>
      <c r="B25" s="115" t="n">
        <v>595606.8</v>
      </c>
      <c r="C25" s="115" t="n">
        <v>2673.2</v>
      </c>
    </row>
    <row r="26" customFormat="false" ht="15" hidden="false" customHeight="true" outlineLevel="0" collapsed="false">
      <c r="A26" s="114" t="n">
        <v>595606.81</v>
      </c>
      <c r="B26" s="114" t="n">
        <v>645240.7</v>
      </c>
      <c r="C26" s="114" t="n">
        <v>2871.6</v>
      </c>
    </row>
    <row r="27" customFormat="false" ht="15" hidden="false" customHeight="true" outlineLevel="0" collapsed="false">
      <c r="A27" s="115" t="n">
        <v>645240.71</v>
      </c>
      <c r="B27" s="115" t="n">
        <v>694874.6</v>
      </c>
      <c r="C27" s="115" t="n">
        <v>3072.3</v>
      </c>
    </row>
    <row r="28" customFormat="false" ht="15" hidden="false" customHeight="true" outlineLevel="0" collapsed="false">
      <c r="A28" s="114" t="n">
        <v>694874.61</v>
      </c>
      <c r="B28" s="114" t="n">
        <v>744508.5</v>
      </c>
      <c r="C28" s="114" t="n">
        <v>3271.9</v>
      </c>
    </row>
    <row r="29" customFormat="false" ht="15" hidden="false" customHeight="true" outlineLevel="0" collapsed="false">
      <c r="A29" s="115" t="n">
        <v>744508.51</v>
      </c>
      <c r="B29" s="115" t="n">
        <v>992677.9</v>
      </c>
      <c r="C29" s="115" t="n">
        <v>3870.1</v>
      </c>
    </row>
    <row r="30" customFormat="false" ht="15" hidden="false" customHeight="true" outlineLevel="0" collapsed="false">
      <c r="A30" s="114" t="n">
        <v>992677.91</v>
      </c>
      <c r="B30" s="114" t="n">
        <v>1240847.6</v>
      </c>
      <c r="C30" s="114" t="n">
        <v>4867.5</v>
      </c>
    </row>
    <row r="31" customFormat="false" ht="15" hidden="false" customHeight="true" outlineLevel="0" collapsed="false">
      <c r="A31" s="115" t="n">
        <v>1240847.61</v>
      </c>
      <c r="B31" s="115" t="n">
        <v>999999999</v>
      </c>
      <c r="C31" s="115" t="n">
        <v>5482.9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143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187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0.01</v>
      </c>
      <c r="B5" s="115" t="n">
        <v>29684</v>
      </c>
      <c r="C5" s="115" t="n">
        <v>424.37</v>
      </c>
    </row>
    <row r="6" customFormat="false" ht="15" hidden="false" customHeight="true" outlineLevel="0" collapsed="false">
      <c r="A6" s="114" t="n">
        <v>29684.01</v>
      </c>
      <c r="B6" s="114" t="n">
        <v>39386</v>
      </c>
      <c r="C6" s="114" t="n">
        <v>819.07</v>
      </c>
    </row>
    <row r="7" customFormat="false" ht="15" hidden="false" customHeight="true" outlineLevel="0" collapsed="false">
      <c r="A7" s="115" t="n">
        <v>39386.01</v>
      </c>
      <c r="B7" s="115" t="n">
        <v>49085</v>
      </c>
      <c r="C7" s="115" t="n">
        <v>1016.35</v>
      </c>
    </row>
    <row r="8" customFormat="false" ht="15" hidden="false" customHeight="true" outlineLevel="0" collapsed="false">
      <c r="A8" s="114" t="n">
        <v>49085.01</v>
      </c>
      <c r="B8" s="114" t="n">
        <v>68487</v>
      </c>
      <c r="C8" s="114" t="n">
        <v>1411.06</v>
      </c>
    </row>
    <row r="9" customFormat="false" ht="15" hidden="false" customHeight="true" outlineLevel="0" collapsed="false">
      <c r="A9" s="115" t="n">
        <v>68487.01</v>
      </c>
      <c r="B9" s="115" t="n">
        <v>97591</v>
      </c>
      <c r="C9" s="115" t="n">
        <v>2002.95</v>
      </c>
    </row>
    <row r="10" customFormat="false" ht="15" hidden="false" customHeight="true" outlineLevel="0" collapsed="false">
      <c r="A10" s="114" t="n">
        <v>97591.01</v>
      </c>
      <c r="B10" s="114" t="n">
        <v>136393</v>
      </c>
      <c r="C10" s="114" t="n">
        <v>2679.49</v>
      </c>
    </row>
    <row r="11" customFormat="false" ht="15" hidden="false" customHeight="true" outlineLevel="0" collapsed="false">
      <c r="A11" s="115" t="n">
        <v>136393.01</v>
      </c>
      <c r="B11" s="115" t="n">
        <v>175198</v>
      </c>
      <c r="C11" s="115" t="n">
        <v>3271.44</v>
      </c>
    </row>
    <row r="12" customFormat="false" ht="15" hidden="false" customHeight="true" outlineLevel="0" collapsed="false">
      <c r="A12" s="114" t="n">
        <v>175198.01</v>
      </c>
      <c r="B12" s="114" t="n">
        <v>252804</v>
      </c>
      <c r="C12" s="114" t="n">
        <v>4483.57</v>
      </c>
    </row>
    <row r="13" customFormat="false" ht="15" hidden="false" customHeight="true" outlineLevel="0" collapsed="false">
      <c r="A13" s="115" t="n">
        <v>252804.01</v>
      </c>
      <c r="B13" s="115" t="n">
        <v>330410</v>
      </c>
      <c r="C13" s="115" t="n">
        <v>5554.73</v>
      </c>
    </row>
    <row r="14" customFormat="false" ht="15" hidden="false" customHeight="true" outlineLevel="0" collapsed="false">
      <c r="A14" s="114" t="n">
        <v>330410.01</v>
      </c>
      <c r="B14" s="114" t="n">
        <v>466223</v>
      </c>
      <c r="C14" s="114" t="n">
        <v>7415.17</v>
      </c>
    </row>
    <row r="15" customFormat="false" ht="15" hidden="false" customHeight="true" outlineLevel="0" collapsed="false">
      <c r="A15" s="115" t="n">
        <v>466223.01</v>
      </c>
      <c r="B15" s="115" t="n">
        <v>563231</v>
      </c>
      <c r="C15" s="115" t="n">
        <v>8711.83</v>
      </c>
    </row>
    <row r="16" customFormat="false" ht="15" hidden="false" customHeight="true" outlineLevel="0" collapsed="false">
      <c r="A16" s="114" t="n">
        <v>563231.01</v>
      </c>
      <c r="B16" s="114" t="n">
        <v>999999999</v>
      </c>
      <c r="C16" s="114" t="n">
        <v>9923.96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144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188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5000</v>
      </c>
      <c r="C5" s="115" t="n">
        <v>146.87</v>
      </c>
    </row>
    <row r="6" customFormat="false" ht="15" hidden="false" customHeight="true" outlineLevel="0" collapsed="false">
      <c r="A6" s="114" t="n">
        <v>5000.01</v>
      </c>
      <c r="B6" s="114" t="n">
        <v>10000</v>
      </c>
      <c r="C6" s="114" t="n">
        <v>197.63</v>
      </c>
    </row>
    <row r="7" customFormat="false" ht="15" hidden="false" customHeight="true" outlineLevel="0" collapsed="false">
      <c r="A7" s="115" t="n">
        <v>10000.01</v>
      </c>
      <c r="B7" s="115" t="n">
        <v>15000</v>
      </c>
      <c r="C7" s="115" t="n">
        <v>265.75</v>
      </c>
    </row>
    <row r="8" customFormat="false" ht="15" hidden="false" customHeight="true" outlineLevel="0" collapsed="false">
      <c r="A8" s="114" t="n">
        <v>15000.01</v>
      </c>
      <c r="B8" s="114" t="n">
        <v>20000</v>
      </c>
      <c r="C8" s="114" t="n">
        <v>358.55</v>
      </c>
    </row>
    <row r="9" customFormat="false" ht="15" hidden="false" customHeight="true" outlineLevel="0" collapsed="false">
      <c r="A9" s="115" t="n">
        <v>20000.01</v>
      </c>
      <c r="B9" s="115" t="n">
        <v>25000</v>
      </c>
      <c r="C9" s="115" t="n">
        <v>483.23</v>
      </c>
    </row>
    <row r="10" customFormat="false" ht="15" hidden="false" customHeight="true" outlineLevel="0" collapsed="false">
      <c r="A10" s="114" t="n">
        <v>25000.01</v>
      </c>
      <c r="B10" s="114" t="n">
        <v>30000</v>
      </c>
      <c r="C10" s="114" t="n">
        <v>651.39</v>
      </c>
    </row>
    <row r="11" customFormat="false" ht="15" hidden="false" customHeight="true" outlineLevel="0" collapsed="false">
      <c r="A11" s="115" t="n">
        <v>30000.01</v>
      </c>
      <c r="B11" s="115" t="n">
        <v>35000</v>
      </c>
      <c r="C11" s="115" t="n">
        <v>877.56</v>
      </c>
    </row>
    <row r="12" customFormat="false" ht="15" hidden="false" customHeight="true" outlineLevel="0" collapsed="false">
      <c r="A12" s="114" t="n">
        <v>35000.01</v>
      </c>
      <c r="B12" s="114" t="n">
        <v>50000</v>
      </c>
      <c r="C12" s="114" t="n">
        <v>1184.91</v>
      </c>
    </row>
    <row r="13" customFormat="false" ht="15" hidden="false" customHeight="true" outlineLevel="0" collapsed="false">
      <c r="A13" s="115" t="n">
        <v>50000.01</v>
      </c>
      <c r="B13" s="115" t="n">
        <v>100000</v>
      </c>
      <c r="C13" s="115" t="n">
        <v>1599.55</v>
      </c>
    </row>
    <row r="14" customFormat="false" ht="15" hidden="false" customHeight="true" outlineLevel="0" collapsed="false">
      <c r="A14" s="114" t="n">
        <v>100000.01</v>
      </c>
      <c r="B14" s="114" t="n">
        <v>200000</v>
      </c>
      <c r="C14" s="114" t="n">
        <v>2159.16</v>
      </c>
    </row>
    <row r="15" customFormat="false" ht="15" hidden="false" customHeight="true" outlineLevel="0" collapsed="false">
      <c r="A15" s="115" t="n">
        <v>200000.01</v>
      </c>
      <c r="B15" s="115" t="n">
        <v>300000</v>
      </c>
      <c r="C15" s="115" t="n">
        <v>2913.03</v>
      </c>
    </row>
    <row r="16" customFormat="false" ht="15" hidden="false" customHeight="true" outlineLevel="0" collapsed="false">
      <c r="A16" s="114" t="n">
        <v>300000.01</v>
      </c>
      <c r="B16" s="114" t="n">
        <v>999999999</v>
      </c>
      <c r="C16" s="114" t="n">
        <v>4213.03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145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189</v>
      </c>
    </row>
    <row r="3" customFormat="false" ht="15" hidden="false" customHeight="true" outlineLevel="0" collapsed="false">
      <c r="A3" s="116" t="s">
        <v>190</v>
      </c>
      <c r="B3" s="116"/>
      <c r="C3" s="116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0.01</v>
      </c>
      <c r="B6" s="114" t="n">
        <v>13786.58</v>
      </c>
      <c r="C6" s="114" t="n">
        <v>209.8</v>
      </c>
    </row>
    <row r="7" customFormat="false" ht="15" hidden="false" customHeight="true" outlineLevel="0" collapsed="false">
      <c r="A7" s="115" t="n">
        <v>13786.59</v>
      </c>
      <c r="B7" s="115" t="n">
        <v>20679.87</v>
      </c>
      <c r="C7" s="115" t="n">
        <v>241.93</v>
      </c>
    </row>
    <row r="8" customFormat="false" ht="15" hidden="false" customHeight="true" outlineLevel="0" collapsed="false">
      <c r="A8" s="114" t="n">
        <v>20679.88</v>
      </c>
      <c r="B8" s="114" t="n">
        <v>28951.83</v>
      </c>
      <c r="C8" s="114" t="n">
        <v>343.47</v>
      </c>
    </row>
    <row r="9" customFormat="false" ht="15" hidden="false" customHeight="true" outlineLevel="0" collapsed="false">
      <c r="A9" s="115" t="n">
        <v>28951.84</v>
      </c>
      <c r="B9" s="115" t="n">
        <v>35845.12</v>
      </c>
      <c r="C9" s="115" t="n">
        <v>448.36</v>
      </c>
    </row>
    <row r="10" customFormat="false" ht="15" hidden="false" customHeight="true" outlineLevel="0" collapsed="false">
      <c r="A10" s="114" t="n">
        <v>35845.13</v>
      </c>
      <c r="B10" s="114" t="n">
        <v>44117.08</v>
      </c>
      <c r="C10" s="114" t="n">
        <v>560.04</v>
      </c>
    </row>
    <row r="11" customFormat="false" ht="15" hidden="false" customHeight="true" outlineLevel="0" collapsed="false">
      <c r="A11" s="115" t="n">
        <v>44117.09</v>
      </c>
      <c r="B11" s="115" t="n">
        <v>53767.69</v>
      </c>
      <c r="C11" s="115" t="n">
        <v>675.11</v>
      </c>
    </row>
    <row r="12" customFormat="false" ht="15" hidden="false" customHeight="true" outlineLevel="0" collapsed="false">
      <c r="A12" s="114" t="n">
        <v>53767.7</v>
      </c>
      <c r="B12" s="114" t="n">
        <v>62039.64</v>
      </c>
      <c r="C12" s="114" t="n">
        <v>795.24</v>
      </c>
    </row>
    <row r="13" customFormat="false" ht="15" hidden="false" customHeight="true" outlineLevel="0" collapsed="false">
      <c r="A13" s="115" t="n">
        <v>62039.65</v>
      </c>
      <c r="B13" s="115" t="n">
        <v>71690.25</v>
      </c>
      <c r="C13" s="115" t="n">
        <v>918.74</v>
      </c>
    </row>
    <row r="14" customFormat="false" ht="15" hidden="false" customHeight="true" outlineLevel="0" collapsed="false">
      <c r="A14" s="114" t="n">
        <v>71690.26</v>
      </c>
      <c r="B14" s="114" t="n">
        <v>79962.21</v>
      </c>
      <c r="C14" s="114" t="n">
        <v>1047.35</v>
      </c>
    </row>
    <row r="15" customFormat="false" ht="15" hidden="false" customHeight="true" outlineLevel="0" collapsed="false">
      <c r="A15" s="115" t="n">
        <v>79962.22</v>
      </c>
      <c r="B15" s="115" t="n">
        <v>90991.48</v>
      </c>
      <c r="C15" s="115" t="n">
        <v>1181.03</v>
      </c>
    </row>
    <row r="16" customFormat="false" ht="15" hidden="false" customHeight="true" outlineLevel="0" collapsed="false">
      <c r="A16" s="114" t="n">
        <v>90991.49</v>
      </c>
      <c r="B16" s="114" t="n">
        <v>100642.09</v>
      </c>
      <c r="C16" s="114" t="n">
        <v>1321.48</v>
      </c>
    </row>
    <row r="17" customFormat="false" ht="15" hidden="false" customHeight="true" outlineLevel="0" collapsed="false">
      <c r="A17" s="115" t="n">
        <v>100642.1</v>
      </c>
      <c r="B17" s="115" t="n">
        <v>111671.36</v>
      </c>
      <c r="C17" s="115" t="n">
        <v>1465.27</v>
      </c>
    </row>
    <row r="18" customFormat="false" ht="15" hidden="false" customHeight="true" outlineLevel="0" collapsed="false">
      <c r="A18" s="114" t="n">
        <v>111671.37</v>
      </c>
      <c r="B18" s="114" t="n">
        <v>122700.64</v>
      </c>
      <c r="C18" s="114" t="n">
        <v>1616.35</v>
      </c>
    </row>
    <row r="19" customFormat="false" ht="15" hidden="false" customHeight="true" outlineLevel="0" collapsed="false">
      <c r="A19" s="115" t="n">
        <v>122700.65</v>
      </c>
      <c r="B19" s="115" t="n">
        <v>133729.9</v>
      </c>
      <c r="C19" s="115" t="n">
        <v>1771.53</v>
      </c>
    </row>
    <row r="20" customFormat="false" ht="15" hidden="false" customHeight="true" outlineLevel="0" collapsed="false">
      <c r="A20" s="114" t="n">
        <v>133729.91</v>
      </c>
      <c r="B20" s="114" t="n">
        <v>146137.83</v>
      </c>
      <c r="C20" s="114" t="n">
        <v>1932.28</v>
      </c>
    </row>
    <row r="21" customFormat="false" ht="15" hidden="false" customHeight="true" outlineLevel="0" collapsed="false">
      <c r="A21" s="115" t="n">
        <v>146137.84</v>
      </c>
      <c r="B21" s="115" t="n">
        <v>158545.76</v>
      </c>
      <c r="C21" s="115" t="n">
        <v>2052.41</v>
      </c>
    </row>
    <row r="22" customFormat="false" ht="15" hidden="false" customHeight="true" outlineLevel="0" collapsed="false">
      <c r="A22" s="114" t="n">
        <v>158545.77</v>
      </c>
      <c r="B22" s="114" t="n">
        <v>170953.69</v>
      </c>
      <c r="C22" s="114" t="n">
        <v>2172.55</v>
      </c>
    </row>
    <row r="23" customFormat="false" ht="15" hidden="false" customHeight="true" outlineLevel="0" collapsed="false">
      <c r="A23" s="115" t="n">
        <v>170953.7</v>
      </c>
      <c r="B23" s="115" t="n">
        <v>184740.27</v>
      </c>
      <c r="C23" s="115" t="n">
        <v>2289.3</v>
      </c>
    </row>
    <row r="24" customFormat="false" ht="15" hidden="false" customHeight="true" outlineLevel="0" collapsed="false">
      <c r="A24" s="114" t="n">
        <v>184740.28</v>
      </c>
      <c r="B24" s="114" t="n">
        <v>198526.88</v>
      </c>
      <c r="C24" s="114" t="n">
        <v>2404.36</v>
      </c>
    </row>
    <row r="25" customFormat="false" ht="15" hidden="false" customHeight="true" outlineLevel="0" collapsed="false">
      <c r="A25" s="115" t="n">
        <v>198526.89</v>
      </c>
      <c r="B25" s="115" t="n">
        <v>212313.47</v>
      </c>
      <c r="C25" s="115" t="n">
        <v>2517.7</v>
      </c>
    </row>
    <row r="26" customFormat="false" ht="15" hidden="false" customHeight="true" outlineLevel="0" collapsed="false">
      <c r="A26" s="114" t="n">
        <v>212313.48</v>
      </c>
      <c r="B26" s="114" t="n">
        <v>226100.05</v>
      </c>
      <c r="C26" s="114" t="n">
        <v>2629.39</v>
      </c>
    </row>
    <row r="27" customFormat="false" ht="15" hidden="false" customHeight="true" outlineLevel="0" collapsed="false">
      <c r="A27" s="115" t="n">
        <v>226100.06</v>
      </c>
      <c r="B27" s="115" t="n">
        <v>276100.05</v>
      </c>
      <c r="C27" s="115" t="n">
        <v>2729.39</v>
      </c>
    </row>
    <row r="28" customFormat="false" ht="15" hidden="false" customHeight="true" outlineLevel="0" collapsed="false">
      <c r="A28" s="114" t="n">
        <v>276100.06</v>
      </c>
      <c r="B28" s="114" t="n">
        <v>326100.05</v>
      </c>
      <c r="C28" s="114" t="n">
        <v>2829.39</v>
      </c>
    </row>
    <row r="29" customFormat="false" ht="15" hidden="false" customHeight="true" outlineLevel="0" collapsed="false">
      <c r="A29" s="115" t="n">
        <v>326100.06</v>
      </c>
      <c r="B29" s="115" t="n">
        <v>376100.05</v>
      </c>
      <c r="C29" s="115" t="n">
        <v>2929.39</v>
      </c>
    </row>
    <row r="30" customFormat="false" ht="15" hidden="false" customHeight="true" outlineLevel="0" collapsed="false">
      <c r="A30" s="114" t="n">
        <v>376100.06</v>
      </c>
      <c r="B30" s="114" t="n">
        <v>426100.05</v>
      </c>
      <c r="C30" s="114" t="n">
        <v>2997.58</v>
      </c>
    </row>
    <row r="31" customFormat="false" ht="15" hidden="false" customHeight="true" outlineLevel="0" collapsed="false">
      <c r="A31" s="115" t="n">
        <v>426100.06</v>
      </c>
      <c r="B31" s="115" t="n">
        <v>476100.05</v>
      </c>
      <c r="C31" s="115" t="n">
        <v>2997.58</v>
      </c>
    </row>
    <row r="32" customFormat="false" ht="15" hidden="false" customHeight="true" outlineLevel="0" collapsed="false">
      <c r="A32" s="114" t="n">
        <v>476100.06</v>
      </c>
      <c r="B32" s="114" t="n">
        <v>526100.05</v>
      </c>
      <c r="C32" s="114" t="n">
        <v>2997.58</v>
      </c>
    </row>
    <row r="33" customFormat="false" ht="15" hidden="false" customHeight="true" outlineLevel="0" collapsed="false">
      <c r="A33" s="115" t="n">
        <v>526100.06</v>
      </c>
      <c r="B33" s="115" t="n">
        <v>999999999</v>
      </c>
      <c r="C33" s="115" t="n">
        <v>2997.58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146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191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5999.99</v>
      </c>
      <c r="C5" s="115" t="n">
        <v>303.09</v>
      </c>
    </row>
    <row r="6" customFormat="false" ht="15" hidden="false" customHeight="true" outlineLevel="0" collapsed="false">
      <c r="A6" s="114" t="n">
        <v>6000</v>
      </c>
      <c r="B6" s="114" t="n">
        <v>12999.99</v>
      </c>
      <c r="C6" s="114" t="n">
        <v>513.01</v>
      </c>
    </row>
    <row r="7" customFormat="false" ht="15" hidden="false" customHeight="true" outlineLevel="0" collapsed="false">
      <c r="A7" s="115" t="n">
        <v>13000</v>
      </c>
      <c r="B7" s="115" t="n">
        <v>25000</v>
      </c>
      <c r="C7" s="115" t="n">
        <v>708.46</v>
      </c>
    </row>
    <row r="8" customFormat="false" ht="15" hidden="false" customHeight="true" outlineLevel="0" collapsed="false">
      <c r="A8" s="114" t="n">
        <v>25000.01</v>
      </c>
      <c r="B8" s="114" t="n">
        <v>50000</v>
      </c>
      <c r="C8" s="114" t="n">
        <v>943.76</v>
      </c>
    </row>
    <row r="9" customFormat="false" ht="15" hidden="false" customHeight="true" outlineLevel="0" collapsed="false">
      <c r="A9" s="115" t="n">
        <v>50000.01</v>
      </c>
      <c r="B9" s="115" t="n">
        <v>100000</v>
      </c>
      <c r="C9" s="115" t="n">
        <v>1414.36</v>
      </c>
    </row>
    <row r="10" customFormat="false" ht="15" hidden="false" customHeight="true" outlineLevel="0" collapsed="false">
      <c r="A10" s="114" t="n">
        <v>100000.01</v>
      </c>
      <c r="B10" s="114" t="n">
        <v>150000</v>
      </c>
      <c r="C10" s="114" t="n">
        <v>1884.96</v>
      </c>
    </row>
    <row r="11" customFormat="false" ht="15" hidden="false" customHeight="true" outlineLevel="0" collapsed="false">
      <c r="A11" s="115" t="n">
        <v>150000.01</v>
      </c>
      <c r="B11" s="115" t="n">
        <v>200000</v>
      </c>
      <c r="C11" s="115" t="n">
        <v>2355.56</v>
      </c>
    </row>
    <row r="12" customFormat="false" ht="15" hidden="false" customHeight="true" outlineLevel="0" collapsed="false">
      <c r="A12" s="114" t="n">
        <v>200000.01</v>
      </c>
      <c r="B12" s="114" t="n">
        <v>300000</v>
      </c>
      <c r="C12" s="114" t="n">
        <v>3296.76</v>
      </c>
    </row>
    <row r="13" customFormat="false" ht="15" hidden="false" customHeight="true" outlineLevel="0" collapsed="false">
      <c r="A13" s="115" t="n">
        <v>300000.01</v>
      </c>
      <c r="B13" s="115" t="n">
        <v>500000</v>
      </c>
      <c r="C13" s="115" t="n">
        <v>5179.16</v>
      </c>
    </row>
    <row r="14" customFormat="false" ht="15" hidden="false" customHeight="true" outlineLevel="0" collapsed="false">
      <c r="A14" s="114" t="n">
        <v>500000.01</v>
      </c>
      <c r="B14" s="114" t="n">
        <v>999999999</v>
      </c>
      <c r="C14" s="114" t="n">
        <v>10696.68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147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192</v>
      </c>
    </row>
    <row r="4" customFormat="false" ht="15" hidden="false" customHeight="true" outlineLevel="0" collapsed="false">
      <c r="A4" s="113" t="s">
        <v>152</v>
      </c>
      <c r="B4" s="113" t="s">
        <v>153</v>
      </c>
      <c r="C4" s="113" t="s">
        <v>154</v>
      </c>
    </row>
    <row r="5" customFormat="false" ht="15" hidden="false" customHeight="true" outlineLevel="0" collapsed="false">
      <c r="A5" s="115" t="n">
        <v>0</v>
      </c>
      <c r="B5" s="115" t="n">
        <v>1024.55</v>
      </c>
      <c r="C5" s="115" t="n">
        <v>262.6</v>
      </c>
    </row>
    <row r="6" customFormat="false" ht="15" hidden="false" customHeight="true" outlineLevel="0" collapsed="false">
      <c r="A6" s="114" t="n">
        <v>1024.56</v>
      </c>
      <c r="B6" s="114" t="n">
        <v>5707.56</v>
      </c>
      <c r="C6" s="114" t="n">
        <v>539.9</v>
      </c>
    </row>
    <row r="7" customFormat="false" ht="15" hidden="false" customHeight="true" outlineLevel="0" collapsed="false">
      <c r="A7" s="115" t="n">
        <v>5707.57</v>
      </c>
      <c r="B7" s="115" t="n">
        <v>9530.3</v>
      </c>
      <c r="C7" s="115" t="n">
        <v>822.17</v>
      </c>
    </row>
    <row r="8" customFormat="false" ht="15" hidden="false" customHeight="true" outlineLevel="0" collapsed="false">
      <c r="A8" s="114" t="n">
        <v>9530.31</v>
      </c>
      <c r="B8" s="114" t="n">
        <v>14213.2</v>
      </c>
      <c r="C8" s="114" t="n">
        <v>1174.83</v>
      </c>
    </row>
    <row r="9" customFormat="false" ht="15" hidden="false" customHeight="true" outlineLevel="0" collapsed="false">
      <c r="A9" s="115" t="n">
        <v>14213.21</v>
      </c>
      <c r="B9" s="115" t="n">
        <v>19423.55</v>
      </c>
      <c r="C9" s="115" t="n">
        <v>1537.61</v>
      </c>
    </row>
    <row r="10" customFormat="false" ht="15" hidden="false" customHeight="true" outlineLevel="0" collapsed="false">
      <c r="A10" s="114" t="n">
        <v>19423.56</v>
      </c>
      <c r="B10" s="114" t="n">
        <v>38833.65</v>
      </c>
      <c r="C10" s="114" t="n">
        <v>1883.31</v>
      </c>
    </row>
    <row r="11" customFormat="false" ht="15" hidden="false" customHeight="true" outlineLevel="0" collapsed="false">
      <c r="A11" s="115" t="n">
        <v>38833.66</v>
      </c>
      <c r="B11" s="115" t="n">
        <v>78583.05</v>
      </c>
      <c r="C11" s="115" t="n">
        <v>2338.49</v>
      </c>
    </row>
    <row r="12" customFormat="false" ht="15" hidden="false" customHeight="true" outlineLevel="0" collapsed="false">
      <c r="A12" s="114" t="n">
        <v>78583.06</v>
      </c>
      <c r="B12" s="114" t="n">
        <v>118332.6</v>
      </c>
      <c r="C12" s="114" t="n">
        <v>2849.74</v>
      </c>
    </row>
    <row r="13" customFormat="false" ht="15" hidden="false" customHeight="true" outlineLevel="0" collapsed="false">
      <c r="A13" s="115" t="n">
        <v>118332.61</v>
      </c>
      <c r="B13" s="115" t="n">
        <v>162190</v>
      </c>
      <c r="C13" s="115" t="n">
        <v>3310.03</v>
      </c>
    </row>
    <row r="14" customFormat="false" ht="15" hidden="false" customHeight="true" outlineLevel="0" collapsed="false">
      <c r="A14" s="114" t="n">
        <v>162190.01</v>
      </c>
      <c r="B14" s="114" t="n">
        <v>228319.2</v>
      </c>
      <c r="C14" s="114" t="n">
        <v>3935.14</v>
      </c>
    </row>
    <row r="15" customFormat="false" ht="15" hidden="false" customHeight="true" outlineLevel="0" collapsed="false">
      <c r="A15" s="115" t="n">
        <v>228319.21</v>
      </c>
      <c r="B15" s="115" t="n">
        <v>307853.2</v>
      </c>
      <c r="C15" s="115" t="n">
        <v>4526.22</v>
      </c>
    </row>
    <row r="16" customFormat="false" ht="15" hidden="false" customHeight="true" outlineLevel="0" collapsed="false">
      <c r="A16" s="114" t="n">
        <v>307853.21</v>
      </c>
      <c r="B16" s="114" t="n">
        <v>384220.1</v>
      </c>
      <c r="C16" s="114" t="n">
        <v>5457.74</v>
      </c>
    </row>
    <row r="17" customFormat="false" ht="15" hidden="false" customHeight="true" outlineLevel="0" collapsed="false">
      <c r="A17" s="115" t="n">
        <v>384220.11</v>
      </c>
      <c r="B17" s="115" t="n">
        <v>480312.25</v>
      </c>
      <c r="C17" s="115" t="n">
        <v>6121.54</v>
      </c>
    </row>
    <row r="18" customFormat="false" ht="15" hidden="false" customHeight="true" outlineLevel="0" collapsed="false">
      <c r="A18" s="114" t="n">
        <v>480312.26</v>
      </c>
      <c r="B18" s="114" t="n">
        <v>772332.05</v>
      </c>
      <c r="C18" s="114" t="n">
        <v>6942.82</v>
      </c>
    </row>
    <row r="19" customFormat="false" ht="15" hidden="false" customHeight="true" outlineLevel="0" collapsed="false">
      <c r="A19" s="115" t="n">
        <v>772332.06</v>
      </c>
      <c r="B19" s="115" t="n">
        <v>999999999</v>
      </c>
      <c r="C19" s="115" t="n">
        <v>13152.36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</cols>
  <sheetData>
    <row r="1" customFormat="false" ht="15" hidden="false" customHeight="true" outlineLevel="0" collapsed="false">
      <c r="A1" s="110" t="s">
        <v>148</v>
      </c>
      <c r="B1" s="110"/>
      <c r="C1" s="110"/>
    </row>
    <row r="2" customFormat="false" ht="15" hidden="false" customHeight="true" outlineLevel="0" collapsed="false">
      <c r="A2" s="1" t="s">
        <v>149</v>
      </c>
      <c r="B2" s="111" t="s">
        <v>193</v>
      </c>
    </row>
    <row r="3" customFormat="false" ht="15" hidden="false" customHeight="true" outlineLevel="0" collapsed="false">
      <c r="A3" s="112" t="s">
        <v>194</v>
      </c>
      <c r="B3" s="112"/>
      <c r="C3" s="112"/>
    </row>
    <row r="5" customFormat="false" ht="15" hidden="false" customHeight="true" outlineLevel="0" collapsed="false">
      <c r="A5" s="113" t="s">
        <v>152</v>
      </c>
      <c r="B5" s="113" t="s">
        <v>153</v>
      </c>
      <c r="C5" s="113" t="s">
        <v>154</v>
      </c>
    </row>
    <row r="6" customFormat="false" ht="15" hidden="false" customHeight="true" outlineLevel="0" collapsed="false">
      <c r="A6" s="114" t="n">
        <v>0</v>
      </c>
      <c r="B6" s="114" t="n">
        <v>3000</v>
      </c>
      <c r="C6" s="114" t="n">
        <v>247.97</v>
      </c>
    </row>
    <row r="7" customFormat="false" ht="15" hidden="false" customHeight="true" outlineLevel="0" collapsed="false">
      <c r="A7" s="115" t="n">
        <v>3000.01</v>
      </c>
      <c r="B7" s="115" t="n">
        <v>6000</v>
      </c>
      <c r="C7" s="115" t="n">
        <v>498.73</v>
      </c>
    </row>
    <row r="8" customFormat="false" ht="15" hidden="false" customHeight="true" outlineLevel="0" collapsed="false">
      <c r="A8" s="114" t="n">
        <v>6000.01</v>
      </c>
      <c r="B8" s="114" t="n">
        <v>10000</v>
      </c>
      <c r="C8" s="114" t="n">
        <v>839.32</v>
      </c>
    </row>
    <row r="9" customFormat="false" ht="15" hidden="false" customHeight="true" outlineLevel="0" collapsed="false">
      <c r="A9" s="115" t="n">
        <v>10000.01</v>
      </c>
      <c r="B9" s="115" t="n">
        <v>20000</v>
      </c>
      <c r="C9" s="115" t="n">
        <v>1224.05</v>
      </c>
    </row>
    <row r="10" customFormat="false" ht="15" hidden="false" customHeight="true" outlineLevel="0" collapsed="false">
      <c r="A10" s="114" t="n">
        <v>20000.01</v>
      </c>
      <c r="B10" s="114" t="n">
        <v>30000</v>
      </c>
      <c r="C10" s="114" t="n">
        <v>1979.26</v>
      </c>
    </row>
    <row r="11" customFormat="false" ht="15" hidden="false" customHeight="true" outlineLevel="0" collapsed="false">
      <c r="A11" s="115" t="n">
        <v>30000.01</v>
      </c>
      <c r="B11" s="115" t="n">
        <v>40000</v>
      </c>
      <c r="C11" s="115" t="n">
        <v>2592</v>
      </c>
    </row>
    <row r="12" customFormat="false" ht="15" hidden="false" customHeight="true" outlineLevel="0" collapsed="false">
      <c r="A12" s="114" t="n">
        <v>40000.01</v>
      </c>
      <c r="B12" s="114" t="n">
        <v>60000</v>
      </c>
      <c r="C12" s="114" t="n">
        <v>3119.25</v>
      </c>
    </row>
    <row r="13" customFormat="false" ht="15" hidden="false" customHeight="true" outlineLevel="0" collapsed="false">
      <c r="A13" s="115" t="n">
        <v>60000.01</v>
      </c>
      <c r="B13" s="115" t="n">
        <v>80000</v>
      </c>
      <c r="C13" s="115" t="n">
        <v>3409.94</v>
      </c>
    </row>
    <row r="14" customFormat="false" ht="15" hidden="false" customHeight="true" outlineLevel="0" collapsed="false">
      <c r="A14" s="114" t="n">
        <v>80000.01</v>
      </c>
      <c r="B14" s="114" t="n">
        <v>999999999</v>
      </c>
      <c r="C14" s="114" t="n">
        <v>5075.36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2026-02-23T21:05:25Z</dcterms:created>
  <dc:creator>openpyxl</dc:creator>
  <dc:description/>
  <dc:language>en-US</dc:language>
  <cp:lastModifiedBy/>
  <dcterms:modified xsi:type="dcterms:W3CDTF">2026-02-23T22:00:16Z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